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280" tabRatio="600" firstSheet="0" activeTab="4" autoFilterDateGrouping="1"/>
  </bookViews>
  <sheets>
    <sheet xmlns:r="http://schemas.openxmlformats.org/officeDocument/2006/relationships" name="Bilgi" sheetId="1" state="visible" r:id="rId1"/>
    <sheet xmlns:r="http://schemas.openxmlformats.org/officeDocument/2006/relationships" name="Komisyon Tarifeleri" sheetId="2" state="visible" r:id="rId2"/>
    <sheet xmlns:r="http://schemas.openxmlformats.org/officeDocument/2006/relationships" name="Kargo" sheetId="3" state="visible" r:id="rId3"/>
    <sheet xmlns:r="http://schemas.openxmlformats.org/officeDocument/2006/relationships" name="Maliyetler" sheetId="4" state="visible" r:id="rId4"/>
    <sheet xmlns:r="http://schemas.openxmlformats.org/officeDocument/2006/relationships" name="Hedefler" sheetId="5" state="visible" r:id="rId5"/>
    <sheet xmlns:r="http://schemas.openxmlformats.org/officeDocument/2006/relationships" name="KÂRLILIK" sheetId="6" state="visible" r:id="rId6"/>
    <sheet xmlns:r="http://schemas.openxmlformats.org/officeDocument/2006/relationships" name="Plus Tarifeleri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%&quot;"/>
    <numFmt numFmtId="166" formatCode="+#,##0.00;-#,##0.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C00000"/>
      <sz val="11"/>
    </font>
    <font>
      <name val="Calibri"/>
      <family val="2"/>
      <b val="1"/>
      <sz val="12"/>
    </font>
    <font>
      <name val="Calibri"/>
      <family val="2"/>
      <i val="1"/>
      <sz val="11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4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7" fillId="6" borderId="0" applyAlignment="1" pivotButton="0" quotePrefix="0" xfId="0">
      <alignment horizontal="center" wrapText="1"/>
    </xf>
    <xf numFmtId="0" fontId="8" fillId="0" borderId="0" pivotButton="0" quotePrefix="0" xfId="0"/>
    <xf numFmtId="4" fontId="0" fillId="7" borderId="0" pivotButton="0" quotePrefix="0" xfId="0"/>
    <xf numFmtId="165" fontId="0" fillId="7" borderId="0" pivotButton="0" quotePrefix="0" xfId="0"/>
    <xf numFmtId="164" fontId="0" fillId="7" borderId="0" pivotButton="0" quotePrefix="0" xfId="0"/>
    <xf numFmtId="166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9" sqref="B19"/>
    </sheetView>
  </sheetViews>
  <sheetFormatPr baseColWidth="10" defaultColWidth="8.83203125" defaultRowHeight="15"/>
  <cols>
    <col width="26" customWidth="1" min="1" max="1"/>
    <col width="115" customWidth="1" min="2" max="2"/>
  </cols>
  <sheetData>
    <row r="1">
      <c r="A1" s="1" t="inlineStr">
        <is>
          <t>TRENDYOL KÂRLILIK — BUYBOX ÇAPALI ÖNERİ MOTORU</t>
        </is>
      </c>
      <c r="B1" s="2" t="n"/>
    </row>
    <row r="2">
      <c r="A2" s="3" t="n"/>
      <c r="B2" s="2" t="n"/>
    </row>
    <row r="3" ht="16" customHeight="1">
      <c r="A3" s="3" t="inlineStr">
        <is>
          <t>Komisyon Tarifeleri</t>
        </is>
      </c>
      <c r="B3" s="2" t="inlineStr">
        <is>
          <t>Trendyol'un haftalık komisyon Excel'ini A1'den itibaren buraya yapıştır (35 kolonlu çift dönemli format). Satır SİLME, içerik temizle.</t>
        </is>
      </c>
    </row>
    <row r="4" ht="16" customHeight="1">
      <c r="A4" s="3" t="inlineStr">
        <is>
          <t>Maliyetler</t>
        </is>
      </c>
      <c r="B4" s="2" t="inlineStr">
        <is>
          <t>C=alış maliyeti, D=desi, E=BUYBOX fiyatı (manuel). Eşleşme barkodla.</t>
        </is>
      </c>
    </row>
    <row r="5" ht="32" customHeight="1">
      <c r="A5" s="3" t="inlineStr">
        <is>
          <t>Hedefler</t>
        </is>
      </c>
      <c r="B5" s="2" t="inlineStr">
        <is>
          <t>Kategori başına MİN kâr %% ve HEDEF kâr %%. Mobilya tipi kategorilere 40%/40%, elektroniğe 4%/10% gir — öneri motoru buradan okur. Listede olmayan kategori için varsayılan: min %4 / hedef %10.</t>
        </is>
      </c>
    </row>
    <row r="6" ht="48" customHeight="1">
      <c r="A6" s="3" t="inlineStr">
        <is>
          <t>KÂRLILIK / Öneri mantığı</t>
        </is>
      </c>
      <c r="B6" s="2" t="inlineStr">
        <is>
          <t>1) Buybox girilmişse: buybox'ın 1 TL altı denenir; o fiyatın düştüğü baremin komisyonuyla kâr %% ≥ MİN kâr ise ÖNERİ = buybox altı ("BUYBOX'A GİR"). 2) Buybox altı min kârı korumuyorsa: min kârı koruyan EN DÜŞÜK fiyat önerilir (tüm baremler taranır, en ucuz uygun barem seçilir). 3) Buybox girilmemişse: HEDEF kârı koruyan en düşük fiyat önerilir.</t>
        </is>
      </c>
    </row>
    <row r="7" ht="16" customHeight="1">
      <c r="A7" s="3" t="inlineStr">
        <is>
          <t>Dönem seçici</t>
        </is>
      </c>
      <c r="B7" s="2" t="inlineStr">
        <is>
          <t>KÂRLILIK AL1 hücresi: 1 = ilk tarife dönemi, 2 = ikinci dönem. Tüm hesap seçili dönemin komisyonlarıyla yapılır.</t>
        </is>
      </c>
    </row>
    <row r="8" ht="32" customHeight="1">
      <c r="A8" s="3" t="inlineStr">
        <is>
          <t>Not</t>
        </is>
      </c>
      <c r="B8" s="2" t="inlineStr">
        <is>
          <t>Kâr %% satış fiyatı üzerindendir. Kargo: fiyat ≤199,99→47,40; 200-399,99→85,40; üstü desi tarifesi. En düşük fiyat hesabında desi kargosu varsayılır (400 TL üstü ürünlerde birebir doğru).</t>
        </is>
      </c>
    </row>
    <row r="13">
      <c r="A13" s="20" t="inlineStr">
        <is>
          <t>PLUS + Güncelleme</t>
        </is>
      </c>
      <c r="B13" s="2" t="inlineStr">
        <is>
          <t>Plus tarifesi turuncu blokta: Plus limit fiyatında satarsan komisyon/kâr ve mevcut öneriyle farkı. GÜNCELLEME: tarife dosyalarını Downloads'a indir → masaüstündeki "Trendyol Güncelle.command"a çift tıkla. Script en yeni normal+Plus dosyayı içerikten tanır, sekmelere işler, API fiyat/stok senkronunu çalıştırır ve dosyayı açar. Yapıştırma yok.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10" defaultColWidth="8.83203125" defaultRowHeight="15"/>
  <cols>
    <col width="34" customWidth="1" min="1" max="1"/>
    <col width="13" customWidth="1" min="2" max="35"/>
  </cols>
  <sheetData>
    <row r="1" ht="30" customHeight="1">
      <c r="A1" s="19" t="inlineStr">
        <is>
          <t>ÜRÜN İSMİ</t>
        </is>
      </c>
      <c r="B1" s="19" t="inlineStr">
        <is>
          <t>BARKOD</t>
        </is>
      </c>
      <c r="C1" s="19" t="inlineStr">
        <is>
          <t>SATICI STOK KODU</t>
        </is>
      </c>
      <c r="D1" s="19" t="inlineStr">
        <is>
          <t>BEDEN</t>
        </is>
      </c>
      <c r="E1" s="19" t="inlineStr">
        <is>
          <t>MODEL KODU</t>
        </is>
      </c>
      <c r="F1" s="19" t="inlineStr">
        <is>
          <t>KATEGORİ</t>
        </is>
      </c>
      <c r="G1" s="19" t="inlineStr">
        <is>
          <t>MARKA</t>
        </is>
      </c>
      <c r="H1" s="19" t="inlineStr">
        <is>
          <t>STOK</t>
        </is>
      </c>
      <c r="I1" s="19" t="inlineStr">
        <is>
          <t>1.Fiyat Alt Limit</t>
        </is>
      </c>
      <c r="J1" s="19" t="inlineStr">
        <is>
          <t>2.Fiyat Üst Limiti</t>
        </is>
      </c>
      <c r="K1" s="19" t="inlineStr">
        <is>
          <t>2.Fiyat Alt Limit</t>
        </is>
      </c>
      <c r="L1" s="19" t="inlineStr">
        <is>
          <t>3.Fiyat Üst Limiti</t>
        </is>
      </c>
      <c r="M1" s="19" t="inlineStr">
        <is>
          <t>3.Fiyat Alt Limit</t>
        </is>
      </c>
      <c r="N1" s="19" t="inlineStr">
        <is>
          <t>4.Fiyat Üst Limiti</t>
        </is>
      </c>
      <c r="O1" s="19" t="inlineStr">
        <is>
          <t>Tarih aralığı (3 Gün)</t>
        </is>
      </c>
      <c r="P1" s="19" t="inlineStr">
        <is>
          <t>1.KOMİSYON</t>
        </is>
      </c>
      <c r="Q1" s="19" t="inlineStr">
        <is>
          <t>2.KOMİSYON</t>
        </is>
      </c>
      <c r="R1" s="19" t="inlineStr">
        <is>
          <t>3.KOMİSYON</t>
        </is>
      </c>
      <c r="S1" s="19" t="inlineStr">
        <is>
          <t>4.KOMİSYON</t>
        </is>
      </c>
      <c r="T1" s="19" t="inlineStr">
        <is>
          <t>Tarih aralığı (4 Gün)</t>
        </is>
      </c>
      <c r="U1" s="19" t="inlineStr">
        <is>
          <t>1.KOMİSYON</t>
        </is>
      </c>
      <c r="V1" s="19" t="inlineStr">
        <is>
          <t>2.KOMİSYON</t>
        </is>
      </c>
      <c r="W1" s="19" t="inlineStr">
        <is>
          <t>3.KOMİSYON</t>
        </is>
      </c>
      <c r="X1" s="19" t="inlineStr">
        <is>
          <t>4.KOMİSYON</t>
        </is>
      </c>
      <c r="Y1" s="19" t="inlineStr">
        <is>
          <t>KOMİSYONA ESAS FİYAT</t>
        </is>
      </c>
      <c r="Z1" s="19" t="inlineStr">
        <is>
          <t>GÜNCEL KOMİSYON</t>
        </is>
      </c>
      <c r="AA1" s="19" t="inlineStr">
        <is>
          <t>GÜNCEL TSF</t>
        </is>
      </c>
      <c r="AB1" s="19" t="inlineStr">
        <is>
          <t>YENİ TSF (FİYAT GÜNCELLE)</t>
        </is>
      </c>
      <c r="AC1" s="19" t="inlineStr">
        <is>
          <t>Hesaplanan Komisyon (3 Gün)</t>
        </is>
      </c>
      <c r="AD1" s="19" t="inlineStr">
        <is>
          <t>Hesaplanan Komisyon (4 Gün)</t>
        </is>
      </c>
      <c r="AE1" s="19" t="inlineStr">
        <is>
          <t>Tarife Seçimi</t>
        </is>
      </c>
      <c r="AF1" s="19" t="inlineStr">
        <is>
          <t>FIRST EXTERNAL ID</t>
        </is>
      </c>
      <c r="AG1" s="19" t="inlineStr">
        <is>
          <t>SECOND EXTERNAL ID</t>
        </is>
      </c>
      <c r="AH1" s="19" t="inlineStr">
        <is>
          <t>FULL EXTERNAL ID</t>
        </is>
      </c>
      <c r="AI1" s="19" t="inlineStr">
        <is>
          <t>TARİFE GRUBU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8" customWidth="1" min="2" max="2"/>
    <col width="16" customWidth="1" min="3" max="3"/>
    <col width="26" customWidth="1" min="4" max="4"/>
    <col width="12" customWidth="1" min="5" max="5"/>
  </cols>
  <sheetData>
    <row r="1">
      <c r="A1" s="4" t="inlineStr">
        <is>
          <t>Desi</t>
        </is>
      </c>
      <c r="B1" s="4" t="inlineStr">
        <is>
          <t>Trendyol Kargo (TL, KDV dahil) — Aras 10.08.2026</t>
        </is>
      </c>
      <c r="C1" s="19" t="inlineStr">
        <is>
          <t>HB Kargo (TL)</t>
        </is>
      </c>
      <c r="D1" s="4" t="inlineStr">
        <is>
          <t>Fiyat baremli kargo</t>
        </is>
      </c>
      <c r="E1" s="4" t="n"/>
    </row>
    <row r="2">
      <c r="A2" t="n">
        <v>1</v>
      </c>
      <c r="B2" t="n">
        <v>106.75</v>
      </c>
      <c r="C2" t="n">
        <v>106.8</v>
      </c>
      <c r="D2" t="inlineStr">
        <is>
          <t>Fiyat 0-199,99</t>
        </is>
      </c>
      <c r="E2" t="n">
        <v>47.4</v>
      </c>
    </row>
    <row r="3">
      <c r="A3" t="n">
        <v>2</v>
      </c>
      <c r="B3" t="n">
        <v>106.75</v>
      </c>
      <c r="C3" t="n">
        <v>106.8</v>
      </c>
      <c r="D3" t="inlineStr">
        <is>
          <t>Fiyat 200-399,99</t>
        </is>
      </c>
      <c r="E3" t="n">
        <v>85.40000000000001</v>
      </c>
    </row>
    <row r="4">
      <c r="A4" t="n">
        <v>3</v>
      </c>
      <c r="B4" t="n">
        <v>121.01</v>
      </c>
      <c r="C4" t="n">
        <v>125.4</v>
      </c>
    </row>
    <row r="5">
      <c r="A5" t="n">
        <v>4</v>
      </c>
      <c r="B5" t="n">
        <v>131.88</v>
      </c>
      <c r="C5" t="n">
        <v>134.81</v>
      </c>
    </row>
    <row r="6">
      <c r="A6" t="n">
        <v>5</v>
      </c>
      <c r="B6" t="n">
        <v>141.42</v>
      </c>
      <c r="C6" t="n">
        <v>142.99</v>
      </c>
    </row>
    <row r="7">
      <c r="A7" t="n">
        <v>6</v>
      </c>
      <c r="B7" t="n">
        <v>154.07</v>
      </c>
      <c r="C7" t="n">
        <v>153.86</v>
      </c>
    </row>
    <row r="8">
      <c r="A8" t="n">
        <v>7</v>
      </c>
      <c r="B8" t="n">
        <v>163.4</v>
      </c>
      <c r="C8" t="n">
        <v>163.32</v>
      </c>
    </row>
    <row r="9">
      <c r="A9" t="n">
        <v>8</v>
      </c>
      <c r="B9" t="n">
        <v>174.32</v>
      </c>
      <c r="C9" t="n">
        <v>171.85</v>
      </c>
    </row>
    <row r="10">
      <c r="A10" t="n">
        <v>9</v>
      </c>
      <c r="B10" t="n">
        <v>184.32</v>
      </c>
      <c r="C10" t="n">
        <v>182.27</v>
      </c>
    </row>
    <row r="11">
      <c r="A11" t="n">
        <v>10</v>
      </c>
      <c r="B11" t="n">
        <v>197.08</v>
      </c>
      <c r="C11" t="n">
        <v>191.54</v>
      </c>
    </row>
    <row r="12">
      <c r="A12" t="n">
        <v>11</v>
      </c>
      <c r="B12" t="n">
        <v>207.71</v>
      </c>
      <c r="C12" t="n">
        <v>199.5</v>
      </c>
    </row>
    <row r="13">
      <c r="A13" t="n">
        <v>12</v>
      </c>
      <c r="B13" t="n">
        <v>215.36</v>
      </c>
      <c r="C13" t="n">
        <v>207.58</v>
      </c>
    </row>
    <row r="14">
      <c r="A14" t="n">
        <v>13</v>
      </c>
      <c r="B14" t="n">
        <v>225.13</v>
      </c>
      <c r="C14" t="n">
        <v>225</v>
      </c>
    </row>
    <row r="15">
      <c r="A15" t="n">
        <v>14</v>
      </c>
      <c r="B15" t="n">
        <v>233.81</v>
      </c>
      <c r="C15" t="n">
        <v>229.8</v>
      </c>
    </row>
    <row r="16">
      <c r="A16" t="n">
        <v>15</v>
      </c>
      <c r="B16" t="n">
        <v>242.44</v>
      </c>
      <c r="C16" t="n">
        <v>242.4</v>
      </c>
    </row>
    <row r="17">
      <c r="A17" t="n">
        <v>16</v>
      </c>
      <c r="B17" t="n">
        <v>256.03</v>
      </c>
      <c r="C17" t="n">
        <v>254.4</v>
      </c>
    </row>
    <row r="18">
      <c r="A18" t="n">
        <v>17</v>
      </c>
      <c r="B18" t="n">
        <v>269.54</v>
      </c>
      <c r="C18" t="n">
        <v>262.8</v>
      </c>
    </row>
    <row r="19">
      <c r="A19" t="n">
        <v>18</v>
      </c>
      <c r="B19" t="n">
        <v>283.14</v>
      </c>
      <c r="C19" t="n">
        <v>276.78</v>
      </c>
    </row>
    <row r="20">
      <c r="A20" t="n">
        <v>19</v>
      </c>
      <c r="B20" t="n">
        <v>296.69</v>
      </c>
      <c r="C20" t="n">
        <v>294.96</v>
      </c>
    </row>
    <row r="21">
      <c r="A21" t="n">
        <v>20</v>
      </c>
      <c r="B21" t="n">
        <v>302.51</v>
      </c>
      <c r="C21" t="n">
        <v>303.2</v>
      </c>
    </row>
    <row r="22">
      <c r="A22" t="n">
        <v>21</v>
      </c>
      <c r="B22" t="n">
        <v>317.76</v>
      </c>
    </row>
    <row r="23">
      <c r="A23" t="n">
        <v>22</v>
      </c>
      <c r="B23" t="n">
        <v>331.68</v>
      </c>
    </row>
    <row r="24">
      <c r="A24" t="n">
        <v>23</v>
      </c>
      <c r="B24" t="n">
        <v>345.56</v>
      </c>
    </row>
    <row r="25">
      <c r="A25" t="n">
        <v>24</v>
      </c>
      <c r="B25" t="n">
        <v>357.91</v>
      </c>
    </row>
    <row r="26">
      <c r="A26" t="n">
        <v>25</v>
      </c>
      <c r="B26" t="n">
        <v>370.2</v>
      </c>
    </row>
    <row r="27">
      <c r="A27" t="n">
        <v>26</v>
      </c>
      <c r="B27" t="n">
        <v>387.42</v>
      </c>
    </row>
    <row r="28">
      <c r="A28" t="n">
        <v>27</v>
      </c>
      <c r="B28" t="n">
        <v>403.13</v>
      </c>
    </row>
    <row r="29">
      <c r="A29" t="n">
        <v>28</v>
      </c>
      <c r="B29" t="n">
        <v>417.19</v>
      </c>
    </row>
    <row r="30">
      <c r="A30" t="n">
        <v>29</v>
      </c>
      <c r="B30" t="n">
        <v>433.31</v>
      </c>
    </row>
    <row r="31">
      <c r="A31" t="n">
        <v>30</v>
      </c>
      <c r="B31" t="n">
        <v>445.61</v>
      </c>
    </row>
    <row r="32">
      <c r="A32" t="n">
        <v>31</v>
      </c>
      <c r="B32" t="n">
        <v>459.74</v>
      </c>
    </row>
    <row r="33">
      <c r="A33" t="n">
        <v>32</v>
      </c>
      <c r="B33" t="n">
        <v>473.88</v>
      </c>
    </row>
    <row r="34">
      <c r="A34" t="n">
        <v>33</v>
      </c>
      <c r="B34" t="n">
        <v>488.02</v>
      </c>
    </row>
    <row r="35">
      <c r="A35" t="n">
        <v>34</v>
      </c>
      <c r="B35" t="n">
        <v>502.15</v>
      </c>
    </row>
    <row r="36">
      <c r="A36" t="n">
        <v>35</v>
      </c>
      <c r="B36" t="n">
        <v>516.29</v>
      </c>
    </row>
    <row r="37">
      <c r="A37" t="n">
        <v>36</v>
      </c>
      <c r="B37" t="n">
        <v>530.42</v>
      </c>
    </row>
    <row r="38">
      <c r="A38" t="n">
        <v>37</v>
      </c>
      <c r="B38" t="n">
        <v>544.5599999999999</v>
      </c>
    </row>
    <row r="39">
      <c r="A39" t="n">
        <v>38</v>
      </c>
      <c r="B39" t="n">
        <v>558.7</v>
      </c>
    </row>
    <row r="40">
      <c r="A40" t="n">
        <v>39</v>
      </c>
      <c r="B40" t="n">
        <v>572.83</v>
      </c>
    </row>
    <row r="41">
      <c r="A41" t="n">
        <v>40</v>
      </c>
      <c r="B41" t="n">
        <v>586.97</v>
      </c>
    </row>
    <row r="42">
      <c r="A42" t="n">
        <v>41</v>
      </c>
      <c r="B42" t="n">
        <v>601.1</v>
      </c>
    </row>
    <row r="43">
      <c r="A43" t="n">
        <v>42</v>
      </c>
      <c r="B43" t="n">
        <v>615.24</v>
      </c>
    </row>
    <row r="44">
      <c r="A44" t="n">
        <v>43</v>
      </c>
      <c r="B44" t="n">
        <v>629.38</v>
      </c>
    </row>
    <row r="45">
      <c r="A45" t="n">
        <v>44</v>
      </c>
      <c r="B45" t="n">
        <v>643.51</v>
      </c>
    </row>
    <row r="46">
      <c r="A46" t="n">
        <v>45</v>
      </c>
      <c r="B46" t="n">
        <v>657.65</v>
      </c>
    </row>
    <row r="47">
      <c r="A47" t="n">
        <v>46</v>
      </c>
      <c r="B47" t="n">
        <v>671.78</v>
      </c>
    </row>
    <row r="48">
      <c r="A48" t="n">
        <v>47</v>
      </c>
      <c r="B48" t="n">
        <v>685.92</v>
      </c>
    </row>
    <row r="49">
      <c r="A49" t="n">
        <v>48</v>
      </c>
      <c r="B49" t="n">
        <v>700.0599999999999</v>
      </c>
    </row>
    <row r="50">
      <c r="A50" t="n">
        <v>49</v>
      </c>
      <c r="B50" t="n">
        <v>714.2</v>
      </c>
    </row>
    <row r="51">
      <c r="A51" t="n">
        <v>50</v>
      </c>
      <c r="B51" t="n">
        <v>728.34</v>
      </c>
    </row>
    <row r="52">
      <c r="A52" t="n">
        <v>51</v>
      </c>
      <c r="B52" t="n">
        <v>742.48</v>
      </c>
    </row>
    <row r="53">
      <c r="A53" t="n">
        <v>52</v>
      </c>
      <c r="B53" t="n">
        <v>756.61</v>
      </c>
    </row>
    <row r="54">
      <c r="A54" t="n">
        <v>53</v>
      </c>
      <c r="B54" t="n">
        <v>770.75</v>
      </c>
    </row>
    <row r="55">
      <c r="A55" t="n">
        <v>54</v>
      </c>
      <c r="B55" t="n">
        <v>784.88</v>
      </c>
    </row>
    <row r="56">
      <c r="A56" t="n">
        <v>55</v>
      </c>
      <c r="B56" t="n">
        <v>799.02</v>
      </c>
    </row>
    <row r="57">
      <c r="A57" t="n">
        <v>56</v>
      </c>
      <c r="B57" t="n">
        <v>813.16</v>
      </c>
    </row>
    <row r="58">
      <c r="A58" t="n">
        <v>57</v>
      </c>
      <c r="B58" t="n">
        <v>827.29</v>
      </c>
    </row>
    <row r="59">
      <c r="A59" t="n">
        <v>58</v>
      </c>
      <c r="B59" t="n">
        <v>841.4299999999999</v>
      </c>
    </row>
    <row r="60">
      <c r="A60" t="n">
        <v>59</v>
      </c>
      <c r="B60" t="n">
        <v>855.5599999999999</v>
      </c>
    </row>
    <row r="61">
      <c r="A61" t="n">
        <v>60</v>
      </c>
      <c r="B61" t="n">
        <v>869.7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D11" sqref="D11"/>
    </sheetView>
  </sheetViews>
  <sheetFormatPr baseColWidth="10" defaultColWidth="8.83203125" defaultRowHeight="15"/>
  <cols>
    <col width="20" customWidth="1" min="1" max="1"/>
    <col width="50" customWidth="1" min="2" max="2"/>
    <col width="22" customWidth="1" min="3" max="3"/>
    <col width="8" customWidth="1" min="4" max="4"/>
    <col width="18" customWidth="1" min="5" max="5"/>
    <col width="20" customWidth="1" min="6" max="6"/>
    <col width="14" customWidth="1" min="7" max="7"/>
    <col width="18" customWidth="1" min="8" max="8"/>
    <col width="28" customWidth="1" min="9" max="9"/>
    <col width="26" customWidth="1" min="11" max="11"/>
  </cols>
  <sheetData>
    <row r="1">
      <c r="A1" s="4" t="inlineStr">
        <is>
          <t>Barkod</t>
        </is>
      </c>
      <c r="B1" s="4" t="inlineStr">
        <is>
          <t>Ürün Adı</t>
        </is>
      </c>
      <c r="C1" s="4" t="inlineStr">
        <is>
          <t>Alış Maliyeti (TL)</t>
        </is>
      </c>
      <c r="D1" s="4" t="inlineStr">
        <is>
          <t>Desi</t>
        </is>
      </c>
      <c r="E1" s="4" t="inlineStr">
        <is>
          <t>Buybox Fiyatı (TL)</t>
        </is>
      </c>
      <c r="F1" s="19" t="inlineStr">
        <is>
          <t>Canlı Satış Fiyatı (API)</t>
        </is>
      </c>
      <c r="G1" s="19" t="inlineStr">
        <is>
          <t>Canlı Stok (API)</t>
        </is>
      </c>
      <c r="H1" s="19" t="inlineStr">
        <is>
          <t>API Güncelleme</t>
        </is>
      </c>
      <c r="I1" s="19" t="inlineStr">
        <is>
          <t>Maliyet Kaynağı</t>
        </is>
      </c>
      <c r="K1" s="19" t="inlineStr">
        <is>
          <t>Desi Kaynağı</t>
        </is>
      </c>
      <c r="M1" t="inlineStr">
        <is>
          <t>Kategori</t>
        </is>
      </c>
      <c r="N1" t="inlineStr">
        <is>
          <t>Komisyon (API)</t>
        </is>
      </c>
      <c r="O1" t="inlineStr">
        <is>
          <t>Buybox Sırası</t>
        </is>
      </c>
      <c r="P1" t="inlineStr">
        <is>
          <t>Rakip Var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J16" sqref="J16"/>
    </sheetView>
  </sheetViews>
  <sheetFormatPr baseColWidth="10" defaultColWidth="8.83203125" defaultRowHeight="15"/>
  <cols>
    <col width="36" customWidth="1" min="1" max="1"/>
    <col width="12" customWidth="1" min="2" max="3"/>
  </cols>
  <sheetData>
    <row r="1">
      <c r="A1" s="4" t="inlineStr">
        <is>
          <t>Kategori</t>
        </is>
      </c>
      <c r="B1" s="4" t="inlineStr">
        <is>
          <t>Min Kâr %</t>
        </is>
      </c>
      <c r="C1" s="4" t="inlineStr">
        <is>
          <t>Hedef Kâr %</t>
        </is>
      </c>
      <c r="D1" s="4" t="inlineStr">
        <is>
          <t>Tavan Kâr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01"/>
  <sheetViews>
    <sheetView workbookViewId="0">
      <pane xSplit="3" ySplit="1" topLeftCell="W2" activePane="bottomRight" state="frozen"/>
      <selection pane="topRight" activeCell="A1" sqref="A1"/>
      <selection pane="bottomLeft" activeCell="A1" sqref="A1"/>
      <selection pane="bottomRight" activeCell="AH6" sqref="AH6"/>
    </sheetView>
  </sheetViews>
  <sheetFormatPr baseColWidth="10" defaultColWidth="8.83203125" defaultRowHeight="15"/>
  <cols>
    <col width="32" customWidth="1" min="1" max="1"/>
    <col width="16" customWidth="1" min="2" max="2"/>
    <col width="22" customWidth="1" min="3" max="3"/>
    <col width="10" customWidth="1" min="4" max="4"/>
    <col width="6" customWidth="1" min="5" max="5"/>
    <col width="11" customWidth="1" min="6" max="7"/>
    <col width="8" customWidth="1" min="8" max="8"/>
    <col width="10" customWidth="1" min="9" max="9"/>
    <col width="8" customWidth="1" min="10" max="10"/>
    <col width="11" customWidth="1" min="11" max="11"/>
    <col width="8" customWidth="1" min="12" max="12"/>
    <col width="10" customWidth="1" min="13" max="13"/>
    <col width="8" customWidth="1" min="14" max="14"/>
    <col width="11" customWidth="1" min="15" max="15"/>
    <col width="8" customWidth="1" min="16" max="16"/>
    <col width="10" customWidth="1" min="17" max="17"/>
    <col width="8" customWidth="1" min="18" max="18"/>
    <col width="11" customWidth="1" min="19" max="19"/>
    <col width="8" customWidth="1" min="20" max="20"/>
    <col width="10" customWidth="1" min="21" max="21"/>
    <col width="8" customWidth="1" min="22" max="22"/>
    <col width="9" customWidth="1" min="23" max="24"/>
    <col width="11" customWidth="1" min="25" max="26"/>
    <col width="9" customWidth="1" min="27" max="27"/>
    <col width="11" customWidth="1" min="28" max="28"/>
    <col width="9" customWidth="1" min="29" max="29"/>
    <col width="13" customWidth="1" min="30" max="32"/>
    <col width="12" customWidth="1" min="33" max="33"/>
    <col width="10" customWidth="1" min="34" max="34"/>
    <col width="30" customWidth="1" min="35" max="35"/>
    <col width="13" customWidth="1" min="36" max="36"/>
    <col width="13" customWidth="1" min="37" max="37"/>
    <col width="16" customWidth="1" min="38" max="38"/>
    <col width="26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30" customHeight="1">
      <c r="A1" s="4" t="inlineStr">
        <is>
          <t>Ürün</t>
        </is>
      </c>
      <c r="B1" s="4" t="inlineStr">
        <is>
          <t>Barkod</t>
        </is>
      </c>
      <c r="C1" s="4" t="inlineStr">
        <is>
          <t>Kategori</t>
        </is>
      </c>
      <c r="D1" s="4" t="inlineStr">
        <is>
          <t>Maliyet</t>
        </is>
      </c>
      <c r="E1" s="4" t="inlineStr">
        <is>
          <t>Desi</t>
        </is>
      </c>
      <c r="F1" s="4" t="inlineStr">
        <is>
          <t>Kargo(desi)</t>
        </is>
      </c>
      <c r="G1" s="4" t="inlineStr">
        <is>
          <t>B1 Fiyat(TSF)</t>
        </is>
      </c>
      <c r="H1" s="4" t="inlineStr">
        <is>
          <t>B1 Kom%</t>
        </is>
      </c>
      <c r="I1" s="4" t="inlineStr">
        <is>
          <t>B1 Kâr TL</t>
        </is>
      </c>
      <c r="J1" s="4" t="inlineStr">
        <is>
          <t>B1 Kâr%</t>
        </is>
      </c>
      <c r="K1" s="4" t="inlineStr">
        <is>
          <t>B2 Fiyat</t>
        </is>
      </c>
      <c r="L1" s="4" t="inlineStr">
        <is>
          <t>B2 Kom%</t>
        </is>
      </c>
      <c r="M1" s="4" t="inlineStr">
        <is>
          <t>B2 Kâr TL</t>
        </is>
      </c>
      <c r="N1" s="4" t="inlineStr">
        <is>
          <t>B2 Kâr%</t>
        </is>
      </c>
      <c r="O1" s="4" t="inlineStr">
        <is>
          <t>B3 Fiyat</t>
        </is>
      </c>
      <c r="P1" s="4" t="inlineStr">
        <is>
          <t>B3 Kom%</t>
        </is>
      </c>
      <c r="Q1" s="4" t="inlineStr">
        <is>
          <t>B3 Kâr TL</t>
        </is>
      </c>
      <c r="R1" s="4" t="inlineStr">
        <is>
          <t>B3 Kâr%</t>
        </is>
      </c>
      <c r="S1" s="4" t="inlineStr">
        <is>
          <t>B4 Fiyat</t>
        </is>
      </c>
      <c r="T1" s="4" t="inlineStr">
        <is>
          <t>B4 Kom%</t>
        </is>
      </c>
      <c r="U1" s="4" t="inlineStr">
        <is>
          <t>B4 Kâr TL</t>
        </is>
      </c>
      <c r="V1" s="4" t="inlineStr">
        <is>
          <t>B4 Kâr%</t>
        </is>
      </c>
      <c r="W1" s="4" t="inlineStr">
        <is>
          <t>Min Kâr%</t>
        </is>
      </c>
      <c r="X1" s="4" t="inlineStr">
        <is>
          <t>Hedef Kâr%</t>
        </is>
      </c>
      <c r="Y1" s="4" t="inlineStr">
        <is>
          <t>BUYBOX</t>
        </is>
      </c>
      <c r="Z1" s="4" t="inlineStr">
        <is>
          <t>BB Altı Fiyat</t>
        </is>
      </c>
      <c r="AA1" s="4" t="inlineStr">
        <is>
          <t>BB Altı Kom%</t>
        </is>
      </c>
      <c r="AB1" s="4" t="inlineStr">
        <is>
          <t>BB Altı Kâr TL</t>
        </is>
      </c>
      <c r="AC1" s="4" t="inlineStr">
        <is>
          <t>BB Altı Kâr%</t>
        </is>
      </c>
      <c r="AD1" s="4" t="inlineStr">
        <is>
          <t>Min Fiyat (min kâr)</t>
        </is>
      </c>
      <c r="AE1" s="4" t="inlineStr">
        <is>
          <t>Min Fiyat (hedef kâr)</t>
        </is>
      </c>
      <c r="AF1" s="4" t="inlineStr">
        <is>
          <t>ÖNERİLEN FİYAT</t>
        </is>
      </c>
      <c r="AG1" s="4" t="inlineStr">
        <is>
          <t>ÖNERİ KÂR TL</t>
        </is>
      </c>
      <c r="AH1" s="4" t="inlineStr">
        <is>
          <t>ÖNERİ KÂR %</t>
        </is>
      </c>
      <c r="AI1" s="4" t="inlineStr">
        <is>
          <t>DURUM</t>
        </is>
      </c>
      <c r="AJ1" s="19" t="inlineStr">
        <is>
          <t>CANLI FİYAT (API)</t>
        </is>
      </c>
      <c r="AK1" s="19" t="inlineStr">
        <is>
          <t>CANLI STOK</t>
        </is>
      </c>
      <c r="AL1" s="7" t="inlineStr">
        <is>
          <t>DÖNEM SEÇ (1/2) →</t>
        </is>
      </c>
      <c r="AM1" s="8" t="n">
        <v>1</v>
      </c>
      <c r="AN1" s="9">
        <f>IF($AM$1=2,'Komisyon Tarifeleri'!T2,'Komisyon Tarifeleri'!O2)</f>
        <v/>
      </c>
      <c r="AO1" s="19" t="inlineStr">
        <is>
          <t>PLUS Limit Fiyat</t>
        </is>
      </c>
      <c r="AP1" s="19" t="inlineStr">
        <is>
          <t>PLUS Kom%</t>
        </is>
      </c>
      <c r="AQ1" s="19" t="inlineStr">
        <is>
          <t>PLUS Kâr TL</t>
        </is>
      </c>
      <c r="AR1" s="19" t="inlineStr">
        <is>
          <t>PLUS Kâr %</t>
        </is>
      </c>
      <c r="AS1" s="19" t="inlineStr">
        <is>
          <t>PLUS − ÖNERİ (TL)</t>
        </is>
      </c>
    </row>
    <row r="2">
      <c r="A2">
        <f>IF('Komisyon Tarifeleri'!A2="","",'Komisyon Tarifeleri'!A2)</f>
        <v/>
      </c>
      <c r="B2">
        <f>IF('Komisyon Tarifeleri'!B2="","",'Komisyon Tarifeleri'!B2&amp;"")</f>
        <v/>
      </c>
      <c r="C2">
        <f>IF($B2="","",'Komisyon Tarifeleri'!F2)</f>
        <v/>
      </c>
      <c r="D2" s="10">
        <f>IF($B2="","",IFERROR(VLOOKUP($B2,Maliyetler!$A:$E,3,FALSE),""))</f>
        <v/>
      </c>
      <c r="E2">
        <f>IF($B2="","",IFERROR(VLOOKUP($B2,Maliyetler!$A:$E,4,FALSE),1))</f>
        <v/>
      </c>
      <c r="F2" s="10">
        <f>IF($B2="","",IFERROR(VLOOKUP(MIN(20,MAX(1,ROUND($E2,0))),Kargo!$A:$B,2,FALSE),99.46))</f>
        <v/>
      </c>
      <c r="G2" s="10">
        <f>IF($B2="","",IF(IF(N('Komisyon Tarifeleri'!AA2)&gt;='Komisyon Tarifeleri'!I2,'Komisyon Tarifeleri'!AA2,'Komisyon Tarifeleri'!I2)="","",IF(N('Komisyon Tarifeleri'!AA2)&gt;='Komisyon Tarifeleri'!I2,'Komisyon Tarifeleri'!AA2,'Komisyon Tarifeleri'!I2)))</f>
        <v/>
      </c>
      <c r="H2" s="11">
        <f>IF(G2="","",IF($AM$1=2,'Komisyon Tarifeleri'!U2,'Komisyon Tarifeleri'!P2))</f>
        <v/>
      </c>
      <c r="I2" s="10">
        <f>IF(OR(G2="",$D2=""),"",G2*(1-H2/100)-$D2-IF(G2&lt;=199.99,Kargo!$E$2,IF(G2&lt;=399.99,Kargo!$E$3,$F2)))</f>
        <v/>
      </c>
      <c r="J2" s="12">
        <f>IF(I2="","",I2/G2)</f>
        <v/>
      </c>
      <c r="K2" s="10">
        <f>IF($B2="","",IF('Komisyon Tarifeleri'!J2="","",'Komisyon Tarifeleri'!J2))</f>
        <v/>
      </c>
      <c r="L2" s="11">
        <f>IF(K2="","",IF($AM$1=2,'Komisyon Tarifeleri'!V2,'Komisyon Tarifeleri'!Q2))</f>
        <v/>
      </c>
      <c r="M2" s="10">
        <f>IF(OR(K2="",$D2=""),"",K2*(1-L2/100)-$D2-IF(K2&lt;=199.99,Kargo!$E$2,IF(K2&lt;=399.99,Kargo!$E$3,$F2)))</f>
        <v/>
      </c>
      <c r="N2" s="12">
        <f>IF(M2="","",M2/K2)</f>
        <v/>
      </c>
      <c r="O2" s="10">
        <f>IF($B2="","",IF('Komisyon Tarifeleri'!L2="","",'Komisyon Tarifeleri'!L2))</f>
        <v/>
      </c>
      <c r="P2" s="11">
        <f>IF(O2="","",IF($AM$1=2,'Komisyon Tarifeleri'!W2,'Komisyon Tarifeleri'!R2))</f>
        <v/>
      </c>
      <c r="Q2" s="10">
        <f>IF(OR(O2="",$D2=""),"",O2*(1-P2/100)-$D2-IF(O2&lt;=199.99,Kargo!$E$2,IF(O2&lt;=399.99,Kargo!$E$3,$F2)))</f>
        <v/>
      </c>
      <c r="R2" s="12">
        <f>IF(Q2="","",Q2/O2)</f>
        <v/>
      </c>
      <c r="S2" s="10">
        <f>IF($B2="","",IF('Komisyon Tarifeleri'!N2="","",'Komisyon Tarifeleri'!N2))</f>
        <v/>
      </c>
      <c r="T2" s="11">
        <f>IF(S2="","",IF($AM$1=2,'Komisyon Tarifeleri'!X2,'Komisyon Tarifeleri'!S2))</f>
        <v/>
      </c>
      <c r="U2" s="10">
        <f>IF(OR(S2="",$D2=""),"",S2*(1-T2/100)-$D2-IF(S2&lt;=199.99,Kargo!$E$2,IF(S2&lt;=399.99,Kargo!$E$3,$F2)))</f>
        <v/>
      </c>
      <c r="V2" s="12">
        <f>IF(U2="","",U2/S2)</f>
        <v/>
      </c>
      <c r="W2" s="12">
        <f>IF($B2="","",IFERROR(VLOOKUP($C2,Hedefler!$A:$C,2,FALSE),0.04))</f>
        <v/>
      </c>
      <c r="X2" s="12">
        <f>IF($B2="","",IFERROR(VLOOKUP($C2,Hedefler!$A:$C,3,FALSE),0.1))</f>
        <v/>
      </c>
      <c r="Y2" s="13">
        <f>IF($B2="","",IFERROR(VLOOKUP($B2,Maliyetler!$A:$E,5,FALSE),""))</f>
        <v/>
      </c>
      <c r="Z2" s="13">
        <f>IF(OR(Y2="",Y2=0),"",Y2-1)</f>
        <v/>
      </c>
      <c r="AA2" s="14">
        <f>IF(Z2="","",IF(Z2&gt;='Komisyon Tarifeleri'!I2,IF($AM$1=2,'Komisyon Tarifeleri'!U2,'Komisyon Tarifeleri'!P2),IF(Z2&gt;='Komisyon Tarifeleri'!K2,IF($AM$1=2,'Komisyon Tarifeleri'!V2,'Komisyon Tarifeleri'!Q2),IF(Z2&gt;='Komisyon Tarifeleri'!M2,IF($AM$1=2,'Komisyon Tarifeleri'!W2,'Komisyon Tarifeleri'!R2),IF($AM$1=2,'Komisyon Tarifeleri'!X2,'Komisyon Tarifeleri'!S2)))))</f>
        <v/>
      </c>
      <c r="AB2" s="13">
        <f>IF(OR(AA2="",$D2=""),"",Z2*(1-AA2/100)-$D2-IF(Z2&lt;=199.99,Kargo!$E$2,IF(Z2&lt;=399.99,Kargo!$E$3,$F2)))</f>
        <v/>
      </c>
      <c r="AC2" s="15">
        <f>IF(AB2="","",AB2/Z2)</f>
        <v/>
      </c>
      <c r="AD2" s="10">
        <f>IF(OR($D2="",$B2=""),"",IF(AND((1-T2/100-W2)&gt;0,CEILING(($D2+$F2)/(1-T2/100-W2),1)&lt;='Komisyon Tarifeleri'!N2),CEILING(($D2+$F2)/(1-T2/100-W2),1),IF(AND((1-P2/100-W2)&gt;0,CEILING(MAX('Komisyon Tarifeleri'!M2,($D2+$F2)/(1-P2/100-W2)),1)&lt;='Komisyon Tarifeleri'!L2),CEILING(MAX('Komisyon Tarifeleri'!M2,($D2+$F2)/(1-P2/100-W2)),1),IF(AND((1-L2/100-W2)&gt;0,CEILING(MAX('Komisyon Tarifeleri'!K2,($D2+$F2)/(1-L2/100-W2)),1)&lt;='Komisyon Tarifeleri'!J2),CEILING(MAX('Komisyon Tarifeleri'!K2,($D2+$F2)/(1-L2/100-W2)),1),IF((1-H2/100-W2)&gt;0,CEILING(MAX('Komisyon Tarifeleri'!I2,($D2+$F2)/(1-H2/100-W2)),1),"İMKÂNSIZ")))))</f>
        <v/>
      </c>
      <c r="AE2" s="10">
        <f>IF(OR($D2="",$B2=""),"",IF(AND((1-T2/100-X2)&gt;0,CEILING(($D2+$F2)/(1-T2/100-X2),1)&lt;='Komisyon Tarifeleri'!N2),CEILING(($D2+$F2)/(1-T2/100-X2),1),IF(AND((1-P2/100-X2)&gt;0,CEILING(MAX('Komisyon Tarifeleri'!M2,($D2+$F2)/(1-P2/100-X2)),1)&lt;='Komisyon Tarifeleri'!L2),CEILING(MAX('Komisyon Tarifeleri'!M2,($D2+$F2)/(1-P2/100-X2)),1),IF(AND((1-L2/100-X2)&gt;0,CEILING(MAX('Komisyon Tarifeleri'!K2,($D2+$F2)/(1-L2/100-X2)),1)&lt;='Komisyon Tarifeleri'!J2),CEILING(MAX('Komisyon Tarifeleri'!K2,($D2+$F2)/(1-L2/100-X2)),1),IF((1-H2/100-X2)&gt;0,CEILING(MAX('Komisyon Tarifeleri'!I2,($D2+$F2)/(1-H2/100-X2)),1),"İMKÂNSIZ")))))</f>
        <v/>
      </c>
      <c r="AF2" s="16">
        <f>IF($D2="","",IF(AND(Y2&lt;&gt;"",AC2&lt;&gt;"",AC2&gt;=W2),Z2,IF(Y2&lt;&gt;"",AD2,AE2)))</f>
        <v/>
      </c>
      <c r="AG2" s="16">
        <f>IF(OR(AF2="",AF2="İMKÂNSIZ"),"",AF2*(1-IF(AF2&gt;='Komisyon Tarifeleri'!I2,IF($AM$1=2,'Komisyon Tarifeleri'!U2,'Komisyon Tarifeleri'!P2),IF(AF2&gt;='Komisyon Tarifeleri'!K2,IF($AM$1=2,'Komisyon Tarifeleri'!V2,'Komisyon Tarifeleri'!Q2),IF(AF2&gt;='Komisyon Tarifeleri'!M2,IF($AM$1=2,'Komisyon Tarifeleri'!W2,'Komisyon Tarifeleri'!R2),IF($AM$1=2,'Komisyon Tarifeleri'!X2,'Komisyon Tarifeleri'!S2))))/100)-$D2-IF(AF2&lt;=199.99,Kargo!$E$2,IF(AF2&lt;=399.99,Kargo!$E$3,$F2)))</f>
        <v/>
      </c>
      <c r="AH2" s="17">
        <f>IF(AG2="","",AG2/AF2)</f>
        <v/>
      </c>
      <c r="AI2" s="18">
        <f>IF($D2="","",IF(Y2="","BUYBOX YOK → hedef kârla min fiyat",IF(AC2&gt;=W2,"✓ BUYBOX ALTINA GİR","BUYBOX ALTI KÂRSIZ → min kârlı fiyat")))</f>
        <v/>
      </c>
      <c r="AJ2" s="10">
        <f>IF($B2="","",IFERROR(VLOOKUP($B2,Maliyetler!$A:$G,6,FALSE),""))</f>
        <v/>
      </c>
      <c r="AK2">
        <f>IF($B2="","",IFERROR(VLOOKUP($B2,Maliyetler!$A:$G,7,FALSE),""))</f>
        <v/>
      </c>
      <c r="AO2" s="21">
        <f>IF($B2="","",IFERROR(VLOOKUP($B2&amp;"",'Plus Tarifeleri'!$C:$Q,11,FALSE),""))</f>
        <v/>
      </c>
      <c r="AP2" s="22">
        <f>IF(AO2="","",IFERROR(IF($AM$1=2,VLOOKUP($B2&amp;"",'Plus Tarifeleri'!$C:$Q,15,FALSE),VLOOKUP($B2&amp;"",'Plus Tarifeleri'!$C:$Q,13,FALSE)),""))</f>
        <v/>
      </c>
      <c r="AQ2" s="21">
        <f>IF(OR(AO2="",AP2="",$D2=""),"",AO2*(1-AP2/100)-$D2-IF(AO2&lt;=199.99,Kargo!$E$2,IF(AO2&lt;=399.99,Kargo!$E$3,$F2)))</f>
        <v/>
      </c>
      <c r="AR2" s="23">
        <f>IF(AQ2="","",AQ2/AO2)</f>
        <v/>
      </c>
      <c r="AS2" s="24">
        <f>IF(OR(AQ2="",AG2=""),"",AQ2-AG2)</f>
        <v/>
      </c>
    </row>
    <row r="3">
      <c r="A3">
        <f>IF('Komisyon Tarifeleri'!A3="","",'Komisyon Tarifeleri'!A3)</f>
        <v/>
      </c>
      <c r="B3">
        <f>IF('Komisyon Tarifeleri'!B3="","",'Komisyon Tarifeleri'!B3&amp;"")</f>
        <v/>
      </c>
      <c r="C3">
        <f>IF($B3="","",'Komisyon Tarifeleri'!F3)</f>
        <v/>
      </c>
      <c r="D3" s="10">
        <f>IF($B3="","",IFERROR(VLOOKUP($B3,Maliyetler!$A:$E,3,FALSE),""))</f>
        <v/>
      </c>
      <c r="E3">
        <f>IF($B3="","",IFERROR(VLOOKUP($B3,Maliyetler!$A:$E,4,FALSE),1))</f>
        <v/>
      </c>
      <c r="F3" s="10">
        <f>IF($B3="","",IFERROR(VLOOKUP(MIN(20,MAX(1,ROUND($E3,0))),Kargo!$A:$B,2,FALSE),99.46))</f>
        <v/>
      </c>
      <c r="G3" s="10">
        <f>IF($B3="","",IF(IF(N('Komisyon Tarifeleri'!AA3)&gt;='Komisyon Tarifeleri'!I3,'Komisyon Tarifeleri'!AA3,'Komisyon Tarifeleri'!I3)="","",IF(N('Komisyon Tarifeleri'!AA3)&gt;='Komisyon Tarifeleri'!I3,'Komisyon Tarifeleri'!AA3,'Komisyon Tarifeleri'!I3)))</f>
        <v/>
      </c>
      <c r="H3" s="11">
        <f>IF(G3="","",IF($AM$1=2,'Komisyon Tarifeleri'!U3,'Komisyon Tarifeleri'!P3))</f>
        <v/>
      </c>
      <c r="I3" s="10">
        <f>IF(OR(G3="",$D3=""),"",G3*(1-H3/100)-$D3-IF(G3&lt;=199.99,Kargo!$E$2,IF(G3&lt;=399.99,Kargo!$E$3,$F3)))</f>
        <v/>
      </c>
      <c r="J3" s="12">
        <f>IF(I3="","",I3/G3)</f>
        <v/>
      </c>
      <c r="K3" s="10">
        <f>IF($B3="","",IF('Komisyon Tarifeleri'!J3="","",'Komisyon Tarifeleri'!J3))</f>
        <v/>
      </c>
      <c r="L3" s="11">
        <f>IF(K3="","",IF($AM$1=2,'Komisyon Tarifeleri'!V3,'Komisyon Tarifeleri'!Q3))</f>
        <v/>
      </c>
      <c r="M3" s="10">
        <f>IF(OR(K3="",$D3=""),"",K3*(1-L3/100)-$D3-IF(K3&lt;=199.99,Kargo!$E$2,IF(K3&lt;=399.99,Kargo!$E$3,$F3)))</f>
        <v/>
      </c>
      <c r="N3" s="12">
        <f>IF(M3="","",M3/K3)</f>
        <v/>
      </c>
      <c r="O3" s="10">
        <f>IF($B3="","",IF('Komisyon Tarifeleri'!L3="","",'Komisyon Tarifeleri'!L3))</f>
        <v/>
      </c>
      <c r="P3" s="11">
        <f>IF(O3="","",IF($AM$1=2,'Komisyon Tarifeleri'!W3,'Komisyon Tarifeleri'!R3))</f>
        <v/>
      </c>
      <c r="Q3" s="10">
        <f>IF(OR(O3="",$D3=""),"",O3*(1-P3/100)-$D3-IF(O3&lt;=199.99,Kargo!$E$2,IF(O3&lt;=399.99,Kargo!$E$3,$F3)))</f>
        <v/>
      </c>
      <c r="R3" s="12">
        <f>IF(Q3="","",Q3/O3)</f>
        <v/>
      </c>
      <c r="S3" s="10">
        <f>IF($B3="","",IF('Komisyon Tarifeleri'!N3="","",'Komisyon Tarifeleri'!N3))</f>
        <v/>
      </c>
      <c r="T3" s="11">
        <f>IF(S3="","",IF($AM$1=2,'Komisyon Tarifeleri'!X3,'Komisyon Tarifeleri'!S3))</f>
        <v/>
      </c>
      <c r="U3" s="10">
        <f>IF(OR(S3="",$D3=""),"",S3*(1-T3/100)-$D3-IF(S3&lt;=199.99,Kargo!$E$2,IF(S3&lt;=399.99,Kargo!$E$3,$F3)))</f>
        <v/>
      </c>
      <c r="V3" s="12">
        <f>IF(U3="","",U3/S3)</f>
        <v/>
      </c>
      <c r="W3" s="12">
        <f>IF($B3="","",IFERROR(VLOOKUP($C3,Hedefler!$A:$C,2,FALSE),0.04))</f>
        <v/>
      </c>
      <c r="X3" s="12">
        <f>IF($B3="","",IFERROR(VLOOKUP($C3,Hedefler!$A:$C,3,FALSE),0.1))</f>
        <v/>
      </c>
      <c r="Y3" s="13">
        <f>IF($B3="","",IFERROR(VLOOKUP($B3,Maliyetler!$A:$E,5,FALSE),""))</f>
        <v/>
      </c>
      <c r="Z3" s="13">
        <f>IF(OR(Y3="",Y3=0),"",Y3-1)</f>
        <v/>
      </c>
      <c r="AA3" s="14">
        <f>IF(Z3="","",IF(Z3&gt;='Komisyon Tarifeleri'!I3,IF($AM$1=2,'Komisyon Tarifeleri'!U3,'Komisyon Tarifeleri'!P3),IF(Z3&gt;='Komisyon Tarifeleri'!K3,IF($AM$1=2,'Komisyon Tarifeleri'!V3,'Komisyon Tarifeleri'!Q3),IF(Z3&gt;='Komisyon Tarifeleri'!M3,IF($AM$1=2,'Komisyon Tarifeleri'!W3,'Komisyon Tarifeleri'!R3),IF($AM$1=2,'Komisyon Tarifeleri'!X3,'Komisyon Tarifeleri'!S3)))))</f>
        <v/>
      </c>
      <c r="AB3" s="13">
        <f>IF(OR(AA3="",$D3=""),"",Z3*(1-AA3/100)-$D3-IF(Z3&lt;=199.99,Kargo!$E$2,IF(Z3&lt;=399.99,Kargo!$E$3,$F3)))</f>
        <v/>
      </c>
      <c r="AC3" s="15">
        <f>IF(AB3="","",AB3/Z3)</f>
        <v/>
      </c>
      <c r="AD3" s="10">
        <f>IF(OR($D3="",$B3=""),"",IF(AND((1-T3/100-W3)&gt;0,CEILING(($D3+$F3)/(1-T3/100-W3),1)&lt;='Komisyon Tarifeleri'!N3),CEILING(($D3+$F3)/(1-T3/100-W3),1),IF(AND((1-P3/100-W3)&gt;0,CEILING(MAX('Komisyon Tarifeleri'!M3,($D3+$F3)/(1-P3/100-W3)),1)&lt;='Komisyon Tarifeleri'!L3),CEILING(MAX('Komisyon Tarifeleri'!M3,($D3+$F3)/(1-P3/100-W3)),1),IF(AND((1-L3/100-W3)&gt;0,CEILING(MAX('Komisyon Tarifeleri'!K3,($D3+$F3)/(1-L3/100-W3)),1)&lt;='Komisyon Tarifeleri'!J3),CEILING(MAX('Komisyon Tarifeleri'!K3,($D3+$F3)/(1-L3/100-W3)),1),IF((1-H3/100-W3)&gt;0,CEILING(MAX('Komisyon Tarifeleri'!I3,($D3+$F3)/(1-H3/100-W3)),1),"İMKÂNSIZ")))))</f>
        <v/>
      </c>
      <c r="AE3" s="10">
        <f>IF(OR($D3="",$B3=""),"",IF(AND((1-T3/100-X3)&gt;0,CEILING(($D3+$F3)/(1-T3/100-X3),1)&lt;='Komisyon Tarifeleri'!N3),CEILING(($D3+$F3)/(1-T3/100-X3),1),IF(AND((1-P3/100-X3)&gt;0,CEILING(MAX('Komisyon Tarifeleri'!M3,($D3+$F3)/(1-P3/100-X3)),1)&lt;='Komisyon Tarifeleri'!L3),CEILING(MAX('Komisyon Tarifeleri'!M3,($D3+$F3)/(1-P3/100-X3)),1),IF(AND((1-L3/100-X3)&gt;0,CEILING(MAX('Komisyon Tarifeleri'!K3,($D3+$F3)/(1-L3/100-X3)),1)&lt;='Komisyon Tarifeleri'!J3),CEILING(MAX('Komisyon Tarifeleri'!K3,($D3+$F3)/(1-L3/100-X3)),1),IF((1-H3/100-X3)&gt;0,CEILING(MAX('Komisyon Tarifeleri'!I3,($D3+$F3)/(1-H3/100-X3)),1),"İMKÂNSIZ")))))</f>
        <v/>
      </c>
      <c r="AF3" s="16">
        <f>IF($D3="","",IF(AND(Y3&lt;&gt;"",AC3&lt;&gt;"",AC3&gt;=W3),Z3,IF(Y3&lt;&gt;"",AD3,AE3)))</f>
        <v/>
      </c>
      <c r="AG3" s="16">
        <f>IF(OR(AF3="",AF3="İMKÂNSIZ"),"",AF3*(1-IF(AF3&gt;='Komisyon Tarifeleri'!I3,IF($AM$1=2,'Komisyon Tarifeleri'!U3,'Komisyon Tarifeleri'!P3),IF(AF3&gt;='Komisyon Tarifeleri'!K3,IF($AM$1=2,'Komisyon Tarifeleri'!V3,'Komisyon Tarifeleri'!Q3),IF(AF3&gt;='Komisyon Tarifeleri'!M3,IF($AM$1=2,'Komisyon Tarifeleri'!W3,'Komisyon Tarifeleri'!R3),IF($AM$1=2,'Komisyon Tarifeleri'!X3,'Komisyon Tarifeleri'!S3))))/100)-$D3-IF(AF3&lt;=199.99,Kargo!$E$2,IF(AF3&lt;=399.99,Kargo!$E$3,$F3)))</f>
        <v/>
      </c>
      <c r="AH3" s="17">
        <f>IF(AG3="","",AG3/AF3)</f>
        <v/>
      </c>
      <c r="AI3" s="18">
        <f>IF($D3="","",IF(Y3="","BUYBOX YOK → hedef kârla min fiyat",IF(AC3&gt;=W3,"✓ BUYBOX ALTINA GİR","BUYBOX ALTI KÂRSIZ → min kârlı fiyat")))</f>
        <v/>
      </c>
      <c r="AJ3" s="10">
        <f>IF($B3="","",IFERROR(VLOOKUP($B3,Maliyetler!$A:$G,6,FALSE),""))</f>
        <v/>
      </c>
      <c r="AK3">
        <f>IF($B3="","",IFERROR(VLOOKUP($B3,Maliyetler!$A:$G,7,FALSE),""))</f>
        <v/>
      </c>
      <c r="AO3" s="21">
        <f>IF($B3="","",IFERROR(VLOOKUP($B3&amp;"",'Plus Tarifeleri'!$C:$Q,11,FALSE),""))</f>
        <v/>
      </c>
      <c r="AP3" s="22">
        <f>IF(AO3="","",IFERROR(IF($AM$1=2,VLOOKUP($B3&amp;"",'Plus Tarifeleri'!$C:$Q,15,FALSE),VLOOKUP($B3&amp;"",'Plus Tarifeleri'!$C:$Q,13,FALSE)),""))</f>
        <v/>
      </c>
      <c r="AQ3" s="21">
        <f>IF(OR(AO3="",AP3="",$D3=""),"",AO3*(1-AP3/100)-$D3-IF(AO3&lt;=199.99,Kargo!$E$2,IF(AO3&lt;=399.99,Kargo!$E$3,$F3)))</f>
        <v/>
      </c>
      <c r="AR3" s="23">
        <f>IF(AQ3="","",AQ3/AO3)</f>
        <v/>
      </c>
      <c r="AS3" s="24">
        <f>IF(OR(AQ3="",AG3=""),"",AQ3-AG3)</f>
        <v/>
      </c>
    </row>
    <row r="4">
      <c r="A4">
        <f>IF('Komisyon Tarifeleri'!A4="","",'Komisyon Tarifeleri'!A4)</f>
        <v/>
      </c>
      <c r="B4">
        <f>IF('Komisyon Tarifeleri'!B4="","",'Komisyon Tarifeleri'!B4&amp;"")</f>
        <v/>
      </c>
      <c r="C4">
        <f>IF($B4="","",'Komisyon Tarifeleri'!F4)</f>
        <v/>
      </c>
      <c r="D4" s="10">
        <f>IF($B4="","",IFERROR(VLOOKUP($B4,Maliyetler!$A:$E,3,FALSE),""))</f>
        <v/>
      </c>
      <c r="E4">
        <f>IF($B4="","",IFERROR(VLOOKUP($B4,Maliyetler!$A:$E,4,FALSE),1))</f>
        <v/>
      </c>
      <c r="F4" s="10">
        <f>IF($B4="","",IFERROR(VLOOKUP(MIN(20,MAX(1,ROUND($E4,0))),Kargo!$A:$B,2,FALSE),99.46))</f>
        <v/>
      </c>
      <c r="G4" s="10">
        <f>IF($B4="","",IF(IF(N('Komisyon Tarifeleri'!AA4)&gt;='Komisyon Tarifeleri'!I4,'Komisyon Tarifeleri'!AA4,'Komisyon Tarifeleri'!I4)="","",IF(N('Komisyon Tarifeleri'!AA4)&gt;='Komisyon Tarifeleri'!I4,'Komisyon Tarifeleri'!AA4,'Komisyon Tarifeleri'!I4)))</f>
        <v/>
      </c>
      <c r="H4" s="11">
        <f>IF(G4="","",IF($AM$1=2,'Komisyon Tarifeleri'!U4,'Komisyon Tarifeleri'!P4))</f>
        <v/>
      </c>
      <c r="I4" s="10">
        <f>IF(OR(G4="",$D4=""),"",G4*(1-H4/100)-$D4-IF(G4&lt;=199.99,Kargo!$E$2,IF(G4&lt;=399.99,Kargo!$E$3,$F4)))</f>
        <v/>
      </c>
      <c r="J4" s="12">
        <f>IF(I4="","",I4/G4)</f>
        <v/>
      </c>
      <c r="K4" s="10">
        <f>IF($B4="","",IF('Komisyon Tarifeleri'!J4="","",'Komisyon Tarifeleri'!J4))</f>
        <v/>
      </c>
      <c r="L4" s="11">
        <f>IF(K4="","",IF($AM$1=2,'Komisyon Tarifeleri'!V4,'Komisyon Tarifeleri'!Q4))</f>
        <v/>
      </c>
      <c r="M4" s="10">
        <f>IF(OR(K4="",$D4=""),"",K4*(1-L4/100)-$D4-IF(K4&lt;=199.99,Kargo!$E$2,IF(K4&lt;=399.99,Kargo!$E$3,$F4)))</f>
        <v/>
      </c>
      <c r="N4" s="12">
        <f>IF(M4="","",M4/K4)</f>
        <v/>
      </c>
      <c r="O4" s="10">
        <f>IF($B4="","",IF('Komisyon Tarifeleri'!L4="","",'Komisyon Tarifeleri'!L4))</f>
        <v/>
      </c>
      <c r="P4" s="11">
        <f>IF(O4="","",IF($AM$1=2,'Komisyon Tarifeleri'!W4,'Komisyon Tarifeleri'!R4))</f>
        <v/>
      </c>
      <c r="Q4" s="10">
        <f>IF(OR(O4="",$D4=""),"",O4*(1-P4/100)-$D4-IF(O4&lt;=199.99,Kargo!$E$2,IF(O4&lt;=399.99,Kargo!$E$3,$F4)))</f>
        <v/>
      </c>
      <c r="R4" s="12">
        <f>IF(Q4="","",Q4/O4)</f>
        <v/>
      </c>
      <c r="S4" s="10">
        <f>IF($B4="","",IF('Komisyon Tarifeleri'!N4="","",'Komisyon Tarifeleri'!N4))</f>
        <v/>
      </c>
      <c r="T4" s="11">
        <f>IF(S4="","",IF($AM$1=2,'Komisyon Tarifeleri'!X4,'Komisyon Tarifeleri'!S4))</f>
        <v/>
      </c>
      <c r="U4" s="10">
        <f>IF(OR(S4="",$D4=""),"",S4*(1-T4/100)-$D4-IF(S4&lt;=199.99,Kargo!$E$2,IF(S4&lt;=399.99,Kargo!$E$3,$F4)))</f>
        <v/>
      </c>
      <c r="V4" s="12">
        <f>IF(U4="","",U4/S4)</f>
        <v/>
      </c>
      <c r="W4" s="12">
        <f>IF($B4="","",IFERROR(VLOOKUP($C4,Hedefler!$A:$C,2,FALSE),0.04))</f>
        <v/>
      </c>
      <c r="X4" s="12">
        <f>IF($B4="","",IFERROR(VLOOKUP($C4,Hedefler!$A:$C,3,FALSE),0.1))</f>
        <v/>
      </c>
      <c r="Y4" s="13">
        <f>IF($B4="","",IFERROR(VLOOKUP($B4,Maliyetler!$A:$E,5,FALSE),""))</f>
        <v/>
      </c>
      <c r="Z4" s="13">
        <f>IF(OR(Y4="",Y4=0),"",Y4-1)</f>
        <v/>
      </c>
      <c r="AA4" s="14">
        <f>IF(Z4="","",IF(Z4&gt;='Komisyon Tarifeleri'!I4,IF($AM$1=2,'Komisyon Tarifeleri'!U4,'Komisyon Tarifeleri'!P4),IF(Z4&gt;='Komisyon Tarifeleri'!K4,IF($AM$1=2,'Komisyon Tarifeleri'!V4,'Komisyon Tarifeleri'!Q4),IF(Z4&gt;='Komisyon Tarifeleri'!M4,IF($AM$1=2,'Komisyon Tarifeleri'!W4,'Komisyon Tarifeleri'!R4),IF($AM$1=2,'Komisyon Tarifeleri'!X4,'Komisyon Tarifeleri'!S4)))))</f>
        <v/>
      </c>
      <c r="AB4" s="13">
        <f>IF(OR(AA4="",$D4=""),"",Z4*(1-AA4/100)-$D4-IF(Z4&lt;=199.99,Kargo!$E$2,IF(Z4&lt;=399.99,Kargo!$E$3,$F4)))</f>
        <v/>
      </c>
      <c r="AC4" s="15">
        <f>IF(AB4="","",AB4/Z4)</f>
        <v/>
      </c>
      <c r="AD4" s="10">
        <f>IF(OR($D4="",$B4=""),"",IF(AND((1-T4/100-W4)&gt;0,CEILING(($D4+$F4)/(1-T4/100-W4),1)&lt;='Komisyon Tarifeleri'!N4),CEILING(($D4+$F4)/(1-T4/100-W4),1),IF(AND((1-P4/100-W4)&gt;0,CEILING(MAX('Komisyon Tarifeleri'!M4,($D4+$F4)/(1-P4/100-W4)),1)&lt;='Komisyon Tarifeleri'!L4),CEILING(MAX('Komisyon Tarifeleri'!M4,($D4+$F4)/(1-P4/100-W4)),1),IF(AND((1-L4/100-W4)&gt;0,CEILING(MAX('Komisyon Tarifeleri'!K4,($D4+$F4)/(1-L4/100-W4)),1)&lt;='Komisyon Tarifeleri'!J4),CEILING(MAX('Komisyon Tarifeleri'!K4,($D4+$F4)/(1-L4/100-W4)),1),IF((1-H4/100-W4)&gt;0,CEILING(MAX('Komisyon Tarifeleri'!I4,($D4+$F4)/(1-H4/100-W4)),1),"İMKÂNSIZ")))))</f>
        <v/>
      </c>
      <c r="AE4" s="10">
        <f>IF(OR($D4="",$B4=""),"",IF(AND((1-T4/100-X4)&gt;0,CEILING(($D4+$F4)/(1-T4/100-X4),1)&lt;='Komisyon Tarifeleri'!N4),CEILING(($D4+$F4)/(1-T4/100-X4),1),IF(AND((1-P4/100-X4)&gt;0,CEILING(MAX('Komisyon Tarifeleri'!M4,($D4+$F4)/(1-P4/100-X4)),1)&lt;='Komisyon Tarifeleri'!L4),CEILING(MAX('Komisyon Tarifeleri'!M4,($D4+$F4)/(1-P4/100-X4)),1),IF(AND((1-L4/100-X4)&gt;0,CEILING(MAX('Komisyon Tarifeleri'!K4,($D4+$F4)/(1-L4/100-X4)),1)&lt;='Komisyon Tarifeleri'!J4),CEILING(MAX('Komisyon Tarifeleri'!K4,($D4+$F4)/(1-L4/100-X4)),1),IF((1-H4/100-X4)&gt;0,CEILING(MAX('Komisyon Tarifeleri'!I4,($D4+$F4)/(1-H4/100-X4)),1),"İMKÂNSIZ")))))</f>
        <v/>
      </c>
      <c r="AF4" s="16">
        <f>IF($D4="","",IF(AND(Y4&lt;&gt;"",AC4&lt;&gt;"",AC4&gt;=W4),Z4,IF(Y4&lt;&gt;"",AD4,AE4)))</f>
        <v/>
      </c>
      <c r="AG4" s="16">
        <f>IF(OR(AF4="",AF4="İMKÂNSIZ"),"",AF4*(1-IF(AF4&gt;='Komisyon Tarifeleri'!I4,IF($AM$1=2,'Komisyon Tarifeleri'!U4,'Komisyon Tarifeleri'!P4),IF(AF4&gt;='Komisyon Tarifeleri'!K4,IF($AM$1=2,'Komisyon Tarifeleri'!V4,'Komisyon Tarifeleri'!Q4),IF(AF4&gt;='Komisyon Tarifeleri'!M4,IF($AM$1=2,'Komisyon Tarifeleri'!W4,'Komisyon Tarifeleri'!R4),IF($AM$1=2,'Komisyon Tarifeleri'!X4,'Komisyon Tarifeleri'!S4))))/100)-$D4-IF(AF4&lt;=199.99,Kargo!$E$2,IF(AF4&lt;=399.99,Kargo!$E$3,$F4)))</f>
        <v/>
      </c>
      <c r="AH4" s="17">
        <f>IF(AG4="","",AG4/AF4)</f>
        <v/>
      </c>
      <c r="AI4" s="18">
        <f>IF($D4="","",IF(Y4="","BUYBOX YOK → hedef kârla min fiyat",IF(AC4&gt;=W4,"✓ BUYBOX ALTINA GİR","BUYBOX ALTI KÂRSIZ → min kârlı fiyat")))</f>
        <v/>
      </c>
      <c r="AJ4" s="10">
        <f>IF($B4="","",IFERROR(VLOOKUP($B4,Maliyetler!$A:$G,6,FALSE),""))</f>
        <v/>
      </c>
      <c r="AK4">
        <f>IF($B4="","",IFERROR(VLOOKUP($B4,Maliyetler!$A:$G,7,FALSE),""))</f>
        <v/>
      </c>
      <c r="AO4" s="21">
        <f>IF($B4="","",IFERROR(VLOOKUP($B4&amp;"",'Plus Tarifeleri'!$C:$Q,11,FALSE),""))</f>
        <v/>
      </c>
      <c r="AP4" s="22">
        <f>IF(AO4="","",IFERROR(IF($AM$1=2,VLOOKUP($B4&amp;"",'Plus Tarifeleri'!$C:$Q,15,FALSE),VLOOKUP($B4&amp;"",'Plus Tarifeleri'!$C:$Q,13,FALSE)),""))</f>
        <v/>
      </c>
      <c r="AQ4" s="21">
        <f>IF(OR(AO4="",AP4="",$D4=""),"",AO4*(1-AP4/100)-$D4-IF(AO4&lt;=199.99,Kargo!$E$2,IF(AO4&lt;=399.99,Kargo!$E$3,$F4)))</f>
        <v/>
      </c>
      <c r="AR4" s="23">
        <f>IF(AQ4="","",AQ4/AO4)</f>
        <v/>
      </c>
      <c r="AS4" s="24">
        <f>IF(OR(AQ4="",AG4=""),"",AQ4-AG4)</f>
        <v/>
      </c>
    </row>
    <row r="5">
      <c r="A5">
        <f>IF('Komisyon Tarifeleri'!A5="","",'Komisyon Tarifeleri'!A5)</f>
        <v/>
      </c>
      <c r="B5">
        <f>IF('Komisyon Tarifeleri'!B5="","",'Komisyon Tarifeleri'!B5&amp;"")</f>
        <v/>
      </c>
      <c r="C5">
        <f>IF($B5="","",'Komisyon Tarifeleri'!F5)</f>
        <v/>
      </c>
      <c r="D5" s="10">
        <f>IF($B5="","",IFERROR(VLOOKUP($B5,Maliyetler!$A:$E,3,FALSE),""))</f>
        <v/>
      </c>
      <c r="E5">
        <f>IF($B5="","",IFERROR(VLOOKUP($B5,Maliyetler!$A:$E,4,FALSE),1))</f>
        <v/>
      </c>
      <c r="F5" s="10">
        <f>IF($B5="","",IFERROR(VLOOKUP(MIN(20,MAX(1,ROUND($E5,0))),Kargo!$A:$B,2,FALSE),99.46))</f>
        <v/>
      </c>
      <c r="G5" s="10">
        <f>IF($B5="","",IF(IF(N('Komisyon Tarifeleri'!AA5)&gt;='Komisyon Tarifeleri'!I5,'Komisyon Tarifeleri'!AA5,'Komisyon Tarifeleri'!I5)="","",IF(N('Komisyon Tarifeleri'!AA5)&gt;='Komisyon Tarifeleri'!I5,'Komisyon Tarifeleri'!AA5,'Komisyon Tarifeleri'!I5)))</f>
        <v/>
      </c>
      <c r="H5" s="11">
        <f>IF(G5="","",IF($AM$1=2,'Komisyon Tarifeleri'!U5,'Komisyon Tarifeleri'!P5))</f>
        <v/>
      </c>
      <c r="I5" s="10">
        <f>IF(OR(G5="",$D5=""),"",G5*(1-H5/100)-$D5-IF(G5&lt;=199.99,Kargo!$E$2,IF(G5&lt;=399.99,Kargo!$E$3,$F5)))</f>
        <v/>
      </c>
      <c r="J5" s="12">
        <f>IF(I5="","",I5/G5)</f>
        <v/>
      </c>
      <c r="K5" s="10">
        <f>IF($B5="","",IF('Komisyon Tarifeleri'!J5="","",'Komisyon Tarifeleri'!J5))</f>
        <v/>
      </c>
      <c r="L5" s="11">
        <f>IF(K5="","",IF($AM$1=2,'Komisyon Tarifeleri'!V5,'Komisyon Tarifeleri'!Q5))</f>
        <v/>
      </c>
      <c r="M5" s="10">
        <f>IF(OR(K5="",$D5=""),"",K5*(1-L5/100)-$D5-IF(K5&lt;=199.99,Kargo!$E$2,IF(K5&lt;=399.99,Kargo!$E$3,$F5)))</f>
        <v/>
      </c>
      <c r="N5" s="12">
        <f>IF(M5="","",M5/K5)</f>
        <v/>
      </c>
      <c r="O5" s="10">
        <f>IF($B5="","",IF('Komisyon Tarifeleri'!L5="","",'Komisyon Tarifeleri'!L5))</f>
        <v/>
      </c>
      <c r="P5" s="11">
        <f>IF(O5="","",IF($AM$1=2,'Komisyon Tarifeleri'!W5,'Komisyon Tarifeleri'!R5))</f>
        <v/>
      </c>
      <c r="Q5" s="10">
        <f>IF(OR(O5="",$D5=""),"",O5*(1-P5/100)-$D5-IF(O5&lt;=199.99,Kargo!$E$2,IF(O5&lt;=399.99,Kargo!$E$3,$F5)))</f>
        <v/>
      </c>
      <c r="R5" s="12">
        <f>IF(Q5="","",Q5/O5)</f>
        <v/>
      </c>
      <c r="S5" s="10">
        <f>IF($B5="","",IF('Komisyon Tarifeleri'!N5="","",'Komisyon Tarifeleri'!N5))</f>
        <v/>
      </c>
      <c r="T5" s="11">
        <f>IF(S5="","",IF($AM$1=2,'Komisyon Tarifeleri'!X5,'Komisyon Tarifeleri'!S5))</f>
        <v/>
      </c>
      <c r="U5" s="10">
        <f>IF(OR(S5="",$D5=""),"",S5*(1-T5/100)-$D5-IF(S5&lt;=199.99,Kargo!$E$2,IF(S5&lt;=399.99,Kargo!$E$3,$F5)))</f>
        <v/>
      </c>
      <c r="V5" s="12">
        <f>IF(U5="","",U5/S5)</f>
        <v/>
      </c>
      <c r="W5" s="12">
        <f>IF($B5="","",IFERROR(VLOOKUP($C5,Hedefler!$A:$C,2,FALSE),0.04))</f>
        <v/>
      </c>
      <c r="X5" s="12">
        <f>IF($B5="","",IFERROR(VLOOKUP($C5,Hedefler!$A:$C,3,FALSE),0.1))</f>
        <v/>
      </c>
      <c r="Y5" s="13">
        <f>IF($B5="","",IFERROR(VLOOKUP($B5,Maliyetler!$A:$E,5,FALSE),""))</f>
        <v/>
      </c>
      <c r="Z5" s="13">
        <f>IF(OR(Y5="",Y5=0),"",Y5-1)</f>
        <v/>
      </c>
      <c r="AA5" s="14">
        <f>IF(Z5="","",IF(Z5&gt;='Komisyon Tarifeleri'!I5,IF($AM$1=2,'Komisyon Tarifeleri'!U5,'Komisyon Tarifeleri'!P5),IF(Z5&gt;='Komisyon Tarifeleri'!K5,IF($AM$1=2,'Komisyon Tarifeleri'!V5,'Komisyon Tarifeleri'!Q5),IF(Z5&gt;='Komisyon Tarifeleri'!M5,IF($AM$1=2,'Komisyon Tarifeleri'!W5,'Komisyon Tarifeleri'!R5),IF($AM$1=2,'Komisyon Tarifeleri'!X5,'Komisyon Tarifeleri'!S5)))))</f>
        <v/>
      </c>
      <c r="AB5" s="13">
        <f>IF(OR(AA5="",$D5=""),"",Z5*(1-AA5/100)-$D5-IF(Z5&lt;=199.99,Kargo!$E$2,IF(Z5&lt;=399.99,Kargo!$E$3,$F5)))</f>
        <v/>
      </c>
      <c r="AC5" s="15">
        <f>IF(AB5="","",AB5/Z5)</f>
        <v/>
      </c>
      <c r="AD5" s="10">
        <f>IF(OR($D5="",$B5=""),"",IF(AND((1-T5/100-W5)&gt;0,CEILING(($D5+$F5)/(1-T5/100-W5),1)&lt;='Komisyon Tarifeleri'!N5),CEILING(($D5+$F5)/(1-T5/100-W5),1),IF(AND((1-P5/100-W5)&gt;0,CEILING(MAX('Komisyon Tarifeleri'!M5,($D5+$F5)/(1-P5/100-W5)),1)&lt;='Komisyon Tarifeleri'!L5),CEILING(MAX('Komisyon Tarifeleri'!M5,($D5+$F5)/(1-P5/100-W5)),1),IF(AND((1-L5/100-W5)&gt;0,CEILING(MAX('Komisyon Tarifeleri'!K5,($D5+$F5)/(1-L5/100-W5)),1)&lt;='Komisyon Tarifeleri'!J5),CEILING(MAX('Komisyon Tarifeleri'!K5,($D5+$F5)/(1-L5/100-W5)),1),IF((1-H5/100-W5)&gt;0,CEILING(MAX('Komisyon Tarifeleri'!I5,($D5+$F5)/(1-H5/100-W5)),1),"İMKÂNSIZ")))))</f>
        <v/>
      </c>
      <c r="AE5" s="10">
        <f>IF(OR($D5="",$B5=""),"",IF(AND((1-T5/100-X5)&gt;0,CEILING(($D5+$F5)/(1-T5/100-X5),1)&lt;='Komisyon Tarifeleri'!N5),CEILING(($D5+$F5)/(1-T5/100-X5),1),IF(AND((1-P5/100-X5)&gt;0,CEILING(MAX('Komisyon Tarifeleri'!M5,($D5+$F5)/(1-P5/100-X5)),1)&lt;='Komisyon Tarifeleri'!L5),CEILING(MAX('Komisyon Tarifeleri'!M5,($D5+$F5)/(1-P5/100-X5)),1),IF(AND((1-L5/100-X5)&gt;0,CEILING(MAX('Komisyon Tarifeleri'!K5,($D5+$F5)/(1-L5/100-X5)),1)&lt;='Komisyon Tarifeleri'!J5),CEILING(MAX('Komisyon Tarifeleri'!K5,($D5+$F5)/(1-L5/100-X5)),1),IF((1-H5/100-X5)&gt;0,CEILING(MAX('Komisyon Tarifeleri'!I5,($D5+$F5)/(1-H5/100-X5)),1),"İMKÂNSIZ")))))</f>
        <v/>
      </c>
      <c r="AF5" s="16">
        <f>IF($D5="","",IF(AND(Y5&lt;&gt;"",AC5&lt;&gt;"",AC5&gt;=W5),Z5,IF(Y5&lt;&gt;"",AD5,AE5)))</f>
        <v/>
      </c>
      <c r="AG5" s="16">
        <f>IF(OR(AF5="",AF5="İMKÂNSIZ"),"",AF5*(1-IF(AF5&gt;='Komisyon Tarifeleri'!I5,IF($AM$1=2,'Komisyon Tarifeleri'!U5,'Komisyon Tarifeleri'!P5),IF(AF5&gt;='Komisyon Tarifeleri'!K5,IF($AM$1=2,'Komisyon Tarifeleri'!V5,'Komisyon Tarifeleri'!Q5),IF(AF5&gt;='Komisyon Tarifeleri'!M5,IF($AM$1=2,'Komisyon Tarifeleri'!W5,'Komisyon Tarifeleri'!R5),IF($AM$1=2,'Komisyon Tarifeleri'!X5,'Komisyon Tarifeleri'!S5))))/100)-$D5-IF(AF5&lt;=199.99,Kargo!$E$2,IF(AF5&lt;=399.99,Kargo!$E$3,$F5)))</f>
        <v/>
      </c>
      <c r="AH5" s="17">
        <f>IF(AG5="","",AG5/AF5)</f>
        <v/>
      </c>
      <c r="AI5" s="18">
        <f>IF($D5="","",IF(Y5="","BUYBOX YOK → hedef kârla min fiyat",IF(AC5&gt;=W5,"✓ BUYBOX ALTINA GİR","BUYBOX ALTI KÂRSIZ → min kârlı fiyat")))</f>
        <v/>
      </c>
      <c r="AJ5" s="10">
        <f>IF($B5="","",IFERROR(VLOOKUP($B5,Maliyetler!$A:$G,6,FALSE),""))</f>
        <v/>
      </c>
      <c r="AK5">
        <f>IF($B5="","",IFERROR(VLOOKUP($B5,Maliyetler!$A:$G,7,FALSE),""))</f>
        <v/>
      </c>
      <c r="AO5" s="21">
        <f>IF($B5="","",IFERROR(VLOOKUP($B5&amp;"",'Plus Tarifeleri'!$C:$Q,11,FALSE),""))</f>
        <v/>
      </c>
      <c r="AP5" s="22">
        <f>IF(AO5="","",IFERROR(IF($AM$1=2,VLOOKUP($B5&amp;"",'Plus Tarifeleri'!$C:$Q,15,FALSE),VLOOKUP($B5&amp;"",'Plus Tarifeleri'!$C:$Q,13,FALSE)),""))</f>
        <v/>
      </c>
      <c r="AQ5" s="21">
        <f>IF(OR(AO5="",AP5="",$D5=""),"",AO5*(1-AP5/100)-$D5-IF(AO5&lt;=199.99,Kargo!$E$2,IF(AO5&lt;=399.99,Kargo!$E$3,$F5)))</f>
        <v/>
      </c>
      <c r="AR5" s="23">
        <f>IF(AQ5="","",AQ5/AO5)</f>
        <v/>
      </c>
      <c r="AS5" s="24">
        <f>IF(OR(AQ5="",AG5=""),"",AQ5-AG5)</f>
        <v/>
      </c>
    </row>
    <row r="6">
      <c r="A6">
        <f>IF('Komisyon Tarifeleri'!A6="","",'Komisyon Tarifeleri'!A6)</f>
        <v/>
      </c>
      <c r="B6">
        <f>IF('Komisyon Tarifeleri'!B6="","",'Komisyon Tarifeleri'!B6&amp;"")</f>
        <v/>
      </c>
      <c r="C6">
        <f>IF($B6="","",'Komisyon Tarifeleri'!F6)</f>
        <v/>
      </c>
      <c r="D6" s="10">
        <f>IF($B6="","",IFERROR(VLOOKUP($B6,Maliyetler!$A:$E,3,FALSE),""))</f>
        <v/>
      </c>
      <c r="E6">
        <f>IF($B6="","",IFERROR(VLOOKUP($B6,Maliyetler!$A:$E,4,FALSE),1))</f>
        <v/>
      </c>
      <c r="F6" s="10">
        <f>IF($B6="","",IFERROR(VLOOKUP(MIN(20,MAX(1,ROUND($E6,0))),Kargo!$A:$B,2,FALSE),99.46))</f>
        <v/>
      </c>
      <c r="G6" s="10">
        <f>IF($B6="","",IF(IF(N('Komisyon Tarifeleri'!AA6)&gt;='Komisyon Tarifeleri'!I6,'Komisyon Tarifeleri'!AA6,'Komisyon Tarifeleri'!I6)="","",IF(N('Komisyon Tarifeleri'!AA6)&gt;='Komisyon Tarifeleri'!I6,'Komisyon Tarifeleri'!AA6,'Komisyon Tarifeleri'!I6)))</f>
        <v/>
      </c>
      <c r="H6" s="11">
        <f>IF(G6="","",IF($AM$1=2,'Komisyon Tarifeleri'!U6,'Komisyon Tarifeleri'!P6))</f>
        <v/>
      </c>
      <c r="I6" s="10">
        <f>IF(OR(G6="",$D6=""),"",G6*(1-H6/100)-$D6-IF(G6&lt;=199.99,Kargo!$E$2,IF(G6&lt;=399.99,Kargo!$E$3,$F6)))</f>
        <v/>
      </c>
      <c r="J6" s="12">
        <f>IF(I6="","",I6/G6)</f>
        <v/>
      </c>
      <c r="K6" s="10">
        <f>IF($B6="","",IF('Komisyon Tarifeleri'!J6="","",'Komisyon Tarifeleri'!J6))</f>
        <v/>
      </c>
      <c r="L6" s="11">
        <f>IF(K6="","",IF($AM$1=2,'Komisyon Tarifeleri'!V6,'Komisyon Tarifeleri'!Q6))</f>
        <v/>
      </c>
      <c r="M6" s="10">
        <f>IF(OR(K6="",$D6=""),"",K6*(1-L6/100)-$D6-IF(K6&lt;=199.99,Kargo!$E$2,IF(K6&lt;=399.99,Kargo!$E$3,$F6)))</f>
        <v/>
      </c>
      <c r="N6" s="12">
        <f>IF(M6="","",M6/K6)</f>
        <v/>
      </c>
      <c r="O6" s="10">
        <f>IF($B6="","",IF('Komisyon Tarifeleri'!L6="","",'Komisyon Tarifeleri'!L6))</f>
        <v/>
      </c>
      <c r="P6" s="11">
        <f>IF(O6="","",IF($AM$1=2,'Komisyon Tarifeleri'!W6,'Komisyon Tarifeleri'!R6))</f>
        <v/>
      </c>
      <c r="Q6" s="10">
        <f>IF(OR(O6="",$D6=""),"",O6*(1-P6/100)-$D6-IF(O6&lt;=199.99,Kargo!$E$2,IF(O6&lt;=399.99,Kargo!$E$3,$F6)))</f>
        <v/>
      </c>
      <c r="R6" s="12">
        <f>IF(Q6="","",Q6/O6)</f>
        <v/>
      </c>
      <c r="S6" s="10">
        <f>IF($B6="","",IF('Komisyon Tarifeleri'!N6="","",'Komisyon Tarifeleri'!N6))</f>
        <v/>
      </c>
      <c r="T6" s="11">
        <f>IF(S6="","",IF($AM$1=2,'Komisyon Tarifeleri'!X6,'Komisyon Tarifeleri'!S6))</f>
        <v/>
      </c>
      <c r="U6" s="10">
        <f>IF(OR(S6="",$D6=""),"",S6*(1-T6/100)-$D6-IF(S6&lt;=199.99,Kargo!$E$2,IF(S6&lt;=399.99,Kargo!$E$3,$F6)))</f>
        <v/>
      </c>
      <c r="V6" s="12">
        <f>IF(U6="","",U6/S6)</f>
        <v/>
      </c>
      <c r="W6" s="12">
        <f>IF($B6="","",IFERROR(VLOOKUP($C6,Hedefler!$A:$C,2,FALSE),0.04))</f>
        <v/>
      </c>
      <c r="X6" s="12">
        <f>IF($B6="","",IFERROR(VLOOKUP($C6,Hedefler!$A:$C,3,FALSE),0.1))</f>
        <v/>
      </c>
      <c r="Y6" s="13">
        <f>IF($B6="","",IFERROR(VLOOKUP($B6,Maliyetler!$A:$E,5,FALSE),""))</f>
        <v/>
      </c>
      <c r="Z6" s="13">
        <f>IF(OR(Y6="",Y6=0),"",Y6-1)</f>
        <v/>
      </c>
      <c r="AA6" s="14">
        <f>IF(Z6="","",IF(Z6&gt;='Komisyon Tarifeleri'!I6,IF($AM$1=2,'Komisyon Tarifeleri'!U6,'Komisyon Tarifeleri'!P6),IF(Z6&gt;='Komisyon Tarifeleri'!K6,IF($AM$1=2,'Komisyon Tarifeleri'!V6,'Komisyon Tarifeleri'!Q6),IF(Z6&gt;='Komisyon Tarifeleri'!M6,IF($AM$1=2,'Komisyon Tarifeleri'!W6,'Komisyon Tarifeleri'!R6),IF($AM$1=2,'Komisyon Tarifeleri'!X6,'Komisyon Tarifeleri'!S6)))))</f>
        <v/>
      </c>
      <c r="AB6" s="13">
        <f>IF(OR(AA6="",$D6=""),"",Z6*(1-AA6/100)-$D6-IF(Z6&lt;=199.99,Kargo!$E$2,IF(Z6&lt;=399.99,Kargo!$E$3,$F6)))</f>
        <v/>
      </c>
      <c r="AC6" s="15">
        <f>IF(AB6="","",AB6/Z6)</f>
        <v/>
      </c>
      <c r="AD6" s="10">
        <f>IF(OR($D6="",$B6=""),"",IF(AND((1-T6/100-W6)&gt;0,CEILING(($D6+$F6)/(1-T6/100-W6),1)&lt;='Komisyon Tarifeleri'!N6),CEILING(($D6+$F6)/(1-T6/100-W6),1),IF(AND((1-P6/100-W6)&gt;0,CEILING(MAX('Komisyon Tarifeleri'!M6,($D6+$F6)/(1-P6/100-W6)),1)&lt;='Komisyon Tarifeleri'!L6),CEILING(MAX('Komisyon Tarifeleri'!M6,($D6+$F6)/(1-P6/100-W6)),1),IF(AND((1-L6/100-W6)&gt;0,CEILING(MAX('Komisyon Tarifeleri'!K6,($D6+$F6)/(1-L6/100-W6)),1)&lt;='Komisyon Tarifeleri'!J6),CEILING(MAX('Komisyon Tarifeleri'!K6,($D6+$F6)/(1-L6/100-W6)),1),IF((1-H6/100-W6)&gt;0,CEILING(MAX('Komisyon Tarifeleri'!I6,($D6+$F6)/(1-H6/100-W6)),1),"İMKÂNSIZ")))))</f>
        <v/>
      </c>
      <c r="AE6" s="10">
        <f>IF(OR($D6="",$B6=""),"",IF(AND((1-T6/100-X6)&gt;0,CEILING(($D6+$F6)/(1-T6/100-X6),1)&lt;='Komisyon Tarifeleri'!N6),CEILING(($D6+$F6)/(1-T6/100-X6),1),IF(AND((1-P6/100-X6)&gt;0,CEILING(MAX('Komisyon Tarifeleri'!M6,($D6+$F6)/(1-P6/100-X6)),1)&lt;='Komisyon Tarifeleri'!L6),CEILING(MAX('Komisyon Tarifeleri'!M6,($D6+$F6)/(1-P6/100-X6)),1),IF(AND((1-L6/100-X6)&gt;0,CEILING(MAX('Komisyon Tarifeleri'!K6,($D6+$F6)/(1-L6/100-X6)),1)&lt;='Komisyon Tarifeleri'!J6),CEILING(MAX('Komisyon Tarifeleri'!K6,($D6+$F6)/(1-L6/100-X6)),1),IF((1-H6/100-X6)&gt;0,CEILING(MAX('Komisyon Tarifeleri'!I6,($D6+$F6)/(1-H6/100-X6)),1),"İMKÂNSIZ")))))</f>
        <v/>
      </c>
      <c r="AF6" s="16">
        <f>IF($D6="","",IF(AND(Y6&lt;&gt;"",AC6&lt;&gt;"",AC6&gt;=W6),Z6,IF(Y6&lt;&gt;"",AD6,AE6)))</f>
        <v/>
      </c>
      <c r="AG6" s="16">
        <f>IF(OR(AF6="",AF6="İMKÂNSIZ"),"",AF6*(1-IF(AF6&gt;='Komisyon Tarifeleri'!I6,IF($AM$1=2,'Komisyon Tarifeleri'!U6,'Komisyon Tarifeleri'!P6),IF(AF6&gt;='Komisyon Tarifeleri'!K6,IF($AM$1=2,'Komisyon Tarifeleri'!V6,'Komisyon Tarifeleri'!Q6),IF(AF6&gt;='Komisyon Tarifeleri'!M6,IF($AM$1=2,'Komisyon Tarifeleri'!W6,'Komisyon Tarifeleri'!R6),IF($AM$1=2,'Komisyon Tarifeleri'!X6,'Komisyon Tarifeleri'!S6))))/100)-$D6-IF(AF6&lt;=199.99,Kargo!$E$2,IF(AF6&lt;=399.99,Kargo!$E$3,$F6)))</f>
        <v/>
      </c>
      <c r="AH6" s="17">
        <f>IF(AG6="","",AG6/AF6)</f>
        <v/>
      </c>
      <c r="AI6" s="18">
        <f>IF($D6="","",IF(Y6="","BUYBOX YOK → hedef kârla min fiyat",IF(AC6&gt;=W6,"✓ BUYBOX ALTINA GİR","BUYBOX ALTI KÂRSIZ → min kârlı fiyat")))</f>
        <v/>
      </c>
      <c r="AJ6" s="10">
        <f>IF($B6="","",IFERROR(VLOOKUP($B6,Maliyetler!$A:$G,6,FALSE),""))</f>
        <v/>
      </c>
      <c r="AK6">
        <f>IF($B6="","",IFERROR(VLOOKUP($B6,Maliyetler!$A:$G,7,FALSE),""))</f>
        <v/>
      </c>
      <c r="AO6" s="21">
        <f>IF($B6="","",IFERROR(VLOOKUP($B6&amp;"",'Plus Tarifeleri'!$C:$Q,11,FALSE),""))</f>
        <v/>
      </c>
      <c r="AP6" s="22">
        <f>IF(AO6="","",IFERROR(IF($AM$1=2,VLOOKUP($B6&amp;"",'Plus Tarifeleri'!$C:$Q,15,FALSE),VLOOKUP($B6&amp;"",'Plus Tarifeleri'!$C:$Q,13,FALSE)),""))</f>
        <v/>
      </c>
      <c r="AQ6" s="21">
        <f>IF(OR(AO6="",AP6="",$D6=""),"",AO6*(1-AP6/100)-$D6-IF(AO6&lt;=199.99,Kargo!$E$2,IF(AO6&lt;=399.99,Kargo!$E$3,$F6)))</f>
        <v/>
      </c>
      <c r="AR6" s="23">
        <f>IF(AQ6="","",AQ6/AO6)</f>
        <v/>
      </c>
      <c r="AS6" s="24">
        <f>IF(OR(AQ6="",AG6=""),"",AQ6-AG6)</f>
        <v/>
      </c>
    </row>
    <row r="7">
      <c r="A7">
        <f>IF('Komisyon Tarifeleri'!A7="","",'Komisyon Tarifeleri'!A7)</f>
        <v/>
      </c>
      <c r="B7">
        <f>IF('Komisyon Tarifeleri'!B7="","",'Komisyon Tarifeleri'!B7&amp;"")</f>
        <v/>
      </c>
      <c r="C7">
        <f>IF($B7="","",'Komisyon Tarifeleri'!F7)</f>
        <v/>
      </c>
      <c r="D7" s="10">
        <f>IF($B7="","",IFERROR(VLOOKUP($B7,Maliyetler!$A:$E,3,FALSE),""))</f>
        <v/>
      </c>
      <c r="E7">
        <f>IF($B7="","",IFERROR(VLOOKUP($B7,Maliyetler!$A:$E,4,FALSE),1))</f>
        <v/>
      </c>
      <c r="F7" s="10">
        <f>IF($B7="","",IFERROR(VLOOKUP(MIN(20,MAX(1,ROUND($E7,0))),Kargo!$A:$B,2,FALSE),99.46))</f>
        <v/>
      </c>
      <c r="G7" s="10">
        <f>IF($B7="","",IF(IF(N('Komisyon Tarifeleri'!AA7)&gt;='Komisyon Tarifeleri'!I7,'Komisyon Tarifeleri'!AA7,'Komisyon Tarifeleri'!I7)="","",IF(N('Komisyon Tarifeleri'!AA7)&gt;='Komisyon Tarifeleri'!I7,'Komisyon Tarifeleri'!AA7,'Komisyon Tarifeleri'!I7)))</f>
        <v/>
      </c>
      <c r="H7" s="11">
        <f>IF(G7="","",IF($AM$1=2,'Komisyon Tarifeleri'!U7,'Komisyon Tarifeleri'!P7))</f>
        <v/>
      </c>
      <c r="I7" s="10">
        <f>IF(OR(G7="",$D7=""),"",G7*(1-H7/100)-$D7-IF(G7&lt;=199.99,Kargo!$E$2,IF(G7&lt;=399.99,Kargo!$E$3,$F7)))</f>
        <v/>
      </c>
      <c r="J7" s="12">
        <f>IF(I7="","",I7/G7)</f>
        <v/>
      </c>
      <c r="K7" s="10">
        <f>IF($B7="","",IF('Komisyon Tarifeleri'!J7="","",'Komisyon Tarifeleri'!J7))</f>
        <v/>
      </c>
      <c r="L7" s="11">
        <f>IF(K7="","",IF($AM$1=2,'Komisyon Tarifeleri'!V7,'Komisyon Tarifeleri'!Q7))</f>
        <v/>
      </c>
      <c r="M7" s="10">
        <f>IF(OR(K7="",$D7=""),"",K7*(1-L7/100)-$D7-IF(K7&lt;=199.99,Kargo!$E$2,IF(K7&lt;=399.99,Kargo!$E$3,$F7)))</f>
        <v/>
      </c>
      <c r="N7" s="12">
        <f>IF(M7="","",M7/K7)</f>
        <v/>
      </c>
      <c r="O7" s="10">
        <f>IF($B7="","",IF('Komisyon Tarifeleri'!L7="","",'Komisyon Tarifeleri'!L7))</f>
        <v/>
      </c>
      <c r="P7" s="11">
        <f>IF(O7="","",IF($AM$1=2,'Komisyon Tarifeleri'!W7,'Komisyon Tarifeleri'!R7))</f>
        <v/>
      </c>
      <c r="Q7" s="10">
        <f>IF(OR(O7="",$D7=""),"",O7*(1-P7/100)-$D7-IF(O7&lt;=199.99,Kargo!$E$2,IF(O7&lt;=399.99,Kargo!$E$3,$F7)))</f>
        <v/>
      </c>
      <c r="R7" s="12">
        <f>IF(Q7="","",Q7/O7)</f>
        <v/>
      </c>
      <c r="S7" s="10">
        <f>IF($B7="","",IF('Komisyon Tarifeleri'!N7="","",'Komisyon Tarifeleri'!N7))</f>
        <v/>
      </c>
      <c r="T7" s="11">
        <f>IF(S7="","",IF($AM$1=2,'Komisyon Tarifeleri'!X7,'Komisyon Tarifeleri'!S7))</f>
        <v/>
      </c>
      <c r="U7" s="10">
        <f>IF(OR(S7="",$D7=""),"",S7*(1-T7/100)-$D7-IF(S7&lt;=199.99,Kargo!$E$2,IF(S7&lt;=399.99,Kargo!$E$3,$F7)))</f>
        <v/>
      </c>
      <c r="V7" s="12">
        <f>IF(U7="","",U7/S7)</f>
        <v/>
      </c>
      <c r="W7" s="12">
        <f>IF($B7="","",IFERROR(VLOOKUP($C7,Hedefler!$A:$C,2,FALSE),0.04))</f>
        <v/>
      </c>
      <c r="X7" s="12">
        <f>IF($B7="","",IFERROR(VLOOKUP($C7,Hedefler!$A:$C,3,FALSE),0.1))</f>
        <v/>
      </c>
      <c r="Y7" s="13">
        <f>IF($B7="","",IFERROR(VLOOKUP($B7,Maliyetler!$A:$E,5,FALSE),""))</f>
        <v/>
      </c>
      <c r="Z7" s="13">
        <f>IF(OR(Y7="",Y7=0),"",Y7-1)</f>
        <v/>
      </c>
      <c r="AA7" s="14">
        <f>IF(Z7="","",IF(Z7&gt;='Komisyon Tarifeleri'!I7,IF($AM$1=2,'Komisyon Tarifeleri'!U7,'Komisyon Tarifeleri'!P7),IF(Z7&gt;='Komisyon Tarifeleri'!K7,IF($AM$1=2,'Komisyon Tarifeleri'!V7,'Komisyon Tarifeleri'!Q7),IF(Z7&gt;='Komisyon Tarifeleri'!M7,IF($AM$1=2,'Komisyon Tarifeleri'!W7,'Komisyon Tarifeleri'!R7),IF($AM$1=2,'Komisyon Tarifeleri'!X7,'Komisyon Tarifeleri'!S7)))))</f>
        <v/>
      </c>
      <c r="AB7" s="13">
        <f>IF(OR(AA7="",$D7=""),"",Z7*(1-AA7/100)-$D7-IF(Z7&lt;=199.99,Kargo!$E$2,IF(Z7&lt;=399.99,Kargo!$E$3,$F7)))</f>
        <v/>
      </c>
      <c r="AC7" s="15">
        <f>IF(AB7="","",AB7/Z7)</f>
        <v/>
      </c>
      <c r="AD7" s="10">
        <f>IF(OR($D7="",$B7=""),"",IF(AND((1-T7/100-W7)&gt;0,CEILING(($D7+$F7)/(1-T7/100-W7),1)&lt;='Komisyon Tarifeleri'!N7),CEILING(($D7+$F7)/(1-T7/100-W7),1),IF(AND((1-P7/100-W7)&gt;0,CEILING(MAX('Komisyon Tarifeleri'!M7,($D7+$F7)/(1-P7/100-W7)),1)&lt;='Komisyon Tarifeleri'!L7),CEILING(MAX('Komisyon Tarifeleri'!M7,($D7+$F7)/(1-P7/100-W7)),1),IF(AND((1-L7/100-W7)&gt;0,CEILING(MAX('Komisyon Tarifeleri'!K7,($D7+$F7)/(1-L7/100-W7)),1)&lt;='Komisyon Tarifeleri'!J7),CEILING(MAX('Komisyon Tarifeleri'!K7,($D7+$F7)/(1-L7/100-W7)),1),IF((1-H7/100-W7)&gt;0,CEILING(MAX('Komisyon Tarifeleri'!I7,($D7+$F7)/(1-H7/100-W7)),1),"İMKÂNSIZ")))))</f>
        <v/>
      </c>
      <c r="AE7" s="10">
        <f>IF(OR($D7="",$B7=""),"",IF(AND((1-T7/100-X7)&gt;0,CEILING(($D7+$F7)/(1-T7/100-X7),1)&lt;='Komisyon Tarifeleri'!N7),CEILING(($D7+$F7)/(1-T7/100-X7),1),IF(AND((1-P7/100-X7)&gt;0,CEILING(MAX('Komisyon Tarifeleri'!M7,($D7+$F7)/(1-P7/100-X7)),1)&lt;='Komisyon Tarifeleri'!L7),CEILING(MAX('Komisyon Tarifeleri'!M7,($D7+$F7)/(1-P7/100-X7)),1),IF(AND((1-L7/100-X7)&gt;0,CEILING(MAX('Komisyon Tarifeleri'!K7,($D7+$F7)/(1-L7/100-X7)),1)&lt;='Komisyon Tarifeleri'!J7),CEILING(MAX('Komisyon Tarifeleri'!K7,($D7+$F7)/(1-L7/100-X7)),1),IF((1-H7/100-X7)&gt;0,CEILING(MAX('Komisyon Tarifeleri'!I7,($D7+$F7)/(1-H7/100-X7)),1),"İMKÂNSIZ")))))</f>
        <v/>
      </c>
      <c r="AF7" s="16">
        <f>IF($D7="","",IF(AND(Y7&lt;&gt;"",AC7&lt;&gt;"",AC7&gt;=W7),Z7,IF(Y7&lt;&gt;"",AD7,AE7)))</f>
        <v/>
      </c>
      <c r="AG7" s="16">
        <f>IF(OR(AF7="",AF7="İMKÂNSIZ"),"",AF7*(1-IF(AF7&gt;='Komisyon Tarifeleri'!I7,IF($AM$1=2,'Komisyon Tarifeleri'!U7,'Komisyon Tarifeleri'!P7),IF(AF7&gt;='Komisyon Tarifeleri'!K7,IF($AM$1=2,'Komisyon Tarifeleri'!V7,'Komisyon Tarifeleri'!Q7),IF(AF7&gt;='Komisyon Tarifeleri'!M7,IF($AM$1=2,'Komisyon Tarifeleri'!W7,'Komisyon Tarifeleri'!R7),IF($AM$1=2,'Komisyon Tarifeleri'!X7,'Komisyon Tarifeleri'!S7))))/100)-$D7-IF(AF7&lt;=199.99,Kargo!$E$2,IF(AF7&lt;=399.99,Kargo!$E$3,$F7)))</f>
        <v/>
      </c>
      <c r="AH7" s="17">
        <f>IF(AG7="","",AG7/AF7)</f>
        <v/>
      </c>
      <c r="AI7" s="18">
        <f>IF($D7="","",IF(Y7="","BUYBOX YOK → hedef kârla min fiyat",IF(AC7&gt;=W7,"✓ BUYBOX ALTINA GİR","BUYBOX ALTI KÂRSIZ → min kârlı fiyat")))</f>
        <v/>
      </c>
      <c r="AJ7" s="10">
        <f>IF($B7="","",IFERROR(VLOOKUP($B7,Maliyetler!$A:$G,6,FALSE),""))</f>
        <v/>
      </c>
      <c r="AK7">
        <f>IF($B7="","",IFERROR(VLOOKUP($B7,Maliyetler!$A:$G,7,FALSE),""))</f>
        <v/>
      </c>
      <c r="AO7" s="21">
        <f>IF($B7="","",IFERROR(VLOOKUP($B7&amp;"",'Plus Tarifeleri'!$C:$Q,11,FALSE),""))</f>
        <v/>
      </c>
      <c r="AP7" s="22">
        <f>IF(AO7="","",IFERROR(IF($AM$1=2,VLOOKUP($B7&amp;"",'Plus Tarifeleri'!$C:$Q,15,FALSE),VLOOKUP($B7&amp;"",'Plus Tarifeleri'!$C:$Q,13,FALSE)),""))</f>
        <v/>
      </c>
      <c r="AQ7" s="21">
        <f>IF(OR(AO7="",AP7="",$D7=""),"",AO7*(1-AP7/100)-$D7-IF(AO7&lt;=199.99,Kargo!$E$2,IF(AO7&lt;=399.99,Kargo!$E$3,$F7)))</f>
        <v/>
      </c>
      <c r="AR7" s="23">
        <f>IF(AQ7="","",AQ7/AO7)</f>
        <v/>
      </c>
      <c r="AS7" s="24">
        <f>IF(OR(AQ7="",AG7=""),"",AQ7-AG7)</f>
        <v/>
      </c>
    </row>
    <row r="8">
      <c r="A8">
        <f>IF('Komisyon Tarifeleri'!A8="","",'Komisyon Tarifeleri'!A8)</f>
        <v/>
      </c>
      <c r="B8">
        <f>IF('Komisyon Tarifeleri'!B8="","",'Komisyon Tarifeleri'!B8&amp;"")</f>
        <v/>
      </c>
      <c r="C8">
        <f>IF($B8="","",'Komisyon Tarifeleri'!F8)</f>
        <v/>
      </c>
      <c r="D8" s="10">
        <f>IF($B8="","",IFERROR(VLOOKUP($B8,Maliyetler!$A:$E,3,FALSE),""))</f>
        <v/>
      </c>
      <c r="E8">
        <f>IF($B8="","",IFERROR(VLOOKUP($B8,Maliyetler!$A:$E,4,FALSE),1))</f>
        <v/>
      </c>
      <c r="F8" s="10">
        <f>IF($B8="","",IFERROR(VLOOKUP(MIN(20,MAX(1,ROUND($E8,0))),Kargo!$A:$B,2,FALSE),99.46))</f>
        <v/>
      </c>
      <c r="G8" s="10">
        <f>IF($B8="","",IF(IF(N('Komisyon Tarifeleri'!AA8)&gt;='Komisyon Tarifeleri'!I8,'Komisyon Tarifeleri'!AA8,'Komisyon Tarifeleri'!I8)="","",IF(N('Komisyon Tarifeleri'!AA8)&gt;='Komisyon Tarifeleri'!I8,'Komisyon Tarifeleri'!AA8,'Komisyon Tarifeleri'!I8)))</f>
        <v/>
      </c>
      <c r="H8" s="11">
        <f>IF(G8="","",IF($AM$1=2,'Komisyon Tarifeleri'!U8,'Komisyon Tarifeleri'!P8))</f>
        <v/>
      </c>
      <c r="I8" s="10">
        <f>IF(OR(G8="",$D8=""),"",G8*(1-H8/100)-$D8-IF(G8&lt;=199.99,Kargo!$E$2,IF(G8&lt;=399.99,Kargo!$E$3,$F8)))</f>
        <v/>
      </c>
      <c r="J8" s="12">
        <f>IF(I8="","",I8/G8)</f>
        <v/>
      </c>
      <c r="K8" s="10">
        <f>IF($B8="","",IF('Komisyon Tarifeleri'!J8="","",'Komisyon Tarifeleri'!J8))</f>
        <v/>
      </c>
      <c r="L8" s="11">
        <f>IF(K8="","",IF($AM$1=2,'Komisyon Tarifeleri'!V8,'Komisyon Tarifeleri'!Q8))</f>
        <v/>
      </c>
      <c r="M8" s="10">
        <f>IF(OR(K8="",$D8=""),"",K8*(1-L8/100)-$D8-IF(K8&lt;=199.99,Kargo!$E$2,IF(K8&lt;=399.99,Kargo!$E$3,$F8)))</f>
        <v/>
      </c>
      <c r="N8" s="12">
        <f>IF(M8="","",M8/K8)</f>
        <v/>
      </c>
      <c r="O8" s="10">
        <f>IF($B8="","",IF('Komisyon Tarifeleri'!L8="","",'Komisyon Tarifeleri'!L8))</f>
        <v/>
      </c>
      <c r="P8" s="11">
        <f>IF(O8="","",IF($AM$1=2,'Komisyon Tarifeleri'!W8,'Komisyon Tarifeleri'!R8))</f>
        <v/>
      </c>
      <c r="Q8" s="10">
        <f>IF(OR(O8="",$D8=""),"",O8*(1-P8/100)-$D8-IF(O8&lt;=199.99,Kargo!$E$2,IF(O8&lt;=399.99,Kargo!$E$3,$F8)))</f>
        <v/>
      </c>
      <c r="R8" s="12">
        <f>IF(Q8="","",Q8/O8)</f>
        <v/>
      </c>
      <c r="S8" s="10">
        <f>IF($B8="","",IF('Komisyon Tarifeleri'!N8="","",'Komisyon Tarifeleri'!N8))</f>
        <v/>
      </c>
      <c r="T8" s="11">
        <f>IF(S8="","",IF($AM$1=2,'Komisyon Tarifeleri'!X8,'Komisyon Tarifeleri'!S8))</f>
        <v/>
      </c>
      <c r="U8" s="10">
        <f>IF(OR(S8="",$D8=""),"",S8*(1-T8/100)-$D8-IF(S8&lt;=199.99,Kargo!$E$2,IF(S8&lt;=399.99,Kargo!$E$3,$F8)))</f>
        <v/>
      </c>
      <c r="V8" s="12">
        <f>IF(U8="","",U8/S8)</f>
        <v/>
      </c>
      <c r="W8" s="12">
        <f>IF($B8="","",IFERROR(VLOOKUP($C8,Hedefler!$A:$C,2,FALSE),0.04))</f>
        <v/>
      </c>
      <c r="X8" s="12">
        <f>IF($B8="","",IFERROR(VLOOKUP($C8,Hedefler!$A:$C,3,FALSE),0.1))</f>
        <v/>
      </c>
      <c r="Y8" s="13">
        <f>IF($B8="","",IFERROR(VLOOKUP($B8,Maliyetler!$A:$E,5,FALSE),""))</f>
        <v/>
      </c>
      <c r="Z8" s="13">
        <f>IF(OR(Y8="",Y8=0),"",Y8-1)</f>
        <v/>
      </c>
      <c r="AA8" s="14">
        <f>IF(Z8="","",IF(Z8&gt;='Komisyon Tarifeleri'!I8,IF($AM$1=2,'Komisyon Tarifeleri'!U8,'Komisyon Tarifeleri'!P8),IF(Z8&gt;='Komisyon Tarifeleri'!K8,IF($AM$1=2,'Komisyon Tarifeleri'!V8,'Komisyon Tarifeleri'!Q8),IF(Z8&gt;='Komisyon Tarifeleri'!M8,IF($AM$1=2,'Komisyon Tarifeleri'!W8,'Komisyon Tarifeleri'!R8),IF($AM$1=2,'Komisyon Tarifeleri'!X8,'Komisyon Tarifeleri'!S8)))))</f>
        <v/>
      </c>
      <c r="AB8" s="13">
        <f>IF(OR(AA8="",$D8=""),"",Z8*(1-AA8/100)-$D8-IF(Z8&lt;=199.99,Kargo!$E$2,IF(Z8&lt;=399.99,Kargo!$E$3,$F8)))</f>
        <v/>
      </c>
      <c r="AC8" s="15">
        <f>IF(AB8="","",AB8/Z8)</f>
        <v/>
      </c>
      <c r="AD8" s="10">
        <f>IF(OR($D8="",$B8=""),"",IF(AND((1-T8/100-W8)&gt;0,CEILING(($D8+$F8)/(1-T8/100-W8),1)&lt;='Komisyon Tarifeleri'!N8),CEILING(($D8+$F8)/(1-T8/100-W8),1),IF(AND((1-P8/100-W8)&gt;0,CEILING(MAX('Komisyon Tarifeleri'!M8,($D8+$F8)/(1-P8/100-W8)),1)&lt;='Komisyon Tarifeleri'!L8),CEILING(MAX('Komisyon Tarifeleri'!M8,($D8+$F8)/(1-P8/100-W8)),1),IF(AND((1-L8/100-W8)&gt;0,CEILING(MAX('Komisyon Tarifeleri'!K8,($D8+$F8)/(1-L8/100-W8)),1)&lt;='Komisyon Tarifeleri'!J8),CEILING(MAX('Komisyon Tarifeleri'!K8,($D8+$F8)/(1-L8/100-W8)),1),IF((1-H8/100-W8)&gt;0,CEILING(MAX('Komisyon Tarifeleri'!I8,($D8+$F8)/(1-H8/100-W8)),1),"İMKÂNSIZ")))))</f>
        <v/>
      </c>
      <c r="AE8" s="10">
        <f>IF(OR($D8="",$B8=""),"",IF(AND((1-T8/100-X8)&gt;0,CEILING(($D8+$F8)/(1-T8/100-X8),1)&lt;='Komisyon Tarifeleri'!N8),CEILING(($D8+$F8)/(1-T8/100-X8),1),IF(AND((1-P8/100-X8)&gt;0,CEILING(MAX('Komisyon Tarifeleri'!M8,($D8+$F8)/(1-P8/100-X8)),1)&lt;='Komisyon Tarifeleri'!L8),CEILING(MAX('Komisyon Tarifeleri'!M8,($D8+$F8)/(1-P8/100-X8)),1),IF(AND((1-L8/100-X8)&gt;0,CEILING(MAX('Komisyon Tarifeleri'!K8,($D8+$F8)/(1-L8/100-X8)),1)&lt;='Komisyon Tarifeleri'!J8),CEILING(MAX('Komisyon Tarifeleri'!K8,($D8+$F8)/(1-L8/100-X8)),1),IF((1-H8/100-X8)&gt;0,CEILING(MAX('Komisyon Tarifeleri'!I8,($D8+$F8)/(1-H8/100-X8)),1),"İMKÂNSIZ")))))</f>
        <v/>
      </c>
      <c r="AF8" s="16">
        <f>IF($D8="","",IF(AND(Y8&lt;&gt;"",AC8&lt;&gt;"",AC8&gt;=W8),Z8,IF(Y8&lt;&gt;"",AD8,AE8)))</f>
        <v/>
      </c>
      <c r="AG8" s="16">
        <f>IF(OR(AF8="",AF8="İMKÂNSIZ"),"",AF8*(1-IF(AF8&gt;='Komisyon Tarifeleri'!I8,IF($AM$1=2,'Komisyon Tarifeleri'!U8,'Komisyon Tarifeleri'!P8),IF(AF8&gt;='Komisyon Tarifeleri'!K8,IF($AM$1=2,'Komisyon Tarifeleri'!V8,'Komisyon Tarifeleri'!Q8),IF(AF8&gt;='Komisyon Tarifeleri'!M8,IF($AM$1=2,'Komisyon Tarifeleri'!W8,'Komisyon Tarifeleri'!R8),IF($AM$1=2,'Komisyon Tarifeleri'!X8,'Komisyon Tarifeleri'!S8))))/100)-$D8-IF(AF8&lt;=199.99,Kargo!$E$2,IF(AF8&lt;=399.99,Kargo!$E$3,$F8)))</f>
        <v/>
      </c>
      <c r="AH8" s="17">
        <f>IF(AG8="","",AG8/AF8)</f>
        <v/>
      </c>
      <c r="AI8" s="18">
        <f>IF($D8="","",IF(Y8="","BUYBOX YOK → hedef kârla min fiyat",IF(AC8&gt;=W8,"✓ BUYBOX ALTINA GİR","BUYBOX ALTI KÂRSIZ → min kârlı fiyat")))</f>
        <v/>
      </c>
      <c r="AJ8" s="10">
        <f>IF($B8="","",IFERROR(VLOOKUP($B8,Maliyetler!$A:$G,6,FALSE),""))</f>
        <v/>
      </c>
      <c r="AK8">
        <f>IF($B8="","",IFERROR(VLOOKUP($B8,Maliyetler!$A:$G,7,FALSE),""))</f>
        <v/>
      </c>
      <c r="AO8" s="21">
        <f>IF($B8="","",IFERROR(VLOOKUP($B8&amp;"",'Plus Tarifeleri'!$C:$Q,11,FALSE),""))</f>
        <v/>
      </c>
      <c r="AP8" s="22">
        <f>IF(AO8="","",IFERROR(IF($AM$1=2,VLOOKUP($B8&amp;"",'Plus Tarifeleri'!$C:$Q,15,FALSE),VLOOKUP($B8&amp;"",'Plus Tarifeleri'!$C:$Q,13,FALSE)),""))</f>
        <v/>
      </c>
      <c r="AQ8" s="21">
        <f>IF(OR(AO8="",AP8="",$D8=""),"",AO8*(1-AP8/100)-$D8-IF(AO8&lt;=199.99,Kargo!$E$2,IF(AO8&lt;=399.99,Kargo!$E$3,$F8)))</f>
        <v/>
      </c>
      <c r="AR8" s="23">
        <f>IF(AQ8="","",AQ8/AO8)</f>
        <v/>
      </c>
      <c r="AS8" s="24">
        <f>IF(OR(AQ8="",AG8=""),"",AQ8-AG8)</f>
        <v/>
      </c>
    </row>
    <row r="9">
      <c r="A9">
        <f>IF('Komisyon Tarifeleri'!A9="","",'Komisyon Tarifeleri'!A9)</f>
        <v/>
      </c>
      <c r="B9">
        <f>IF('Komisyon Tarifeleri'!B9="","",'Komisyon Tarifeleri'!B9&amp;"")</f>
        <v/>
      </c>
      <c r="C9">
        <f>IF($B9="","",'Komisyon Tarifeleri'!F9)</f>
        <v/>
      </c>
      <c r="D9" s="10">
        <f>IF($B9="","",IFERROR(VLOOKUP($B9,Maliyetler!$A:$E,3,FALSE),""))</f>
        <v/>
      </c>
      <c r="E9">
        <f>IF($B9="","",IFERROR(VLOOKUP($B9,Maliyetler!$A:$E,4,FALSE),1))</f>
        <v/>
      </c>
      <c r="F9" s="10">
        <f>IF($B9="","",IFERROR(VLOOKUP(MIN(20,MAX(1,ROUND($E9,0))),Kargo!$A:$B,2,FALSE),99.46))</f>
        <v/>
      </c>
      <c r="G9" s="10">
        <f>IF($B9="","",IF(IF(N('Komisyon Tarifeleri'!AA9)&gt;='Komisyon Tarifeleri'!I9,'Komisyon Tarifeleri'!AA9,'Komisyon Tarifeleri'!I9)="","",IF(N('Komisyon Tarifeleri'!AA9)&gt;='Komisyon Tarifeleri'!I9,'Komisyon Tarifeleri'!AA9,'Komisyon Tarifeleri'!I9)))</f>
        <v/>
      </c>
      <c r="H9" s="11">
        <f>IF(G9="","",IF($AM$1=2,'Komisyon Tarifeleri'!U9,'Komisyon Tarifeleri'!P9))</f>
        <v/>
      </c>
      <c r="I9" s="10">
        <f>IF(OR(G9="",$D9=""),"",G9*(1-H9/100)-$D9-IF(G9&lt;=199.99,Kargo!$E$2,IF(G9&lt;=399.99,Kargo!$E$3,$F9)))</f>
        <v/>
      </c>
      <c r="J9" s="12">
        <f>IF(I9="","",I9/G9)</f>
        <v/>
      </c>
      <c r="K9" s="10">
        <f>IF($B9="","",IF('Komisyon Tarifeleri'!J9="","",'Komisyon Tarifeleri'!J9))</f>
        <v/>
      </c>
      <c r="L9" s="11">
        <f>IF(K9="","",IF($AM$1=2,'Komisyon Tarifeleri'!V9,'Komisyon Tarifeleri'!Q9))</f>
        <v/>
      </c>
      <c r="M9" s="10">
        <f>IF(OR(K9="",$D9=""),"",K9*(1-L9/100)-$D9-IF(K9&lt;=199.99,Kargo!$E$2,IF(K9&lt;=399.99,Kargo!$E$3,$F9)))</f>
        <v/>
      </c>
      <c r="N9" s="12">
        <f>IF(M9="","",M9/K9)</f>
        <v/>
      </c>
      <c r="O9" s="10">
        <f>IF($B9="","",IF('Komisyon Tarifeleri'!L9="","",'Komisyon Tarifeleri'!L9))</f>
        <v/>
      </c>
      <c r="P9" s="11">
        <f>IF(O9="","",IF($AM$1=2,'Komisyon Tarifeleri'!W9,'Komisyon Tarifeleri'!R9))</f>
        <v/>
      </c>
      <c r="Q9" s="10">
        <f>IF(OR(O9="",$D9=""),"",O9*(1-P9/100)-$D9-IF(O9&lt;=199.99,Kargo!$E$2,IF(O9&lt;=399.99,Kargo!$E$3,$F9)))</f>
        <v/>
      </c>
      <c r="R9" s="12">
        <f>IF(Q9="","",Q9/O9)</f>
        <v/>
      </c>
      <c r="S9" s="10">
        <f>IF($B9="","",IF('Komisyon Tarifeleri'!N9="","",'Komisyon Tarifeleri'!N9))</f>
        <v/>
      </c>
      <c r="T9" s="11">
        <f>IF(S9="","",IF($AM$1=2,'Komisyon Tarifeleri'!X9,'Komisyon Tarifeleri'!S9))</f>
        <v/>
      </c>
      <c r="U9" s="10">
        <f>IF(OR(S9="",$D9=""),"",S9*(1-T9/100)-$D9-IF(S9&lt;=199.99,Kargo!$E$2,IF(S9&lt;=399.99,Kargo!$E$3,$F9)))</f>
        <v/>
      </c>
      <c r="V9" s="12">
        <f>IF(U9="","",U9/S9)</f>
        <v/>
      </c>
      <c r="W9" s="12">
        <f>IF($B9="","",IFERROR(VLOOKUP($C9,Hedefler!$A:$C,2,FALSE),0.04))</f>
        <v/>
      </c>
      <c r="X9" s="12">
        <f>IF($B9="","",IFERROR(VLOOKUP($C9,Hedefler!$A:$C,3,FALSE),0.1))</f>
        <v/>
      </c>
      <c r="Y9" s="13">
        <f>IF($B9="","",IFERROR(VLOOKUP($B9,Maliyetler!$A:$E,5,FALSE),""))</f>
        <v/>
      </c>
      <c r="Z9" s="13">
        <f>IF(OR(Y9="",Y9=0),"",Y9-1)</f>
        <v/>
      </c>
      <c r="AA9" s="14">
        <f>IF(Z9="","",IF(Z9&gt;='Komisyon Tarifeleri'!I9,IF($AM$1=2,'Komisyon Tarifeleri'!U9,'Komisyon Tarifeleri'!P9),IF(Z9&gt;='Komisyon Tarifeleri'!K9,IF($AM$1=2,'Komisyon Tarifeleri'!V9,'Komisyon Tarifeleri'!Q9),IF(Z9&gt;='Komisyon Tarifeleri'!M9,IF($AM$1=2,'Komisyon Tarifeleri'!W9,'Komisyon Tarifeleri'!R9),IF($AM$1=2,'Komisyon Tarifeleri'!X9,'Komisyon Tarifeleri'!S9)))))</f>
        <v/>
      </c>
      <c r="AB9" s="13">
        <f>IF(OR(AA9="",$D9=""),"",Z9*(1-AA9/100)-$D9-IF(Z9&lt;=199.99,Kargo!$E$2,IF(Z9&lt;=399.99,Kargo!$E$3,$F9)))</f>
        <v/>
      </c>
      <c r="AC9" s="15">
        <f>IF(AB9="","",AB9/Z9)</f>
        <v/>
      </c>
      <c r="AD9" s="10">
        <f>IF(OR($D9="",$B9=""),"",IF(AND((1-T9/100-W9)&gt;0,CEILING(($D9+$F9)/(1-T9/100-W9),1)&lt;='Komisyon Tarifeleri'!N9),CEILING(($D9+$F9)/(1-T9/100-W9),1),IF(AND((1-P9/100-W9)&gt;0,CEILING(MAX('Komisyon Tarifeleri'!M9,($D9+$F9)/(1-P9/100-W9)),1)&lt;='Komisyon Tarifeleri'!L9),CEILING(MAX('Komisyon Tarifeleri'!M9,($D9+$F9)/(1-P9/100-W9)),1),IF(AND((1-L9/100-W9)&gt;0,CEILING(MAX('Komisyon Tarifeleri'!K9,($D9+$F9)/(1-L9/100-W9)),1)&lt;='Komisyon Tarifeleri'!J9),CEILING(MAX('Komisyon Tarifeleri'!K9,($D9+$F9)/(1-L9/100-W9)),1),IF((1-H9/100-W9)&gt;0,CEILING(MAX('Komisyon Tarifeleri'!I9,($D9+$F9)/(1-H9/100-W9)),1),"İMKÂNSIZ")))))</f>
        <v/>
      </c>
      <c r="AE9" s="10">
        <f>IF(OR($D9="",$B9=""),"",IF(AND((1-T9/100-X9)&gt;0,CEILING(($D9+$F9)/(1-T9/100-X9),1)&lt;='Komisyon Tarifeleri'!N9),CEILING(($D9+$F9)/(1-T9/100-X9),1),IF(AND((1-P9/100-X9)&gt;0,CEILING(MAX('Komisyon Tarifeleri'!M9,($D9+$F9)/(1-P9/100-X9)),1)&lt;='Komisyon Tarifeleri'!L9),CEILING(MAX('Komisyon Tarifeleri'!M9,($D9+$F9)/(1-P9/100-X9)),1),IF(AND((1-L9/100-X9)&gt;0,CEILING(MAX('Komisyon Tarifeleri'!K9,($D9+$F9)/(1-L9/100-X9)),1)&lt;='Komisyon Tarifeleri'!J9),CEILING(MAX('Komisyon Tarifeleri'!K9,($D9+$F9)/(1-L9/100-X9)),1),IF((1-H9/100-X9)&gt;0,CEILING(MAX('Komisyon Tarifeleri'!I9,($D9+$F9)/(1-H9/100-X9)),1),"İMKÂNSIZ")))))</f>
        <v/>
      </c>
      <c r="AF9" s="16">
        <f>IF($D9="","",IF(AND(Y9&lt;&gt;"",AC9&lt;&gt;"",AC9&gt;=W9),Z9,IF(Y9&lt;&gt;"",AD9,AE9)))</f>
        <v/>
      </c>
      <c r="AG9" s="16">
        <f>IF(OR(AF9="",AF9="İMKÂNSIZ"),"",AF9*(1-IF(AF9&gt;='Komisyon Tarifeleri'!I9,IF($AM$1=2,'Komisyon Tarifeleri'!U9,'Komisyon Tarifeleri'!P9),IF(AF9&gt;='Komisyon Tarifeleri'!K9,IF($AM$1=2,'Komisyon Tarifeleri'!V9,'Komisyon Tarifeleri'!Q9),IF(AF9&gt;='Komisyon Tarifeleri'!M9,IF($AM$1=2,'Komisyon Tarifeleri'!W9,'Komisyon Tarifeleri'!R9),IF($AM$1=2,'Komisyon Tarifeleri'!X9,'Komisyon Tarifeleri'!S9))))/100)-$D9-IF(AF9&lt;=199.99,Kargo!$E$2,IF(AF9&lt;=399.99,Kargo!$E$3,$F9)))</f>
        <v/>
      </c>
      <c r="AH9" s="17">
        <f>IF(AG9="","",AG9/AF9)</f>
        <v/>
      </c>
      <c r="AI9" s="18">
        <f>IF($D9="","",IF(Y9="","BUYBOX YOK → hedef kârla min fiyat",IF(AC9&gt;=W9,"✓ BUYBOX ALTINA GİR","BUYBOX ALTI KÂRSIZ → min kârlı fiyat")))</f>
        <v/>
      </c>
      <c r="AJ9" s="10">
        <f>IF($B9="","",IFERROR(VLOOKUP($B9,Maliyetler!$A:$G,6,FALSE),""))</f>
        <v/>
      </c>
      <c r="AK9">
        <f>IF($B9="","",IFERROR(VLOOKUP($B9,Maliyetler!$A:$G,7,FALSE),""))</f>
        <v/>
      </c>
      <c r="AO9" s="21">
        <f>IF($B9="","",IFERROR(VLOOKUP($B9&amp;"",'Plus Tarifeleri'!$C:$Q,11,FALSE),""))</f>
        <v/>
      </c>
      <c r="AP9" s="22">
        <f>IF(AO9="","",IFERROR(IF($AM$1=2,VLOOKUP($B9&amp;"",'Plus Tarifeleri'!$C:$Q,15,FALSE),VLOOKUP($B9&amp;"",'Plus Tarifeleri'!$C:$Q,13,FALSE)),""))</f>
        <v/>
      </c>
      <c r="AQ9" s="21">
        <f>IF(OR(AO9="",AP9="",$D9=""),"",AO9*(1-AP9/100)-$D9-IF(AO9&lt;=199.99,Kargo!$E$2,IF(AO9&lt;=399.99,Kargo!$E$3,$F9)))</f>
        <v/>
      </c>
      <c r="AR9" s="23">
        <f>IF(AQ9="","",AQ9/AO9)</f>
        <v/>
      </c>
      <c r="AS9" s="24">
        <f>IF(OR(AQ9="",AG9=""),"",AQ9-AG9)</f>
        <v/>
      </c>
    </row>
    <row r="10">
      <c r="A10">
        <f>IF('Komisyon Tarifeleri'!A10="","",'Komisyon Tarifeleri'!A10)</f>
        <v/>
      </c>
      <c r="B10">
        <f>IF('Komisyon Tarifeleri'!B10="","",'Komisyon Tarifeleri'!B10&amp;"")</f>
        <v/>
      </c>
      <c r="C10">
        <f>IF($B10="","",'Komisyon Tarifeleri'!F10)</f>
        <v/>
      </c>
      <c r="D10" s="10">
        <f>IF($B10="","",IFERROR(VLOOKUP($B10,Maliyetler!$A:$E,3,FALSE),""))</f>
        <v/>
      </c>
      <c r="E10">
        <f>IF($B10="","",IFERROR(VLOOKUP($B10,Maliyetler!$A:$E,4,FALSE),1))</f>
        <v/>
      </c>
      <c r="F10" s="10">
        <f>IF($B10="","",IFERROR(VLOOKUP(MIN(20,MAX(1,ROUND($E10,0))),Kargo!$A:$B,2,FALSE),99.46))</f>
        <v/>
      </c>
      <c r="G10" s="10">
        <f>IF($B10="","",IF(IF(N('Komisyon Tarifeleri'!AA10)&gt;='Komisyon Tarifeleri'!I10,'Komisyon Tarifeleri'!AA10,'Komisyon Tarifeleri'!I10)="","",IF(N('Komisyon Tarifeleri'!AA10)&gt;='Komisyon Tarifeleri'!I10,'Komisyon Tarifeleri'!AA10,'Komisyon Tarifeleri'!I10)))</f>
        <v/>
      </c>
      <c r="H10" s="11">
        <f>IF(G10="","",IF($AM$1=2,'Komisyon Tarifeleri'!U10,'Komisyon Tarifeleri'!P10))</f>
        <v/>
      </c>
      <c r="I10" s="10">
        <f>IF(OR(G10="",$D10=""),"",G10*(1-H10/100)-$D10-IF(G10&lt;=199.99,Kargo!$E$2,IF(G10&lt;=399.99,Kargo!$E$3,$F10)))</f>
        <v/>
      </c>
      <c r="J10" s="12">
        <f>IF(I10="","",I10/G10)</f>
        <v/>
      </c>
      <c r="K10" s="10">
        <f>IF($B10="","",IF('Komisyon Tarifeleri'!J10="","",'Komisyon Tarifeleri'!J10))</f>
        <v/>
      </c>
      <c r="L10" s="11">
        <f>IF(K10="","",IF($AM$1=2,'Komisyon Tarifeleri'!V10,'Komisyon Tarifeleri'!Q10))</f>
        <v/>
      </c>
      <c r="M10" s="10">
        <f>IF(OR(K10="",$D10=""),"",K10*(1-L10/100)-$D10-IF(K10&lt;=199.99,Kargo!$E$2,IF(K10&lt;=399.99,Kargo!$E$3,$F10)))</f>
        <v/>
      </c>
      <c r="N10" s="12">
        <f>IF(M10="","",M10/K10)</f>
        <v/>
      </c>
      <c r="O10" s="10">
        <f>IF($B10="","",IF('Komisyon Tarifeleri'!L10="","",'Komisyon Tarifeleri'!L10))</f>
        <v/>
      </c>
      <c r="P10" s="11">
        <f>IF(O10="","",IF($AM$1=2,'Komisyon Tarifeleri'!W10,'Komisyon Tarifeleri'!R10))</f>
        <v/>
      </c>
      <c r="Q10" s="10">
        <f>IF(OR(O10="",$D10=""),"",O10*(1-P10/100)-$D10-IF(O10&lt;=199.99,Kargo!$E$2,IF(O10&lt;=399.99,Kargo!$E$3,$F10)))</f>
        <v/>
      </c>
      <c r="R10" s="12">
        <f>IF(Q10="","",Q10/O10)</f>
        <v/>
      </c>
      <c r="S10" s="10">
        <f>IF($B10="","",IF('Komisyon Tarifeleri'!N10="","",'Komisyon Tarifeleri'!N10))</f>
        <v/>
      </c>
      <c r="T10" s="11">
        <f>IF(S10="","",IF($AM$1=2,'Komisyon Tarifeleri'!X10,'Komisyon Tarifeleri'!S10))</f>
        <v/>
      </c>
      <c r="U10" s="10">
        <f>IF(OR(S10="",$D10=""),"",S10*(1-T10/100)-$D10-IF(S10&lt;=199.99,Kargo!$E$2,IF(S10&lt;=399.99,Kargo!$E$3,$F10)))</f>
        <v/>
      </c>
      <c r="V10" s="12">
        <f>IF(U10="","",U10/S10)</f>
        <v/>
      </c>
      <c r="W10" s="12">
        <f>IF($B10="","",IFERROR(VLOOKUP($C10,Hedefler!$A:$C,2,FALSE),0.04))</f>
        <v/>
      </c>
      <c r="X10" s="12">
        <f>IF($B10="","",IFERROR(VLOOKUP($C10,Hedefler!$A:$C,3,FALSE),0.1))</f>
        <v/>
      </c>
      <c r="Y10" s="13">
        <f>IF($B10="","",IFERROR(VLOOKUP($B10,Maliyetler!$A:$E,5,FALSE),""))</f>
        <v/>
      </c>
      <c r="Z10" s="13">
        <f>IF(OR(Y10="",Y10=0),"",Y10-1)</f>
        <v/>
      </c>
      <c r="AA10" s="14">
        <f>IF(Z10="","",IF(Z10&gt;='Komisyon Tarifeleri'!I10,IF($AM$1=2,'Komisyon Tarifeleri'!U10,'Komisyon Tarifeleri'!P10),IF(Z10&gt;='Komisyon Tarifeleri'!K10,IF($AM$1=2,'Komisyon Tarifeleri'!V10,'Komisyon Tarifeleri'!Q10),IF(Z10&gt;='Komisyon Tarifeleri'!M10,IF($AM$1=2,'Komisyon Tarifeleri'!W10,'Komisyon Tarifeleri'!R10),IF($AM$1=2,'Komisyon Tarifeleri'!X10,'Komisyon Tarifeleri'!S10)))))</f>
        <v/>
      </c>
      <c r="AB10" s="13">
        <f>IF(OR(AA10="",$D10=""),"",Z10*(1-AA10/100)-$D10-IF(Z10&lt;=199.99,Kargo!$E$2,IF(Z10&lt;=399.99,Kargo!$E$3,$F10)))</f>
        <v/>
      </c>
      <c r="AC10" s="15">
        <f>IF(AB10="","",AB10/Z10)</f>
        <v/>
      </c>
      <c r="AD10" s="10">
        <f>IF(OR($D10="",$B10=""),"",IF(AND((1-T10/100-W10)&gt;0,CEILING(($D10+$F10)/(1-T10/100-W10),1)&lt;='Komisyon Tarifeleri'!N10),CEILING(($D10+$F10)/(1-T10/100-W10),1),IF(AND((1-P10/100-W10)&gt;0,CEILING(MAX('Komisyon Tarifeleri'!M10,($D10+$F10)/(1-P10/100-W10)),1)&lt;='Komisyon Tarifeleri'!L10),CEILING(MAX('Komisyon Tarifeleri'!M10,($D10+$F10)/(1-P10/100-W10)),1),IF(AND((1-L10/100-W10)&gt;0,CEILING(MAX('Komisyon Tarifeleri'!K10,($D10+$F10)/(1-L10/100-W10)),1)&lt;='Komisyon Tarifeleri'!J10),CEILING(MAX('Komisyon Tarifeleri'!K10,($D10+$F10)/(1-L10/100-W10)),1),IF((1-H10/100-W10)&gt;0,CEILING(MAX('Komisyon Tarifeleri'!I10,($D10+$F10)/(1-H10/100-W10)),1),"İMKÂNSIZ")))))</f>
        <v/>
      </c>
      <c r="AE10" s="10">
        <f>IF(OR($D10="",$B10=""),"",IF(AND((1-T10/100-X10)&gt;0,CEILING(($D10+$F10)/(1-T10/100-X10),1)&lt;='Komisyon Tarifeleri'!N10),CEILING(($D10+$F10)/(1-T10/100-X10),1),IF(AND((1-P10/100-X10)&gt;0,CEILING(MAX('Komisyon Tarifeleri'!M10,($D10+$F10)/(1-P10/100-X10)),1)&lt;='Komisyon Tarifeleri'!L10),CEILING(MAX('Komisyon Tarifeleri'!M10,($D10+$F10)/(1-P10/100-X10)),1),IF(AND((1-L10/100-X10)&gt;0,CEILING(MAX('Komisyon Tarifeleri'!K10,($D10+$F10)/(1-L10/100-X10)),1)&lt;='Komisyon Tarifeleri'!J10),CEILING(MAX('Komisyon Tarifeleri'!K10,($D10+$F10)/(1-L10/100-X10)),1),IF((1-H10/100-X10)&gt;0,CEILING(MAX('Komisyon Tarifeleri'!I10,($D10+$F10)/(1-H10/100-X10)),1),"İMKÂNSIZ")))))</f>
        <v/>
      </c>
      <c r="AF10" s="16">
        <f>IF($D10="","",IF(AND(Y10&lt;&gt;"",AC10&lt;&gt;"",AC10&gt;=W10),Z10,IF(Y10&lt;&gt;"",AD10,AE10)))</f>
        <v/>
      </c>
      <c r="AG10" s="16">
        <f>IF(OR(AF10="",AF10="İMKÂNSIZ"),"",AF10*(1-IF(AF10&gt;='Komisyon Tarifeleri'!I10,IF($AM$1=2,'Komisyon Tarifeleri'!U10,'Komisyon Tarifeleri'!P10),IF(AF10&gt;='Komisyon Tarifeleri'!K10,IF($AM$1=2,'Komisyon Tarifeleri'!V10,'Komisyon Tarifeleri'!Q10),IF(AF10&gt;='Komisyon Tarifeleri'!M10,IF($AM$1=2,'Komisyon Tarifeleri'!W10,'Komisyon Tarifeleri'!R10),IF($AM$1=2,'Komisyon Tarifeleri'!X10,'Komisyon Tarifeleri'!S10))))/100)-$D10-IF(AF10&lt;=199.99,Kargo!$E$2,IF(AF10&lt;=399.99,Kargo!$E$3,$F10)))</f>
        <v/>
      </c>
      <c r="AH10" s="17">
        <f>IF(AG10="","",AG10/AF10)</f>
        <v/>
      </c>
      <c r="AI10" s="18">
        <f>IF($D10="","",IF(Y10="","BUYBOX YOK → hedef kârla min fiyat",IF(AC10&gt;=W10,"✓ BUYBOX ALTINA GİR","BUYBOX ALTI KÂRSIZ → min kârlı fiyat")))</f>
        <v/>
      </c>
      <c r="AJ10" s="10">
        <f>IF($B10="","",IFERROR(VLOOKUP($B10,Maliyetler!$A:$G,6,FALSE),""))</f>
        <v/>
      </c>
      <c r="AK10">
        <f>IF($B10="","",IFERROR(VLOOKUP($B10,Maliyetler!$A:$G,7,FALSE),""))</f>
        <v/>
      </c>
      <c r="AO10" s="21">
        <f>IF($B10="","",IFERROR(VLOOKUP($B10&amp;"",'Plus Tarifeleri'!$C:$Q,11,FALSE),""))</f>
        <v/>
      </c>
      <c r="AP10" s="22">
        <f>IF(AO10="","",IFERROR(IF($AM$1=2,VLOOKUP($B10&amp;"",'Plus Tarifeleri'!$C:$Q,15,FALSE),VLOOKUP($B10&amp;"",'Plus Tarifeleri'!$C:$Q,13,FALSE)),""))</f>
        <v/>
      </c>
      <c r="AQ10" s="21">
        <f>IF(OR(AO10="",AP10="",$D10=""),"",AO10*(1-AP10/100)-$D10-IF(AO10&lt;=199.99,Kargo!$E$2,IF(AO10&lt;=399.99,Kargo!$E$3,$F10)))</f>
        <v/>
      </c>
      <c r="AR10" s="23">
        <f>IF(AQ10="","",AQ10/AO10)</f>
        <v/>
      </c>
      <c r="AS10" s="24">
        <f>IF(OR(AQ10="",AG10=""),"",AQ10-AG10)</f>
        <v/>
      </c>
    </row>
    <row r="11">
      <c r="A11">
        <f>IF('Komisyon Tarifeleri'!A11="","",'Komisyon Tarifeleri'!A11)</f>
        <v/>
      </c>
      <c r="B11">
        <f>IF('Komisyon Tarifeleri'!B11="","",'Komisyon Tarifeleri'!B11&amp;"")</f>
        <v/>
      </c>
      <c r="C11">
        <f>IF($B11="","",'Komisyon Tarifeleri'!F11)</f>
        <v/>
      </c>
      <c r="D11" s="10">
        <f>IF($B11="","",IFERROR(VLOOKUP($B11,Maliyetler!$A:$E,3,FALSE),""))</f>
        <v/>
      </c>
      <c r="E11">
        <f>IF($B11="","",IFERROR(VLOOKUP($B11,Maliyetler!$A:$E,4,FALSE),1))</f>
        <v/>
      </c>
      <c r="F11" s="10">
        <f>IF($B11="","",IFERROR(VLOOKUP(MIN(20,MAX(1,ROUND($E11,0))),Kargo!$A:$B,2,FALSE),99.46))</f>
        <v/>
      </c>
      <c r="G11" s="10">
        <f>IF($B11="","",IF(IF(N('Komisyon Tarifeleri'!AA11)&gt;='Komisyon Tarifeleri'!I11,'Komisyon Tarifeleri'!AA11,'Komisyon Tarifeleri'!I11)="","",IF(N('Komisyon Tarifeleri'!AA11)&gt;='Komisyon Tarifeleri'!I11,'Komisyon Tarifeleri'!AA11,'Komisyon Tarifeleri'!I11)))</f>
        <v/>
      </c>
      <c r="H11" s="11">
        <f>IF(G11="","",IF($AM$1=2,'Komisyon Tarifeleri'!U11,'Komisyon Tarifeleri'!P11))</f>
        <v/>
      </c>
      <c r="I11" s="10">
        <f>IF(OR(G11="",$D11=""),"",G11*(1-H11/100)-$D11-IF(G11&lt;=199.99,Kargo!$E$2,IF(G11&lt;=399.99,Kargo!$E$3,$F11)))</f>
        <v/>
      </c>
      <c r="J11" s="12">
        <f>IF(I11="","",I11/G11)</f>
        <v/>
      </c>
      <c r="K11" s="10">
        <f>IF($B11="","",IF('Komisyon Tarifeleri'!J11="","",'Komisyon Tarifeleri'!J11))</f>
        <v/>
      </c>
      <c r="L11" s="11">
        <f>IF(K11="","",IF($AM$1=2,'Komisyon Tarifeleri'!V11,'Komisyon Tarifeleri'!Q11))</f>
        <v/>
      </c>
      <c r="M11" s="10">
        <f>IF(OR(K11="",$D11=""),"",K11*(1-L11/100)-$D11-IF(K11&lt;=199.99,Kargo!$E$2,IF(K11&lt;=399.99,Kargo!$E$3,$F11)))</f>
        <v/>
      </c>
      <c r="N11" s="12">
        <f>IF(M11="","",M11/K11)</f>
        <v/>
      </c>
      <c r="O11" s="10">
        <f>IF($B11="","",IF('Komisyon Tarifeleri'!L11="","",'Komisyon Tarifeleri'!L11))</f>
        <v/>
      </c>
      <c r="P11" s="11">
        <f>IF(O11="","",IF($AM$1=2,'Komisyon Tarifeleri'!W11,'Komisyon Tarifeleri'!R11))</f>
        <v/>
      </c>
      <c r="Q11" s="10">
        <f>IF(OR(O11="",$D11=""),"",O11*(1-P11/100)-$D11-IF(O11&lt;=199.99,Kargo!$E$2,IF(O11&lt;=399.99,Kargo!$E$3,$F11)))</f>
        <v/>
      </c>
      <c r="R11" s="12">
        <f>IF(Q11="","",Q11/O11)</f>
        <v/>
      </c>
      <c r="S11" s="10">
        <f>IF($B11="","",IF('Komisyon Tarifeleri'!N11="","",'Komisyon Tarifeleri'!N11))</f>
        <v/>
      </c>
      <c r="T11" s="11">
        <f>IF(S11="","",IF($AM$1=2,'Komisyon Tarifeleri'!X11,'Komisyon Tarifeleri'!S11))</f>
        <v/>
      </c>
      <c r="U11" s="10">
        <f>IF(OR(S11="",$D11=""),"",S11*(1-T11/100)-$D11-IF(S11&lt;=199.99,Kargo!$E$2,IF(S11&lt;=399.99,Kargo!$E$3,$F11)))</f>
        <v/>
      </c>
      <c r="V11" s="12">
        <f>IF(U11="","",U11/S11)</f>
        <v/>
      </c>
      <c r="W11" s="12">
        <f>IF($B11="","",IFERROR(VLOOKUP($C11,Hedefler!$A:$C,2,FALSE),0.04))</f>
        <v/>
      </c>
      <c r="X11" s="12">
        <f>IF($B11="","",IFERROR(VLOOKUP($C11,Hedefler!$A:$C,3,FALSE),0.1))</f>
        <v/>
      </c>
      <c r="Y11" s="13">
        <f>IF($B11="","",IFERROR(VLOOKUP($B11,Maliyetler!$A:$E,5,FALSE),""))</f>
        <v/>
      </c>
      <c r="Z11" s="13">
        <f>IF(OR(Y11="",Y11=0),"",Y11-1)</f>
        <v/>
      </c>
      <c r="AA11" s="14">
        <f>IF(Z11="","",IF(Z11&gt;='Komisyon Tarifeleri'!I11,IF($AM$1=2,'Komisyon Tarifeleri'!U11,'Komisyon Tarifeleri'!P11),IF(Z11&gt;='Komisyon Tarifeleri'!K11,IF($AM$1=2,'Komisyon Tarifeleri'!V11,'Komisyon Tarifeleri'!Q11),IF(Z11&gt;='Komisyon Tarifeleri'!M11,IF($AM$1=2,'Komisyon Tarifeleri'!W11,'Komisyon Tarifeleri'!R11),IF($AM$1=2,'Komisyon Tarifeleri'!X11,'Komisyon Tarifeleri'!S11)))))</f>
        <v/>
      </c>
      <c r="AB11" s="13">
        <f>IF(OR(AA11="",$D11=""),"",Z11*(1-AA11/100)-$D11-IF(Z11&lt;=199.99,Kargo!$E$2,IF(Z11&lt;=399.99,Kargo!$E$3,$F11)))</f>
        <v/>
      </c>
      <c r="AC11" s="15">
        <f>IF(AB11="","",AB11/Z11)</f>
        <v/>
      </c>
      <c r="AD11" s="10">
        <f>IF(OR($D11="",$B11=""),"",IF(AND((1-T11/100-W11)&gt;0,CEILING(($D11+$F11)/(1-T11/100-W11),1)&lt;='Komisyon Tarifeleri'!N11),CEILING(($D11+$F11)/(1-T11/100-W11),1),IF(AND((1-P11/100-W11)&gt;0,CEILING(MAX('Komisyon Tarifeleri'!M11,($D11+$F11)/(1-P11/100-W11)),1)&lt;='Komisyon Tarifeleri'!L11),CEILING(MAX('Komisyon Tarifeleri'!M11,($D11+$F11)/(1-P11/100-W11)),1),IF(AND((1-L11/100-W11)&gt;0,CEILING(MAX('Komisyon Tarifeleri'!K11,($D11+$F11)/(1-L11/100-W11)),1)&lt;='Komisyon Tarifeleri'!J11),CEILING(MAX('Komisyon Tarifeleri'!K11,($D11+$F11)/(1-L11/100-W11)),1),IF((1-H11/100-W11)&gt;0,CEILING(MAX('Komisyon Tarifeleri'!I11,($D11+$F11)/(1-H11/100-W11)),1),"İMKÂNSIZ")))))</f>
        <v/>
      </c>
      <c r="AE11" s="10">
        <f>IF(OR($D11="",$B11=""),"",IF(AND((1-T11/100-X11)&gt;0,CEILING(($D11+$F11)/(1-T11/100-X11),1)&lt;='Komisyon Tarifeleri'!N11),CEILING(($D11+$F11)/(1-T11/100-X11),1),IF(AND((1-P11/100-X11)&gt;0,CEILING(MAX('Komisyon Tarifeleri'!M11,($D11+$F11)/(1-P11/100-X11)),1)&lt;='Komisyon Tarifeleri'!L11),CEILING(MAX('Komisyon Tarifeleri'!M11,($D11+$F11)/(1-P11/100-X11)),1),IF(AND((1-L11/100-X11)&gt;0,CEILING(MAX('Komisyon Tarifeleri'!K11,($D11+$F11)/(1-L11/100-X11)),1)&lt;='Komisyon Tarifeleri'!J11),CEILING(MAX('Komisyon Tarifeleri'!K11,($D11+$F11)/(1-L11/100-X11)),1),IF((1-H11/100-X11)&gt;0,CEILING(MAX('Komisyon Tarifeleri'!I11,($D11+$F11)/(1-H11/100-X11)),1),"İMKÂNSIZ")))))</f>
        <v/>
      </c>
      <c r="AF11" s="16">
        <f>IF($D11="","",IF(AND(Y11&lt;&gt;"",AC11&lt;&gt;"",AC11&gt;=W11),Z11,IF(Y11&lt;&gt;"",AD11,AE11)))</f>
        <v/>
      </c>
      <c r="AG11" s="16">
        <f>IF(OR(AF11="",AF11="İMKÂNSIZ"),"",AF11*(1-IF(AF11&gt;='Komisyon Tarifeleri'!I11,IF($AM$1=2,'Komisyon Tarifeleri'!U11,'Komisyon Tarifeleri'!P11),IF(AF11&gt;='Komisyon Tarifeleri'!K11,IF($AM$1=2,'Komisyon Tarifeleri'!V11,'Komisyon Tarifeleri'!Q11),IF(AF11&gt;='Komisyon Tarifeleri'!M11,IF($AM$1=2,'Komisyon Tarifeleri'!W11,'Komisyon Tarifeleri'!R11),IF($AM$1=2,'Komisyon Tarifeleri'!X11,'Komisyon Tarifeleri'!S11))))/100)-$D11-IF(AF11&lt;=199.99,Kargo!$E$2,IF(AF11&lt;=399.99,Kargo!$E$3,$F11)))</f>
        <v/>
      </c>
      <c r="AH11" s="17">
        <f>IF(AG11="","",AG11/AF11)</f>
        <v/>
      </c>
      <c r="AI11" s="18">
        <f>IF($D11="","",IF(Y11="","BUYBOX YOK → hedef kârla min fiyat",IF(AC11&gt;=W11,"✓ BUYBOX ALTINA GİR","BUYBOX ALTI KÂRSIZ → min kârlı fiyat")))</f>
        <v/>
      </c>
      <c r="AJ11" s="10">
        <f>IF($B11="","",IFERROR(VLOOKUP($B11,Maliyetler!$A:$G,6,FALSE),""))</f>
        <v/>
      </c>
      <c r="AK11">
        <f>IF($B11="","",IFERROR(VLOOKUP($B11,Maliyetler!$A:$G,7,FALSE),""))</f>
        <v/>
      </c>
      <c r="AO11" s="21">
        <f>IF($B11="","",IFERROR(VLOOKUP($B11&amp;"",'Plus Tarifeleri'!$C:$Q,11,FALSE),""))</f>
        <v/>
      </c>
      <c r="AP11" s="22">
        <f>IF(AO11="","",IFERROR(IF($AM$1=2,VLOOKUP($B11&amp;"",'Plus Tarifeleri'!$C:$Q,15,FALSE),VLOOKUP($B11&amp;"",'Plus Tarifeleri'!$C:$Q,13,FALSE)),""))</f>
        <v/>
      </c>
      <c r="AQ11" s="21">
        <f>IF(OR(AO11="",AP11="",$D11=""),"",AO11*(1-AP11/100)-$D11-IF(AO11&lt;=199.99,Kargo!$E$2,IF(AO11&lt;=399.99,Kargo!$E$3,$F11)))</f>
        <v/>
      </c>
      <c r="AR11" s="23">
        <f>IF(AQ11="","",AQ11/AO11)</f>
        <v/>
      </c>
      <c r="AS11" s="24">
        <f>IF(OR(AQ11="",AG11=""),"",AQ11-AG11)</f>
        <v/>
      </c>
    </row>
    <row r="12">
      <c r="A12">
        <f>IF('Komisyon Tarifeleri'!A12="","",'Komisyon Tarifeleri'!A12)</f>
        <v/>
      </c>
      <c r="B12">
        <f>IF('Komisyon Tarifeleri'!B12="","",'Komisyon Tarifeleri'!B12&amp;"")</f>
        <v/>
      </c>
      <c r="C12">
        <f>IF($B12="","",'Komisyon Tarifeleri'!F12)</f>
        <v/>
      </c>
      <c r="D12" s="10">
        <f>IF($B12="","",IFERROR(VLOOKUP($B12,Maliyetler!$A:$E,3,FALSE),""))</f>
        <v/>
      </c>
      <c r="E12">
        <f>IF($B12="","",IFERROR(VLOOKUP($B12,Maliyetler!$A:$E,4,FALSE),1))</f>
        <v/>
      </c>
      <c r="F12" s="10">
        <f>IF($B12="","",IFERROR(VLOOKUP(MIN(20,MAX(1,ROUND($E12,0))),Kargo!$A:$B,2,FALSE),99.46))</f>
        <v/>
      </c>
      <c r="G12" s="10">
        <f>IF($B12="","",IF(IF(N('Komisyon Tarifeleri'!AA12)&gt;='Komisyon Tarifeleri'!I12,'Komisyon Tarifeleri'!AA12,'Komisyon Tarifeleri'!I12)="","",IF(N('Komisyon Tarifeleri'!AA12)&gt;='Komisyon Tarifeleri'!I12,'Komisyon Tarifeleri'!AA12,'Komisyon Tarifeleri'!I12)))</f>
        <v/>
      </c>
      <c r="H12" s="11">
        <f>IF(G12="","",IF($AM$1=2,'Komisyon Tarifeleri'!U12,'Komisyon Tarifeleri'!P12))</f>
        <v/>
      </c>
      <c r="I12" s="10">
        <f>IF(OR(G12="",$D12=""),"",G12*(1-H12/100)-$D12-IF(G12&lt;=199.99,Kargo!$E$2,IF(G12&lt;=399.99,Kargo!$E$3,$F12)))</f>
        <v/>
      </c>
      <c r="J12" s="12">
        <f>IF(I12="","",I12/G12)</f>
        <v/>
      </c>
      <c r="K12" s="10">
        <f>IF($B12="","",IF('Komisyon Tarifeleri'!J12="","",'Komisyon Tarifeleri'!J12))</f>
        <v/>
      </c>
      <c r="L12" s="11">
        <f>IF(K12="","",IF($AM$1=2,'Komisyon Tarifeleri'!V12,'Komisyon Tarifeleri'!Q12))</f>
        <v/>
      </c>
      <c r="M12" s="10">
        <f>IF(OR(K12="",$D12=""),"",K12*(1-L12/100)-$D12-IF(K12&lt;=199.99,Kargo!$E$2,IF(K12&lt;=399.99,Kargo!$E$3,$F12)))</f>
        <v/>
      </c>
      <c r="N12" s="12">
        <f>IF(M12="","",M12/K12)</f>
        <v/>
      </c>
      <c r="O12" s="10">
        <f>IF($B12="","",IF('Komisyon Tarifeleri'!L12="","",'Komisyon Tarifeleri'!L12))</f>
        <v/>
      </c>
      <c r="P12" s="11">
        <f>IF(O12="","",IF($AM$1=2,'Komisyon Tarifeleri'!W12,'Komisyon Tarifeleri'!R12))</f>
        <v/>
      </c>
      <c r="Q12" s="10">
        <f>IF(OR(O12="",$D12=""),"",O12*(1-P12/100)-$D12-IF(O12&lt;=199.99,Kargo!$E$2,IF(O12&lt;=399.99,Kargo!$E$3,$F12)))</f>
        <v/>
      </c>
      <c r="R12" s="12">
        <f>IF(Q12="","",Q12/O12)</f>
        <v/>
      </c>
      <c r="S12" s="10">
        <f>IF($B12="","",IF('Komisyon Tarifeleri'!N12="","",'Komisyon Tarifeleri'!N12))</f>
        <v/>
      </c>
      <c r="T12" s="11">
        <f>IF(S12="","",IF($AM$1=2,'Komisyon Tarifeleri'!X12,'Komisyon Tarifeleri'!S12))</f>
        <v/>
      </c>
      <c r="U12" s="10">
        <f>IF(OR(S12="",$D12=""),"",S12*(1-T12/100)-$D12-IF(S12&lt;=199.99,Kargo!$E$2,IF(S12&lt;=399.99,Kargo!$E$3,$F12)))</f>
        <v/>
      </c>
      <c r="V12" s="12">
        <f>IF(U12="","",U12/S12)</f>
        <v/>
      </c>
      <c r="W12" s="12">
        <f>IF($B12="","",IFERROR(VLOOKUP($C12,Hedefler!$A:$C,2,FALSE),0.04))</f>
        <v/>
      </c>
      <c r="X12" s="12">
        <f>IF($B12="","",IFERROR(VLOOKUP($C12,Hedefler!$A:$C,3,FALSE),0.1))</f>
        <v/>
      </c>
      <c r="Y12" s="13">
        <f>IF($B12="","",IFERROR(VLOOKUP($B12,Maliyetler!$A:$E,5,FALSE),""))</f>
        <v/>
      </c>
      <c r="Z12" s="13">
        <f>IF(OR(Y12="",Y12=0),"",Y12-1)</f>
        <v/>
      </c>
      <c r="AA12" s="14">
        <f>IF(Z12="","",IF(Z12&gt;='Komisyon Tarifeleri'!I12,IF($AM$1=2,'Komisyon Tarifeleri'!U12,'Komisyon Tarifeleri'!P12),IF(Z12&gt;='Komisyon Tarifeleri'!K12,IF($AM$1=2,'Komisyon Tarifeleri'!V12,'Komisyon Tarifeleri'!Q12),IF(Z12&gt;='Komisyon Tarifeleri'!M12,IF($AM$1=2,'Komisyon Tarifeleri'!W12,'Komisyon Tarifeleri'!R12),IF($AM$1=2,'Komisyon Tarifeleri'!X12,'Komisyon Tarifeleri'!S12)))))</f>
        <v/>
      </c>
      <c r="AB12" s="13">
        <f>IF(OR(AA12="",$D12=""),"",Z12*(1-AA12/100)-$D12-IF(Z12&lt;=199.99,Kargo!$E$2,IF(Z12&lt;=399.99,Kargo!$E$3,$F12)))</f>
        <v/>
      </c>
      <c r="AC12" s="15">
        <f>IF(AB12="","",AB12/Z12)</f>
        <v/>
      </c>
      <c r="AD12" s="10">
        <f>IF(OR($D12="",$B12=""),"",IF(AND((1-T12/100-W12)&gt;0,CEILING(($D12+$F12)/(1-T12/100-W12),1)&lt;='Komisyon Tarifeleri'!N12),CEILING(($D12+$F12)/(1-T12/100-W12),1),IF(AND((1-P12/100-W12)&gt;0,CEILING(MAX('Komisyon Tarifeleri'!M12,($D12+$F12)/(1-P12/100-W12)),1)&lt;='Komisyon Tarifeleri'!L12),CEILING(MAX('Komisyon Tarifeleri'!M12,($D12+$F12)/(1-P12/100-W12)),1),IF(AND((1-L12/100-W12)&gt;0,CEILING(MAX('Komisyon Tarifeleri'!K12,($D12+$F12)/(1-L12/100-W12)),1)&lt;='Komisyon Tarifeleri'!J12),CEILING(MAX('Komisyon Tarifeleri'!K12,($D12+$F12)/(1-L12/100-W12)),1),IF((1-H12/100-W12)&gt;0,CEILING(MAX('Komisyon Tarifeleri'!I12,($D12+$F12)/(1-H12/100-W12)),1),"İMKÂNSIZ")))))</f>
        <v/>
      </c>
      <c r="AE12" s="10">
        <f>IF(OR($D12="",$B12=""),"",IF(AND((1-T12/100-X12)&gt;0,CEILING(($D12+$F12)/(1-T12/100-X12),1)&lt;='Komisyon Tarifeleri'!N12),CEILING(($D12+$F12)/(1-T12/100-X12),1),IF(AND((1-P12/100-X12)&gt;0,CEILING(MAX('Komisyon Tarifeleri'!M12,($D12+$F12)/(1-P12/100-X12)),1)&lt;='Komisyon Tarifeleri'!L12),CEILING(MAX('Komisyon Tarifeleri'!M12,($D12+$F12)/(1-P12/100-X12)),1),IF(AND((1-L12/100-X12)&gt;0,CEILING(MAX('Komisyon Tarifeleri'!K12,($D12+$F12)/(1-L12/100-X12)),1)&lt;='Komisyon Tarifeleri'!J12),CEILING(MAX('Komisyon Tarifeleri'!K12,($D12+$F12)/(1-L12/100-X12)),1),IF((1-H12/100-X12)&gt;0,CEILING(MAX('Komisyon Tarifeleri'!I12,($D12+$F12)/(1-H12/100-X12)),1),"İMKÂNSIZ")))))</f>
        <v/>
      </c>
      <c r="AF12" s="16">
        <f>IF($D12="","",IF(AND(Y12&lt;&gt;"",AC12&lt;&gt;"",AC12&gt;=W12),Z12,IF(Y12&lt;&gt;"",AD12,AE12)))</f>
        <v/>
      </c>
      <c r="AG12" s="16">
        <f>IF(OR(AF12="",AF12="İMKÂNSIZ"),"",AF12*(1-IF(AF12&gt;='Komisyon Tarifeleri'!I12,IF($AM$1=2,'Komisyon Tarifeleri'!U12,'Komisyon Tarifeleri'!P12),IF(AF12&gt;='Komisyon Tarifeleri'!K12,IF($AM$1=2,'Komisyon Tarifeleri'!V12,'Komisyon Tarifeleri'!Q12),IF(AF12&gt;='Komisyon Tarifeleri'!M12,IF($AM$1=2,'Komisyon Tarifeleri'!W12,'Komisyon Tarifeleri'!R12),IF($AM$1=2,'Komisyon Tarifeleri'!X12,'Komisyon Tarifeleri'!S12))))/100)-$D12-IF(AF12&lt;=199.99,Kargo!$E$2,IF(AF12&lt;=399.99,Kargo!$E$3,$F12)))</f>
        <v/>
      </c>
      <c r="AH12" s="17">
        <f>IF(AG12="","",AG12/AF12)</f>
        <v/>
      </c>
      <c r="AI12" s="18">
        <f>IF($D12="","",IF(Y12="","BUYBOX YOK → hedef kârla min fiyat",IF(AC12&gt;=W12,"✓ BUYBOX ALTINA GİR","BUYBOX ALTI KÂRSIZ → min kârlı fiyat")))</f>
        <v/>
      </c>
      <c r="AJ12" s="10">
        <f>IF($B12="","",IFERROR(VLOOKUP($B12,Maliyetler!$A:$G,6,FALSE),""))</f>
        <v/>
      </c>
      <c r="AK12">
        <f>IF($B12="","",IFERROR(VLOOKUP($B12,Maliyetler!$A:$G,7,FALSE),""))</f>
        <v/>
      </c>
      <c r="AO12" s="21">
        <f>IF($B12="","",IFERROR(VLOOKUP($B12&amp;"",'Plus Tarifeleri'!$C:$Q,11,FALSE),""))</f>
        <v/>
      </c>
      <c r="AP12" s="22">
        <f>IF(AO12="","",IFERROR(IF($AM$1=2,VLOOKUP($B12&amp;"",'Plus Tarifeleri'!$C:$Q,15,FALSE),VLOOKUP($B12&amp;"",'Plus Tarifeleri'!$C:$Q,13,FALSE)),""))</f>
        <v/>
      </c>
      <c r="AQ12" s="21">
        <f>IF(OR(AO12="",AP12="",$D12=""),"",AO12*(1-AP12/100)-$D12-IF(AO12&lt;=199.99,Kargo!$E$2,IF(AO12&lt;=399.99,Kargo!$E$3,$F12)))</f>
        <v/>
      </c>
      <c r="AR12" s="23">
        <f>IF(AQ12="","",AQ12/AO12)</f>
        <v/>
      </c>
      <c r="AS12" s="24">
        <f>IF(OR(AQ12="",AG12=""),"",AQ12-AG12)</f>
        <v/>
      </c>
    </row>
    <row r="13">
      <c r="A13">
        <f>IF('Komisyon Tarifeleri'!A13="","",'Komisyon Tarifeleri'!A13)</f>
        <v/>
      </c>
      <c r="B13">
        <f>IF('Komisyon Tarifeleri'!B13="","",'Komisyon Tarifeleri'!B13&amp;"")</f>
        <v/>
      </c>
      <c r="C13">
        <f>IF($B13="","",'Komisyon Tarifeleri'!F13)</f>
        <v/>
      </c>
      <c r="D13" s="10">
        <f>IF($B13="","",IFERROR(VLOOKUP($B13,Maliyetler!$A:$E,3,FALSE),""))</f>
        <v/>
      </c>
      <c r="E13">
        <f>IF($B13="","",IFERROR(VLOOKUP($B13,Maliyetler!$A:$E,4,FALSE),1))</f>
        <v/>
      </c>
      <c r="F13" s="10">
        <f>IF($B13="","",IFERROR(VLOOKUP(MIN(20,MAX(1,ROUND($E13,0))),Kargo!$A:$B,2,FALSE),99.46))</f>
        <v/>
      </c>
      <c r="G13" s="10">
        <f>IF($B13="","",IF(IF(N('Komisyon Tarifeleri'!AA13)&gt;='Komisyon Tarifeleri'!I13,'Komisyon Tarifeleri'!AA13,'Komisyon Tarifeleri'!I13)="","",IF(N('Komisyon Tarifeleri'!AA13)&gt;='Komisyon Tarifeleri'!I13,'Komisyon Tarifeleri'!AA13,'Komisyon Tarifeleri'!I13)))</f>
        <v/>
      </c>
      <c r="H13" s="11">
        <f>IF(G13="","",IF($AM$1=2,'Komisyon Tarifeleri'!U13,'Komisyon Tarifeleri'!P13))</f>
        <v/>
      </c>
      <c r="I13" s="10">
        <f>IF(OR(G13="",$D13=""),"",G13*(1-H13/100)-$D13-IF(G13&lt;=199.99,Kargo!$E$2,IF(G13&lt;=399.99,Kargo!$E$3,$F13)))</f>
        <v/>
      </c>
      <c r="J13" s="12">
        <f>IF(I13="","",I13/G13)</f>
        <v/>
      </c>
      <c r="K13" s="10">
        <f>IF($B13="","",IF('Komisyon Tarifeleri'!J13="","",'Komisyon Tarifeleri'!J13))</f>
        <v/>
      </c>
      <c r="L13" s="11">
        <f>IF(K13="","",IF($AM$1=2,'Komisyon Tarifeleri'!V13,'Komisyon Tarifeleri'!Q13))</f>
        <v/>
      </c>
      <c r="M13" s="10">
        <f>IF(OR(K13="",$D13=""),"",K13*(1-L13/100)-$D13-IF(K13&lt;=199.99,Kargo!$E$2,IF(K13&lt;=399.99,Kargo!$E$3,$F13)))</f>
        <v/>
      </c>
      <c r="N13" s="12">
        <f>IF(M13="","",M13/K13)</f>
        <v/>
      </c>
      <c r="O13" s="10">
        <f>IF($B13="","",IF('Komisyon Tarifeleri'!L13="","",'Komisyon Tarifeleri'!L13))</f>
        <v/>
      </c>
      <c r="P13" s="11">
        <f>IF(O13="","",IF($AM$1=2,'Komisyon Tarifeleri'!W13,'Komisyon Tarifeleri'!R13))</f>
        <v/>
      </c>
      <c r="Q13" s="10">
        <f>IF(OR(O13="",$D13=""),"",O13*(1-P13/100)-$D13-IF(O13&lt;=199.99,Kargo!$E$2,IF(O13&lt;=399.99,Kargo!$E$3,$F13)))</f>
        <v/>
      </c>
      <c r="R13" s="12">
        <f>IF(Q13="","",Q13/O13)</f>
        <v/>
      </c>
      <c r="S13" s="10">
        <f>IF($B13="","",IF('Komisyon Tarifeleri'!N13="","",'Komisyon Tarifeleri'!N13))</f>
        <v/>
      </c>
      <c r="T13" s="11">
        <f>IF(S13="","",IF($AM$1=2,'Komisyon Tarifeleri'!X13,'Komisyon Tarifeleri'!S13))</f>
        <v/>
      </c>
      <c r="U13" s="10">
        <f>IF(OR(S13="",$D13=""),"",S13*(1-T13/100)-$D13-IF(S13&lt;=199.99,Kargo!$E$2,IF(S13&lt;=399.99,Kargo!$E$3,$F13)))</f>
        <v/>
      </c>
      <c r="V13" s="12">
        <f>IF(U13="","",U13/S13)</f>
        <v/>
      </c>
      <c r="W13" s="12">
        <f>IF($B13="","",IFERROR(VLOOKUP($C13,Hedefler!$A:$C,2,FALSE),0.04))</f>
        <v/>
      </c>
      <c r="X13" s="12">
        <f>IF($B13="","",IFERROR(VLOOKUP($C13,Hedefler!$A:$C,3,FALSE),0.1))</f>
        <v/>
      </c>
      <c r="Y13" s="13">
        <f>IF($B13="","",IFERROR(VLOOKUP($B13,Maliyetler!$A:$E,5,FALSE),""))</f>
        <v/>
      </c>
      <c r="Z13" s="13">
        <f>IF(OR(Y13="",Y13=0),"",Y13-1)</f>
        <v/>
      </c>
      <c r="AA13" s="14">
        <f>IF(Z13="","",IF(Z13&gt;='Komisyon Tarifeleri'!I13,IF($AM$1=2,'Komisyon Tarifeleri'!U13,'Komisyon Tarifeleri'!P13),IF(Z13&gt;='Komisyon Tarifeleri'!K13,IF($AM$1=2,'Komisyon Tarifeleri'!V13,'Komisyon Tarifeleri'!Q13),IF(Z13&gt;='Komisyon Tarifeleri'!M13,IF($AM$1=2,'Komisyon Tarifeleri'!W13,'Komisyon Tarifeleri'!R13),IF($AM$1=2,'Komisyon Tarifeleri'!X13,'Komisyon Tarifeleri'!S13)))))</f>
        <v/>
      </c>
      <c r="AB13" s="13">
        <f>IF(OR(AA13="",$D13=""),"",Z13*(1-AA13/100)-$D13-IF(Z13&lt;=199.99,Kargo!$E$2,IF(Z13&lt;=399.99,Kargo!$E$3,$F13)))</f>
        <v/>
      </c>
      <c r="AC13" s="15">
        <f>IF(AB13="","",AB13/Z13)</f>
        <v/>
      </c>
      <c r="AD13" s="10">
        <f>IF(OR($D13="",$B13=""),"",IF(AND((1-T13/100-W13)&gt;0,CEILING(($D13+$F13)/(1-T13/100-W13),1)&lt;='Komisyon Tarifeleri'!N13),CEILING(($D13+$F13)/(1-T13/100-W13),1),IF(AND((1-P13/100-W13)&gt;0,CEILING(MAX('Komisyon Tarifeleri'!M13,($D13+$F13)/(1-P13/100-W13)),1)&lt;='Komisyon Tarifeleri'!L13),CEILING(MAX('Komisyon Tarifeleri'!M13,($D13+$F13)/(1-P13/100-W13)),1),IF(AND((1-L13/100-W13)&gt;0,CEILING(MAX('Komisyon Tarifeleri'!K13,($D13+$F13)/(1-L13/100-W13)),1)&lt;='Komisyon Tarifeleri'!J13),CEILING(MAX('Komisyon Tarifeleri'!K13,($D13+$F13)/(1-L13/100-W13)),1),IF((1-H13/100-W13)&gt;0,CEILING(MAX('Komisyon Tarifeleri'!I13,($D13+$F13)/(1-H13/100-W13)),1),"İMKÂNSIZ")))))</f>
        <v/>
      </c>
      <c r="AE13" s="10">
        <f>IF(OR($D13="",$B13=""),"",IF(AND((1-T13/100-X13)&gt;0,CEILING(($D13+$F13)/(1-T13/100-X13),1)&lt;='Komisyon Tarifeleri'!N13),CEILING(($D13+$F13)/(1-T13/100-X13),1),IF(AND((1-P13/100-X13)&gt;0,CEILING(MAX('Komisyon Tarifeleri'!M13,($D13+$F13)/(1-P13/100-X13)),1)&lt;='Komisyon Tarifeleri'!L13),CEILING(MAX('Komisyon Tarifeleri'!M13,($D13+$F13)/(1-P13/100-X13)),1),IF(AND((1-L13/100-X13)&gt;0,CEILING(MAX('Komisyon Tarifeleri'!K13,($D13+$F13)/(1-L13/100-X13)),1)&lt;='Komisyon Tarifeleri'!J13),CEILING(MAX('Komisyon Tarifeleri'!K13,($D13+$F13)/(1-L13/100-X13)),1),IF((1-H13/100-X13)&gt;0,CEILING(MAX('Komisyon Tarifeleri'!I13,($D13+$F13)/(1-H13/100-X13)),1),"İMKÂNSIZ")))))</f>
        <v/>
      </c>
      <c r="AF13" s="16">
        <f>IF($D13="","",IF(AND(Y13&lt;&gt;"",AC13&lt;&gt;"",AC13&gt;=W13),Z13,IF(Y13&lt;&gt;"",AD13,AE13)))</f>
        <v/>
      </c>
      <c r="AG13" s="16">
        <f>IF(OR(AF13="",AF13="İMKÂNSIZ"),"",AF13*(1-IF(AF13&gt;='Komisyon Tarifeleri'!I13,IF($AM$1=2,'Komisyon Tarifeleri'!U13,'Komisyon Tarifeleri'!P13),IF(AF13&gt;='Komisyon Tarifeleri'!K13,IF($AM$1=2,'Komisyon Tarifeleri'!V13,'Komisyon Tarifeleri'!Q13),IF(AF13&gt;='Komisyon Tarifeleri'!M13,IF($AM$1=2,'Komisyon Tarifeleri'!W13,'Komisyon Tarifeleri'!R13),IF($AM$1=2,'Komisyon Tarifeleri'!X13,'Komisyon Tarifeleri'!S13))))/100)-$D13-IF(AF13&lt;=199.99,Kargo!$E$2,IF(AF13&lt;=399.99,Kargo!$E$3,$F13)))</f>
        <v/>
      </c>
      <c r="AH13" s="17">
        <f>IF(AG13="","",AG13/AF13)</f>
        <v/>
      </c>
      <c r="AI13" s="18">
        <f>IF($D13="","",IF(Y13="","BUYBOX YOK → hedef kârla min fiyat",IF(AC13&gt;=W13,"✓ BUYBOX ALTINA GİR","BUYBOX ALTI KÂRSIZ → min kârlı fiyat")))</f>
        <v/>
      </c>
      <c r="AJ13" s="10">
        <f>IF($B13="","",IFERROR(VLOOKUP($B13,Maliyetler!$A:$G,6,FALSE),""))</f>
        <v/>
      </c>
      <c r="AK13">
        <f>IF($B13="","",IFERROR(VLOOKUP($B13,Maliyetler!$A:$G,7,FALSE),""))</f>
        <v/>
      </c>
      <c r="AO13" s="21">
        <f>IF($B13="","",IFERROR(VLOOKUP($B13&amp;"",'Plus Tarifeleri'!$C:$Q,11,FALSE),""))</f>
        <v/>
      </c>
      <c r="AP13" s="22">
        <f>IF(AO13="","",IFERROR(IF($AM$1=2,VLOOKUP($B13&amp;"",'Plus Tarifeleri'!$C:$Q,15,FALSE),VLOOKUP($B13&amp;"",'Plus Tarifeleri'!$C:$Q,13,FALSE)),""))</f>
        <v/>
      </c>
      <c r="AQ13" s="21">
        <f>IF(OR(AO13="",AP13="",$D13=""),"",AO13*(1-AP13/100)-$D13-IF(AO13&lt;=199.99,Kargo!$E$2,IF(AO13&lt;=399.99,Kargo!$E$3,$F13)))</f>
        <v/>
      </c>
      <c r="AR13" s="23">
        <f>IF(AQ13="","",AQ13/AO13)</f>
        <v/>
      </c>
      <c r="AS13" s="24">
        <f>IF(OR(AQ13="",AG13=""),"",AQ13-AG13)</f>
        <v/>
      </c>
    </row>
    <row r="14">
      <c r="A14">
        <f>IF('Komisyon Tarifeleri'!A14="","",'Komisyon Tarifeleri'!A14)</f>
        <v/>
      </c>
      <c r="B14">
        <f>IF('Komisyon Tarifeleri'!B14="","",'Komisyon Tarifeleri'!B14&amp;"")</f>
        <v/>
      </c>
      <c r="C14">
        <f>IF($B14="","",'Komisyon Tarifeleri'!F14)</f>
        <v/>
      </c>
      <c r="D14" s="10">
        <f>IF($B14="","",IFERROR(VLOOKUP($B14,Maliyetler!$A:$E,3,FALSE),""))</f>
        <v/>
      </c>
      <c r="E14">
        <f>IF($B14="","",IFERROR(VLOOKUP($B14,Maliyetler!$A:$E,4,FALSE),1))</f>
        <v/>
      </c>
      <c r="F14" s="10">
        <f>IF($B14="","",IFERROR(VLOOKUP(MIN(20,MAX(1,ROUND($E14,0))),Kargo!$A:$B,2,FALSE),99.46))</f>
        <v/>
      </c>
      <c r="G14" s="10">
        <f>IF($B14="","",IF(IF(N('Komisyon Tarifeleri'!AA14)&gt;='Komisyon Tarifeleri'!I14,'Komisyon Tarifeleri'!AA14,'Komisyon Tarifeleri'!I14)="","",IF(N('Komisyon Tarifeleri'!AA14)&gt;='Komisyon Tarifeleri'!I14,'Komisyon Tarifeleri'!AA14,'Komisyon Tarifeleri'!I14)))</f>
        <v/>
      </c>
      <c r="H14" s="11">
        <f>IF(G14="","",IF($AM$1=2,'Komisyon Tarifeleri'!U14,'Komisyon Tarifeleri'!P14))</f>
        <v/>
      </c>
      <c r="I14" s="10">
        <f>IF(OR(G14="",$D14=""),"",G14*(1-H14/100)-$D14-IF(G14&lt;=199.99,Kargo!$E$2,IF(G14&lt;=399.99,Kargo!$E$3,$F14)))</f>
        <v/>
      </c>
      <c r="J14" s="12">
        <f>IF(I14="","",I14/G14)</f>
        <v/>
      </c>
      <c r="K14" s="10">
        <f>IF($B14="","",IF('Komisyon Tarifeleri'!J14="","",'Komisyon Tarifeleri'!J14))</f>
        <v/>
      </c>
      <c r="L14" s="11">
        <f>IF(K14="","",IF($AM$1=2,'Komisyon Tarifeleri'!V14,'Komisyon Tarifeleri'!Q14))</f>
        <v/>
      </c>
      <c r="M14" s="10">
        <f>IF(OR(K14="",$D14=""),"",K14*(1-L14/100)-$D14-IF(K14&lt;=199.99,Kargo!$E$2,IF(K14&lt;=399.99,Kargo!$E$3,$F14)))</f>
        <v/>
      </c>
      <c r="N14" s="12">
        <f>IF(M14="","",M14/K14)</f>
        <v/>
      </c>
      <c r="O14" s="10">
        <f>IF($B14="","",IF('Komisyon Tarifeleri'!L14="","",'Komisyon Tarifeleri'!L14))</f>
        <v/>
      </c>
      <c r="P14" s="11">
        <f>IF(O14="","",IF($AM$1=2,'Komisyon Tarifeleri'!W14,'Komisyon Tarifeleri'!R14))</f>
        <v/>
      </c>
      <c r="Q14" s="10">
        <f>IF(OR(O14="",$D14=""),"",O14*(1-P14/100)-$D14-IF(O14&lt;=199.99,Kargo!$E$2,IF(O14&lt;=399.99,Kargo!$E$3,$F14)))</f>
        <v/>
      </c>
      <c r="R14" s="12">
        <f>IF(Q14="","",Q14/O14)</f>
        <v/>
      </c>
      <c r="S14" s="10">
        <f>IF($B14="","",IF('Komisyon Tarifeleri'!N14="","",'Komisyon Tarifeleri'!N14))</f>
        <v/>
      </c>
      <c r="T14" s="11">
        <f>IF(S14="","",IF($AM$1=2,'Komisyon Tarifeleri'!X14,'Komisyon Tarifeleri'!S14))</f>
        <v/>
      </c>
      <c r="U14" s="10">
        <f>IF(OR(S14="",$D14=""),"",S14*(1-T14/100)-$D14-IF(S14&lt;=199.99,Kargo!$E$2,IF(S14&lt;=399.99,Kargo!$E$3,$F14)))</f>
        <v/>
      </c>
      <c r="V14" s="12">
        <f>IF(U14="","",U14/S14)</f>
        <v/>
      </c>
      <c r="W14" s="12">
        <f>IF($B14="","",IFERROR(VLOOKUP($C14,Hedefler!$A:$C,2,FALSE),0.04))</f>
        <v/>
      </c>
      <c r="X14" s="12">
        <f>IF($B14="","",IFERROR(VLOOKUP($C14,Hedefler!$A:$C,3,FALSE),0.1))</f>
        <v/>
      </c>
      <c r="Y14" s="13">
        <f>IF($B14="","",IFERROR(VLOOKUP($B14,Maliyetler!$A:$E,5,FALSE),""))</f>
        <v/>
      </c>
      <c r="Z14" s="13">
        <f>IF(OR(Y14="",Y14=0),"",Y14-1)</f>
        <v/>
      </c>
      <c r="AA14" s="14">
        <f>IF(Z14="","",IF(Z14&gt;='Komisyon Tarifeleri'!I14,IF($AM$1=2,'Komisyon Tarifeleri'!U14,'Komisyon Tarifeleri'!P14),IF(Z14&gt;='Komisyon Tarifeleri'!K14,IF($AM$1=2,'Komisyon Tarifeleri'!V14,'Komisyon Tarifeleri'!Q14),IF(Z14&gt;='Komisyon Tarifeleri'!M14,IF($AM$1=2,'Komisyon Tarifeleri'!W14,'Komisyon Tarifeleri'!R14),IF($AM$1=2,'Komisyon Tarifeleri'!X14,'Komisyon Tarifeleri'!S14)))))</f>
        <v/>
      </c>
      <c r="AB14" s="13">
        <f>IF(OR(AA14="",$D14=""),"",Z14*(1-AA14/100)-$D14-IF(Z14&lt;=199.99,Kargo!$E$2,IF(Z14&lt;=399.99,Kargo!$E$3,$F14)))</f>
        <v/>
      </c>
      <c r="AC14" s="15">
        <f>IF(AB14="","",AB14/Z14)</f>
        <v/>
      </c>
      <c r="AD14" s="10">
        <f>IF(OR($D14="",$B14=""),"",IF(AND((1-T14/100-W14)&gt;0,CEILING(($D14+$F14)/(1-T14/100-W14),1)&lt;='Komisyon Tarifeleri'!N14),CEILING(($D14+$F14)/(1-T14/100-W14),1),IF(AND((1-P14/100-W14)&gt;0,CEILING(MAX('Komisyon Tarifeleri'!M14,($D14+$F14)/(1-P14/100-W14)),1)&lt;='Komisyon Tarifeleri'!L14),CEILING(MAX('Komisyon Tarifeleri'!M14,($D14+$F14)/(1-P14/100-W14)),1),IF(AND((1-L14/100-W14)&gt;0,CEILING(MAX('Komisyon Tarifeleri'!K14,($D14+$F14)/(1-L14/100-W14)),1)&lt;='Komisyon Tarifeleri'!J14),CEILING(MAX('Komisyon Tarifeleri'!K14,($D14+$F14)/(1-L14/100-W14)),1),IF((1-H14/100-W14)&gt;0,CEILING(MAX('Komisyon Tarifeleri'!I14,($D14+$F14)/(1-H14/100-W14)),1),"İMKÂNSIZ")))))</f>
        <v/>
      </c>
      <c r="AE14" s="10">
        <f>IF(OR($D14="",$B14=""),"",IF(AND((1-T14/100-X14)&gt;0,CEILING(($D14+$F14)/(1-T14/100-X14),1)&lt;='Komisyon Tarifeleri'!N14),CEILING(($D14+$F14)/(1-T14/100-X14),1),IF(AND((1-P14/100-X14)&gt;0,CEILING(MAX('Komisyon Tarifeleri'!M14,($D14+$F14)/(1-P14/100-X14)),1)&lt;='Komisyon Tarifeleri'!L14),CEILING(MAX('Komisyon Tarifeleri'!M14,($D14+$F14)/(1-P14/100-X14)),1),IF(AND((1-L14/100-X14)&gt;0,CEILING(MAX('Komisyon Tarifeleri'!K14,($D14+$F14)/(1-L14/100-X14)),1)&lt;='Komisyon Tarifeleri'!J14),CEILING(MAX('Komisyon Tarifeleri'!K14,($D14+$F14)/(1-L14/100-X14)),1),IF((1-H14/100-X14)&gt;0,CEILING(MAX('Komisyon Tarifeleri'!I14,($D14+$F14)/(1-H14/100-X14)),1),"İMKÂNSIZ")))))</f>
        <v/>
      </c>
      <c r="AF14" s="16">
        <f>IF($D14="","",IF(AND(Y14&lt;&gt;"",AC14&lt;&gt;"",AC14&gt;=W14),Z14,IF(Y14&lt;&gt;"",AD14,AE14)))</f>
        <v/>
      </c>
      <c r="AG14" s="16">
        <f>IF(OR(AF14="",AF14="İMKÂNSIZ"),"",AF14*(1-IF(AF14&gt;='Komisyon Tarifeleri'!I14,IF($AM$1=2,'Komisyon Tarifeleri'!U14,'Komisyon Tarifeleri'!P14),IF(AF14&gt;='Komisyon Tarifeleri'!K14,IF($AM$1=2,'Komisyon Tarifeleri'!V14,'Komisyon Tarifeleri'!Q14),IF(AF14&gt;='Komisyon Tarifeleri'!M14,IF($AM$1=2,'Komisyon Tarifeleri'!W14,'Komisyon Tarifeleri'!R14),IF($AM$1=2,'Komisyon Tarifeleri'!X14,'Komisyon Tarifeleri'!S14))))/100)-$D14-IF(AF14&lt;=199.99,Kargo!$E$2,IF(AF14&lt;=399.99,Kargo!$E$3,$F14)))</f>
        <v/>
      </c>
      <c r="AH14" s="17">
        <f>IF(AG14="","",AG14/AF14)</f>
        <v/>
      </c>
      <c r="AI14" s="18">
        <f>IF($D14="","",IF(Y14="","BUYBOX YOK → hedef kârla min fiyat",IF(AC14&gt;=W14,"✓ BUYBOX ALTINA GİR","BUYBOX ALTI KÂRSIZ → min kârlı fiyat")))</f>
        <v/>
      </c>
      <c r="AJ14" s="10">
        <f>IF($B14="","",IFERROR(VLOOKUP($B14,Maliyetler!$A:$G,6,FALSE),""))</f>
        <v/>
      </c>
      <c r="AK14">
        <f>IF($B14="","",IFERROR(VLOOKUP($B14,Maliyetler!$A:$G,7,FALSE),""))</f>
        <v/>
      </c>
      <c r="AO14" s="21">
        <f>IF($B14="","",IFERROR(VLOOKUP($B14&amp;"",'Plus Tarifeleri'!$C:$Q,11,FALSE),""))</f>
        <v/>
      </c>
      <c r="AP14" s="22">
        <f>IF(AO14="","",IFERROR(IF($AM$1=2,VLOOKUP($B14&amp;"",'Plus Tarifeleri'!$C:$Q,15,FALSE),VLOOKUP($B14&amp;"",'Plus Tarifeleri'!$C:$Q,13,FALSE)),""))</f>
        <v/>
      </c>
      <c r="AQ14" s="21">
        <f>IF(OR(AO14="",AP14="",$D14=""),"",AO14*(1-AP14/100)-$D14-IF(AO14&lt;=199.99,Kargo!$E$2,IF(AO14&lt;=399.99,Kargo!$E$3,$F14)))</f>
        <v/>
      </c>
      <c r="AR14" s="23">
        <f>IF(AQ14="","",AQ14/AO14)</f>
        <v/>
      </c>
      <c r="AS14" s="24">
        <f>IF(OR(AQ14="",AG14=""),"",AQ14-AG14)</f>
        <v/>
      </c>
    </row>
    <row r="15">
      <c r="A15">
        <f>IF('Komisyon Tarifeleri'!A15="","",'Komisyon Tarifeleri'!A15)</f>
        <v/>
      </c>
      <c r="B15">
        <f>IF('Komisyon Tarifeleri'!B15="","",'Komisyon Tarifeleri'!B15&amp;"")</f>
        <v/>
      </c>
      <c r="C15">
        <f>IF($B15="","",'Komisyon Tarifeleri'!F15)</f>
        <v/>
      </c>
      <c r="D15" s="10">
        <f>IF($B15="","",IFERROR(VLOOKUP($B15,Maliyetler!$A:$E,3,FALSE),""))</f>
        <v/>
      </c>
      <c r="E15">
        <f>IF($B15="","",IFERROR(VLOOKUP($B15,Maliyetler!$A:$E,4,FALSE),1))</f>
        <v/>
      </c>
      <c r="F15" s="10">
        <f>IF($B15="","",IFERROR(VLOOKUP(MIN(20,MAX(1,ROUND($E15,0))),Kargo!$A:$B,2,FALSE),99.46))</f>
        <v/>
      </c>
      <c r="G15" s="10">
        <f>IF($B15="","",IF(IF(N('Komisyon Tarifeleri'!AA15)&gt;='Komisyon Tarifeleri'!I15,'Komisyon Tarifeleri'!AA15,'Komisyon Tarifeleri'!I15)="","",IF(N('Komisyon Tarifeleri'!AA15)&gt;='Komisyon Tarifeleri'!I15,'Komisyon Tarifeleri'!AA15,'Komisyon Tarifeleri'!I15)))</f>
        <v/>
      </c>
      <c r="H15" s="11">
        <f>IF(G15="","",IF($AM$1=2,'Komisyon Tarifeleri'!U15,'Komisyon Tarifeleri'!P15))</f>
        <v/>
      </c>
      <c r="I15" s="10">
        <f>IF(OR(G15="",$D15=""),"",G15*(1-H15/100)-$D15-IF(G15&lt;=199.99,Kargo!$E$2,IF(G15&lt;=399.99,Kargo!$E$3,$F15)))</f>
        <v/>
      </c>
      <c r="J15" s="12">
        <f>IF(I15="","",I15/G15)</f>
        <v/>
      </c>
      <c r="K15" s="10">
        <f>IF($B15="","",IF('Komisyon Tarifeleri'!J15="","",'Komisyon Tarifeleri'!J15))</f>
        <v/>
      </c>
      <c r="L15" s="11">
        <f>IF(K15="","",IF($AM$1=2,'Komisyon Tarifeleri'!V15,'Komisyon Tarifeleri'!Q15))</f>
        <v/>
      </c>
      <c r="M15" s="10">
        <f>IF(OR(K15="",$D15=""),"",K15*(1-L15/100)-$D15-IF(K15&lt;=199.99,Kargo!$E$2,IF(K15&lt;=399.99,Kargo!$E$3,$F15)))</f>
        <v/>
      </c>
      <c r="N15" s="12">
        <f>IF(M15="","",M15/K15)</f>
        <v/>
      </c>
      <c r="O15" s="10">
        <f>IF($B15="","",IF('Komisyon Tarifeleri'!L15="","",'Komisyon Tarifeleri'!L15))</f>
        <v/>
      </c>
      <c r="P15" s="11">
        <f>IF(O15="","",IF($AM$1=2,'Komisyon Tarifeleri'!W15,'Komisyon Tarifeleri'!R15))</f>
        <v/>
      </c>
      <c r="Q15" s="10">
        <f>IF(OR(O15="",$D15=""),"",O15*(1-P15/100)-$D15-IF(O15&lt;=199.99,Kargo!$E$2,IF(O15&lt;=399.99,Kargo!$E$3,$F15)))</f>
        <v/>
      </c>
      <c r="R15" s="12">
        <f>IF(Q15="","",Q15/O15)</f>
        <v/>
      </c>
      <c r="S15" s="10">
        <f>IF($B15="","",IF('Komisyon Tarifeleri'!N15="","",'Komisyon Tarifeleri'!N15))</f>
        <v/>
      </c>
      <c r="T15" s="11">
        <f>IF(S15="","",IF($AM$1=2,'Komisyon Tarifeleri'!X15,'Komisyon Tarifeleri'!S15))</f>
        <v/>
      </c>
      <c r="U15" s="10">
        <f>IF(OR(S15="",$D15=""),"",S15*(1-T15/100)-$D15-IF(S15&lt;=199.99,Kargo!$E$2,IF(S15&lt;=399.99,Kargo!$E$3,$F15)))</f>
        <v/>
      </c>
      <c r="V15" s="12">
        <f>IF(U15="","",U15/S15)</f>
        <v/>
      </c>
      <c r="W15" s="12">
        <f>IF($B15="","",IFERROR(VLOOKUP($C15,Hedefler!$A:$C,2,FALSE),0.04))</f>
        <v/>
      </c>
      <c r="X15" s="12">
        <f>IF($B15="","",IFERROR(VLOOKUP($C15,Hedefler!$A:$C,3,FALSE),0.1))</f>
        <v/>
      </c>
      <c r="Y15" s="13">
        <f>IF($B15="","",IFERROR(VLOOKUP($B15,Maliyetler!$A:$E,5,FALSE),""))</f>
        <v/>
      </c>
      <c r="Z15" s="13">
        <f>IF(OR(Y15="",Y15=0),"",Y15-1)</f>
        <v/>
      </c>
      <c r="AA15" s="14">
        <f>IF(Z15="","",IF(Z15&gt;='Komisyon Tarifeleri'!I15,IF($AM$1=2,'Komisyon Tarifeleri'!U15,'Komisyon Tarifeleri'!P15),IF(Z15&gt;='Komisyon Tarifeleri'!K15,IF($AM$1=2,'Komisyon Tarifeleri'!V15,'Komisyon Tarifeleri'!Q15),IF(Z15&gt;='Komisyon Tarifeleri'!M15,IF($AM$1=2,'Komisyon Tarifeleri'!W15,'Komisyon Tarifeleri'!R15),IF($AM$1=2,'Komisyon Tarifeleri'!X15,'Komisyon Tarifeleri'!S15)))))</f>
        <v/>
      </c>
      <c r="AB15" s="13">
        <f>IF(OR(AA15="",$D15=""),"",Z15*(1-AA15/100)-$D15-IF(Z15&lt;=199.99,Kargo!$E$2,IF(Z15&lt;=399.99,Kargo!$E$3,$F15)))</f>
        <v/>
      </c>
      <c r="AC15" s="15">
        <f>IF(AB15="","",AB15/Z15)</f>
        <v/>
      </c>
      <c r="AD15" s="10">
        <f>IF(OR($D15="",$B15=""),"",IF(AND((1-T15/100-W15)&gt;0,CEILING(($D15+$F15)/(1-T15/100-W15),1)&lt;='Komisyon Tarifeleri'!N15),CEILING(($D15+$F15)/(1-T15/100-W15),1),IF(AND((1-P15/100-W15)&gt;0,CEILING(MAX('Komisyon Tarifeleri'!M15,($D15+$F15)/(1-P15/100-W15)),1)&lt;='Komisyon Tarifeleri'!L15),CEILING(MAX('Komisyon Tarifeleri'!M15,($D15+$F15)/(1-P15/100-W15)),1),IF(AND((1-L15/100-W15)&gt;0,CEILING(MAX('Komisyon Tarifeleri'!K15,($D15+$F15)/(1-L15/100-W15)),1)&lt;='Komisyon Tarifeleri'!J15),CEILING(MAX('Komisyon Tarifeleri'!K15,($D15+$F15)/(1-L15/100-W15)),1),IF((1-H15/100-W15)&gt;0,CEILING(MAX('Komisyon Tarifeleri'!I15,($D15+$F15)/(1-H15/100-W15)),1),"İMKÂNSIZ")))))</f>
        <v/>
      </c>
      <c r="AE15" s="10">
        <f>IF(OR($D15="",$B15=""),"",IF(AND((1-T15/100-X15)&gt;0,CEILING(($D15+$F15)/(1-T15/100-X15),1)&lt;='Komisyon Tarifeleri'!N15),CEILING(($D15+$F15)/(1-T15/100-X15),1),IF(AND((1-P15/100-X15)&gt;0,CEILING(MAX('Komisyon Tarifeleri'!M15,($D15+$F15)/(1-P15/100-X15)),1)&lt;='Komisyon Tarifeleri'!L15),CEILING(MAX('Komisyon Tarifeleri'!M15,($D15+$F15)/(1-P15/100-X15)),1),IF(AND((1-L15/100-X15)&gt;0,CEILING(MAX('Komisyon Tarifeleri'!K15,($D15+$F15)/(1-L15/100-X15)),1)&lt;='Komisyon Tarifeleri'!J15),CEILING(MAX('Komisyon Tarifeleri'!K15,($D15+$F15)/(1-L15/100-X15)),1),IF((1-H15/100-X15)&gt;0,CEILING(MAX('Komisyon Tarifeleri'!I15,($D15+$F15)/(1-H15/100-X15)),1),"İMKÂNSIZ")))))</f>
        <v/>
      </c>
      <c r="AF15" s="16">
        <f>IF($D15="","",IF(AND(Y15&lt;&gt;"",AC15&lt;&gt;"",AC15&gt;=W15),Z15,IF(Y15&lt;&gt;"",AD15,AE15)))</f>
        <v/>
      </c>
      <c r="AG15" s="16">
        <f>IF(OR(AF15="",AF15="İMKÂNSIZ"),"",AF15*(1-IF(AF15&gt;='Komisyon Tarifeleri'!I15,IF($AM$1=2,'Komisyon Tarifeleri'!U15,'Komisyon Tarifeleri'!P15),IF(AF15&gt;='Komisyon Tarifeleri'!K15,IF($AM$1=2,'Komisyon Tarifeleri'!V15,'Komisyon Tarifeleri'!Q15),IF(AF15&gt;='Komisyon Tarifeleri'!M15,IF($AM$1=2,'Komisyon Tarifeleri'!W15,'Komisyon Tarifeleri'!R15),IF($AM$1=2,'Komisyon Tarifeleri'!X15,'Komisyon Tarifeleri'!S15))))/100)-$D15-IF(AF15&lt;=199.99,Kargo!$E$2,IF(AF15&lt;=399.99,Kargo!$E$3,$F15)))</f>
        <v/>
      </c>
      <c r="AH15" s="17">
        <f>IF(AG15="","",AG15/AF15)</f>
        <v/>
      </c>
      <c r="AI15" s="18">
        <f>IF($D15="","",IF(Y15="","BUYBOX YOK → hedef kârla min fiyat",IF(AC15&gt;=W15,"✓ BUYBOX ALTINA GİR","BUYBOX ALTI KÂRSIZ → min kârlı fiyat")))</f>
        <v/>
      </c>
      <c r="AJ15" s="10">
        <f>IF($B15="","",IFERROR(VLOOKUP($B15,Maliyetler!$A:$G,6,FALSE),""))</f>
        <v/>
      </c>
      <c r="AK15">
        <f>IF($B15="","",IFERROR(VLOOKUP($B15,Maliyetler!$A:$G,7,FALSE),""))</f>
        <v/>
      </c>
      <c r="AO15" s="21">
        <f>IF($B15="","",IFERROR(VLOOKUP($B15&amp;"",'Plus Tarifeleri'!$C:$Q,11,FALSE),""))</f>
        <v/>
      </c>
      <c r="AP15" s="22">
        <f>IF(AO15="","",IFERROR(IF($AM$1=2,VLOOKUP($B15&amp;"",'Plus Tarifeleri'!$C:$Q,15,FALSE),VLOOKUP($B15&amp;"",'Plus Tarifeleri'!$C:$Q,13,FALSE)),""))</f>
        <v/>
      </c>
      <c r="AQ15" s="21">
        <f>IF(OR(AO15="",AP15="",$D15=""),"",AO15*(1-AP15/100)-$D15-IF(AO15&lt;=199.99,Kargo!$E$2,IF(AO15&lt;=399.99,Kargo!$E$3,$F15)))</f>
        <v/>
      </c>
      <c r="AR15" s="23">
        <f>IF(AQ15="","",AQ15/AO15)</f>
        <v/>
      </c>
      <c r="AS15" s="24">
        <f>IF(OR(AQ15="",AG15=""),"",AQ15-AG15)</f>
        <v/>
      </c>
    </row>
    <row r="16">
      <c r="A16">
        <f>IF('Komisyon Tarifeleri'!A16="","",'Komisyon Tarifeleri'!A16)</f>
        <v/>
      </c>
      <c r="B16">
        <f>IF('Komisyon Tarifeleri'!B16="","",'Komisyon Tarifeleri'!B16&amp;"")</f>
        <v/>
      </c>
      <c r="C16">
        <f>IF($B16="","",'Komisyon Tarifeleri'!F16)</f>
        <v/>
      </c>
      <c r="D16" s="10">
        <f>IF($B16="","",IFERROR(VLOOKUP($B16,Maliyetler!$A:$E,3,FALSE),""))</f>
        <v/>
      </c>
      <c r="E16">
        <f>IF($B16="","",IFERROR(VLOOKUP($B16,Maliyetler!$A:$E,4,FALSE),1))</f>
        <v/>
      </c>
      <c r="F16" s="10">
        <f>IF($B16="","",IFERROR(VLOOKUP(MIN(20,MAX(1,ROUND($E16,0))),Kargo!$A:$B,2,FALSE),99.46))</f>
        <v/>
      </c>
      <c r="G16" s="10">
        <f>IF($B16="","",IF(IF(N('Komisyon Tarifeleri'!AA16)&gt;='Komisyon Tarifeleri'!I16,'Komisyon Tarifeleri'!AA16,'Komisyon Tarifeleri'!I16)="","",IF(N('Komisyon Tarifeleri'!AA16)&gt;='Komisyon Tarifeleri'!I16,'Komisyon Tarifeleri'!AA16,'Komisyon Tarifeleri'!I16)))</f>
        <v/>
      </c>
      <c r="H16" s="11">
        <f>IF(G16="","",IF($AM$1=2,'Komisyon Tarifeleri'!U16,'Komisyon Tarifeleri'!P16))</f>
        <v/>
      </c>
      <c r="I16" s="10">
        <f>IF(OR(G16="",$D16=""),"",G16*(1-H16/100)-$D16-IF(G16&lt;=199.99,Kargo!$E$2,IF(G16&lt;=399.99,Kargo!$E$3,$F16)))</f>
        <v/>
      </c>
      <c r="J16" s="12">
        <f>IF(I16="","",I16/G16)</f>
        <v/>
      </c>
      <c r="K16" s="10">
        <f>IF($B16="","",IF('Komisyon Tarifeleri'!J16="","",'Komisyon Tarifeleri'!J16))</f>
        <v/>
      </c>
      <c r="L16" s="11">
        <f>IF(K16="","",IF($AM$1=2,'Komisyon Tarifeleri'!V16,'Komisyon Tarifeleri'!Q16))</f>
        <v/>
      </c>
      <c r="M16" s="10">
        <f>IF(OR(K16="",$D16=""),"",K16*(1-L16/100)-$D16-IF(K16&lt;=199.99,Kargo!$E$2,IF(K16&lt;=399.99,Kargo!$E$3,$F16)))</f>
        <v/>
      </c>
      <c r="N16" s="12">
        <f>IF(M16="","",M16/K16)</f>
        <v/>
      </c>
      <c r="O16" s="10">
        <f>IF($B16="","",IF('Komisyon Tarifeleri'!L16="","",'Komisyon Tarifeleri'!L16))</f>
        <v/>
      </c>
      <c r="P16" s="11">
        <f>IF(O16="","",IF($AM$1=2,'Komisyon Tarifeleri'!W16,'Komisyon Tarifeleri'!R16))</f>
        <v/>
      </c>
      <c r="Q16" s="10">
        <f>IF(OR(O16="",$D16=""),"",O16*(1-P16/100)-$D16-IF(O16&lt;=199.99,Kargo!$E$2,IF(O16&lt;=399.99,Kargo!$E$3,$F16)))</f>
        <v/>
      </c>
      <c r="R16" s="12">
        <f>IF(Q16="","",Q16/O16)</f>
        <v/>
      </c>
      <c r="S16" s="10">
        <f>IF($B16="","",IF('Komisyon Tarifeleri'!N16="","",'Komisyon Tarifeleri'!N16))</f>
        <v/>
      </c>
      <c r="T16" s="11">
        <f>IF(S16="","",IF($AM$1=2,'Komisyon Tarifeleri'!X16,'Komisyon Tarifeleri'!S16))</f>
        <v/>
      </c>
      <c r="U16" s="10">
        <f>IF(OR(S16="",$D16=""),"",S16*(1-T16/100)-$D16-IF(S16&lt;=199.99,Kargo!$E$2,IF(S16&lt;=399.99,Kargo!$E$3,$F16)))</f>
        <v/>
      </c>
      <c r="V16" s="12">
        <f>IF(U16="","",U16/S16)</f>
        <v/>
      </c>
      <c r="W16" s="12">
        <f>IF($B16="","",IFERROR(VLOOKUP($C16,Hedefler!$A:$C,2,FALSE),0.04))</f>
        <v/>
      </c>
      <c r="X16" s="12">
        <f>IF($B16="","",IFERROR(VLOOKUP($C16,Hedefler!$A:$C,3,FALSE),0.1))</f>
        <v/>
      </c>
      <c r="Y16" s="13">
        <f>IF($B16="","",IFERROR(VLOOKUP($B16,Maliyetler!$A:$E,5,FALSE),""))</f>
        <v/>
      </c>
      <c r="Z16" s="13">
        <f>IF(OR(Y16="",Y16=0),"",Y16-1)</f>
        <v/>
      </c>
      <c r="AA16" s="14">
        <f>IF(Z16="","",IF(Z16&gt;='Komisyon Tarifeleri'!I16,IF($AM$1=2,'Komisyon Tarifeleri'!U16,'Komisyon Tarifeleri'!P16),IF(Z16&gt;='Komisyon Tarifeleri'!K16,IF($AM$1=2,'Komisyon Tarifeleri'!V16,'Komisyon Tarifeleri'!Q16),IF(Z16&gt;='Komisyon Tarifeleri'!M16,IF($AM$1=2,'Komisyon Tarifeleri'!W16,'Komisyon Tarifeleri'!R16),IF($AM$1=2,'Komisyon Tarifeleri'!X16,'Komisyon Tarifeleri'!S16)))))</f>
        <v/>
      </c>
      <c r="AB16" s="13">
        <f>IF(OR(AA16="",$D16=""),"",Z16*(1-AA16/100)-$D16-IF(Z16&lt;=199.99,Kargo!$E$2,IF(Z16&lt;=399.99,Kargo!$E$3,$F16)))</f>
        <v/>
      </c>
      <c r="AC16" s="15">
        <f>IF(AB16="","",AB16/Z16)</f>
        <v/>
      </c>
      <c r="AD16" s="10">
        <f>IF(OR($D16="",$B16=""),"",IF(AND((1-T16/100-W16)&gt;0,CEILING(($D16+$F16)/(1-T16/100-W16),1)&lt;='Komisyon Tarifeleri'!N16),CEILING(($D16+$F16)/(1-T16/100-W16),1),IF(AND((1-P16/100-W16)&gt;0,CEILING(MAX('Komisyon Tarifeleri'!M16,($D16+$F16)/(1-P16/100-W16)),1)&lt;='Komisyon Tarifeleri'!L16),CEILING(MAX('Komisyon Tarifeleri'!M16,($D16+$F16)/(1-P16/100-W16)),1),IF(AND((1-L16/100-W16)&gt;0,CEILING(MAX('Komisyon Tarifeleri'!K16,($D16+$F16)/(1-L16/100-W16)),1)&lt;='Komisyon Tarifeleri'!J16),CEILING(MAX('Komisyon Tarifeleri'!K16,($D16+$F16)/(1-L16/100-W16)),1),IF((1-H16/100-W16)&gt;0,CEILING(MAX('Komisyon Tarifeleri'!I16,($D16+$F16)/(1-H16/100-W16)),1),"İMKÂNSIZ")))))</f>
        <v/>
      </c>
      <c r="AE16" s="10">
        <f>IF(OR($D16="",$B16=""),"",IF(AND((1-T16/100-X16)&gt;0,CEILING(($D16+$F16)/(1-T16/100-X16),1)&lt;='Komisyon Tarifeleri'!N16),CEILING(($D16+$F16)/(1-T16/100-X16),1),IF(AND((1-P16/100-X16)&gt;0,CEILING(MAX('Komisyon Tarifeleri'!M16,($D16+$F16)/(1-P16/100-X16)),1)&lt;='Komisyon Tarifeleri'!L16),CEILING(MAX('Komisyon Tarifeleri'!M16,($D16+$F16)/(1-P16/100-X16)),1),IF(AND((1-L16/100-X16)&gt;0,CEILING(MAX('Komisyon Tarifeleri'!K16,($D16+$F16)/(1-L16/100-X16)),1)&lt;='Komisyon Tarifeleri'!J16),CEILING(MAX('Komisyon Tarifeleri'!K16,($D16+$F16)/(1-L16/100-X16)),1),IF((1-H16/100-X16)&gt;0,CEILING(MAX('Komisyon Tarifeleri'!I16,($D16+$F16)/(1-H16/100-X16)),1),"İMKÂNSIZ")))))</f>
        <v/>
      </c>
      <c r="AF16" s="16">
        <f>IF($D16="","",IF(AND(Y16&lt;&gt;"",AC16&lt;&gt;"",AC16&gt;=W16),Z16,IF(Y16&lt;&gt;"",AD16,AE16)))</f>
        <v/>
      </c>
      <c r="AG16" s="16">
        <f>IF(OR(AF16="",AF16="İMKÂNSIZ"),"",AF16*(1-IF(AF16&gt;='Komisyon Tarifeleri'!I16,IF($AM$1=2,'Komisyon Tarifeleri'!U16,'Komisyon Tarifeleri'!P16),IF(AF16&gt;='Komisyon Tarifeleri'!K16,IF($AM$1=2,'Komisyon Tarifeleri'!V16,'Komisyon Tarifeleri'!Q16),IF(AF16&gt;='Komisyon Tarifeleri'!M16,IF($AM$1=2,'Komisyon Tarifeleri'!W16,'Komisyon Tarifeleri'!R16),IF($AM$1=2,'Komisyon Tarifeleri'!X16,'Komisyon Tarifeleri'!S16))))/100)-$D16-IF(AF16&lt;=199.99,Kargo!$E$2,IF(AF16&lt;=399.99,Kargo!$E$3,$F16)))</f>
        <v/>
      </c>
      <c r="AH16" s="17">
        <f>IF(AG16="","",AG16/AF16)</f>
        <v/>
      </c>
      <c r="AI16" s="18">
        <f>IF($D16="","",IF(Y16="","BUYBOX YOK → hedef kârla min fiyat",IF(AC16&gt;=W16,"✓ BUYBOX ALTINA GİR","BUYBOX ALTI KÂRSIZ → min kârlı fiyat")))</f>
        <v/>
      </c>
      <c r="AJ16" s="10">
        <f>IF($B16="","",IFERROR(VLOOKUP($B16,Maliyetler!$A:$G,6,FALSE),""))</f>
        <v/>
      </c>
      <c r="AK16">
        <f>IF($B16="","",IFERROR(VLOOKUP($B16,Maliyetler!$A:$G,7,FALSE),""))</f>
        <v/>
      </c>
      <c r="AO16" s="21">
        <f>IF($B16="","",IFERROR(VLOOKUP($B16&amp;"",'Plus Tarifeleri'!$C:$Q,11,FALSE),""))</f>
        <v/>
      </c>
      <c r="AP16" s="22">
        <f>IF(AO16="","",IFERROR(IF($AM$1=2,VLOOKUP($B16&amp;"",'Plus Tarifeleri'!$C:$Q,15,FALSE),VLOOKUP($B16&amp;"",'Plus Tarifeleri'!$C:$Q,13,FALSE)),""))</f>
        <v/>
      </c>
      <c r="AQ16" s="21">
        <f>IF(OR(AO16="",AP16="",$D16=""),"",AO16*(1-AP16/100)-$D16-IF(AO16&lt;=199.99,Kargo!$E$2,IF(AO16&lt;=399.99,Kargo!$E$3,$F16)))</f>
        <v/>
      </c>
      <c r="AR16" s="23">
        <f>IF(AQ16="","",AQ16/AO16)</f>
        <v/>
      </c>
      <c r="AS16" s="24">
        <f>IF(OR(AQ16="",AG16=""),"",AQ16-AG16)</f>
        <v/>
      </c>
    </row>
    <row r="17">
      <c r="A17">
        <f>IF('Komisyon Tarifeleri'!A17="","",'Komisyon Tarifeleri'!A17)</f>
        <v/>
      </c>
      <c r="B17">
        <f>IF('Komisyon Tarifeleri'!B17="","",'Komisyon Tarifeleri'!B17&amp;"")</f>
        <v/>
      </c>
      <c r="C17">
        <f>IF($B17="","",'Komisyon Tarifeleri'!F17)</f>
        <v/>
      </c>
      <c r="D17" s="10">
        <f>IF($B17="","",IFERROR(VLOOKUP($B17,Maliyetler!$A:$E,3,FALSE),""))</f>
        <v/>
      </c>
      <c r="E17">
        <f>IF($B17="","",IFERROR(VLOOKUP($B17,Maliyetler!$A:$E,4,FALSE),1))</f>
        <v/>
      </c>
      <c r="F17" s="10">
        <f>IF($B17="","",IFERROR(VLOOKUP(MIN(20,MAX(1,ROUND($E17,0))),Kargo!$A:$B,2,FALSE),99.46))</f>
        <v/>
      </c>
      <c r="G17" s="10">
        <f>IF($B17="","",IF(IF(N('Komisyon Tarifeleri'!AA17)&gt;='Komisyon Tarifeleri'!I17,'Komisyon Tarifeleri'!AA17,'Komisyon Tarifeleri'!I17)="","",IF(N('Komisyon Tarifeleri'!AA17)&gt;='Komisyon Tarifeleri'!I17,'Komisyon Tarifeleri'!AA17,'Komisyon Tarifeleri'!I17)))</f>
        <v/>
      </c>
      <c r="H17" s="11">
        <f>IF(G17="","",IF($AM$1=2,'Komisyon Tarifeleri'!U17,'Komisyon Tarifeleri'!P17))</f>
        <v/>
      </c>
      <c r="I17" s="10">
        <f>IF(OR(G17="",$D17=""),"",G17*(1-H17/100)-$D17-IF(G17&lt;=199.99,Kargo!$E$2,IF(G17&lt;=399.99,Kargo!$E$3,$F17)))</f>
        <v/>
      </c>
      <c r="J17" s="12">
        <f>IF(I17="","",I17/G17)</f>
        <v/>
      </c>
      <c r="K17" s="10">
        <f>IF($B17="","",IF('Komisyon Tarifeleri'!J17="","",'Komisyon Tarifeleri'!J17))</f>
        <v/>
      </c>
      <c r="L17" s="11">
        <f>IF(K17="","",IF($AM$1=2,'Komisyon Tarifeleri'!V17,'Komisyon Tarifeleri'!Q17))</f>
        <v/>
      </c>
      <c r="M17" s="10">
        <f>IF(OR(K17="",$D17=""),"",K17*(1-L17/100)-$D17-IF(K17&lt;=199.99,Kargo!$E$2,IF(K17&lt;=399.99,Kargo!$E$3,$F17)))</f>
        <v/>
      </c>
      <c r="N17" s="12">
        <f>IF(M17="","",M17/K17)</f>
        <v/>
      </c>
      <c r="O17" s="10">
        <f>IF($B17="","",IF('Komisyon Tarifeleri'!L17="","",'Komisyon Tarifeleri'!L17))</f>
        <v/>
      </c>
      <c r="P17" s="11">
        <f>IF(O17="","",IF($AM$1=2,'Komisyon Tarifeleri'!W17,'Komisyon Tarifeleri'!R17))</f>
        <v/>
      </c>
      <c r="Q17" s="10">
        <f>IF(OR(O17="",$D17=""),"",O17*(1-P17/100)-$D17-IF(O17&lt;=199.99,Kargo!$E$2,IF(O17&lt;=399.99,Kargo!$E$3,$F17)))</f>
        <v/>
      </c>
      <c r="R17" s="12">
        <f>IF(Q17="","",Q17/O17)</f>
        <v/>
      </c>
      <c r="S17" s="10">
        <f>IF($B17="","",IF('Komisyon Tarifeleri'!N17="","",'Komisyon Tarifeleri'!N17))</f>
        <v/>
      </c>
      <c r="T17" s="11">
        <f>IF(S17="","",IF($AM$1=2,'Komisyon Tarifeleri'!X17,'Komisyon Tarifeleri'!S17))</f>
        <v/>
      </c>
      <c r="U17" s="10">
        <f>IF(OR(S17="",$D17=""),"",S17*(1-T17/100)-$D17-IF(S17&lt;=199.99,Kargo!$E$2,IF(S17&lt;=399.99,Kargo!$E$3,$F17)))</f>
        <v/>
      </c>
      <c r="V17" s="12">
        <f>IF(U17="","",U17/S17)</f>
        <v/>
      </c>
      <c r="W17" s="12">
        <f>IF($B17="","",IFERROR(VLOOKUP($C17,Hedefler!$A:$C,2,FALSE),0.04))</f>
        <v/>
      </c>
      <c r="X17" s="12">
        <f>IF($B17="","",IFERROR(VLOOKUP($C17,Hedefler!$A:$C,3,FALSE),0.1))</f>
        <v/>
      </c>
      <c r="Y17" s="13">
        <f>IF($B17="","",IFERROR(VLOOKUP($B17,Maliyetler!$A:$E,5,FALSE),""))</f>
        <v/>
      </c>
      <c r="Z17" s="13">
        <f>IF(OR(Y17="",Y17=0),"",Y17-1)</f>
        <v/>
      </c>
      <c r="AA17" s="14">
        <f>IF(Z17="","",IF(Z17&gt;='Komisyon Tarifeleri'!I17,IF($AM$1=2,'Komisyon Tarifeleri'!U17,'Komisyon Tarifeleri'!P17),IF(Z17&gt;='Komisyon Tarifeleri'!K17,IF($AM$1=2,'Komisyon Tarifeleri'!V17,'Komisyon Tarifeleri'!Q17),IF(Z17&gt;='Komisyon Tarifeleri'!M17,IF($AM$1=2,'Komisyon Tarifeleri'!W17,'Komisyon Tarifeleri'!R17),IF($AM$1=2,'Komisyon Tarifeleri'!X17,'Komisyon Tarifeleri'!S17)))))</f>
        <v/>
      </c>
      <c r="AB17" s="13">
        <f>IF(OR(AA17="",$D17=""),"",Z17*(1-AA17/100)-$D17-IF(Z17&lt;=199.99,Kargo!$E$2,IF(Z17&lt;=399.99,Kargo!$E$3,$F17)))</f>
        <v/>
      </c>
      <c r="AC17" s="15">
        <f>IF(AB17="","",AB17/Z17)</f>
        <v/>
      </c>
      <c r="AD17" s="10">
        <f>IF(OR($D17="",$B17=""),"",IF(AND((1-T17/100-W17)&gt;0,CEILING(($D17+$F17)/(1-T17/100-W17),1)&lt;='Komisyon Tarifeleri'!N17),CEILING(($D17+$F17)/(1-T17/100-W17),1),IF(AND((1-P17/100-W17)&gt;0,CEILING(MAX('Komisyon Tarifeleri'!M17,($D17+$F17)/(1-P17/100-W17)),1)&lt;='Komisyon Tarifeleri'!L17),CEILING(MAX('Komisyon Tarifeleri'!M17,($D17+$F17)/(1-P17/100-W17)),1),IF(AND((1-L17/100-W17)&gt;0,CEILING(MAX('Komisyon Tarifeleri'!K17,($D17+$F17)/(1-L17/100-W17)),1)&lt;='Komisyon Tarifeleri'!J17),CEILING(MAX('Komisyon Tarifeleri'!K17,($D17+$F17)/(1-L17/100-W17)),1),IF((1-H17/100-W17)&gt;0,CEILING(MAX('Komisyon Tarifeleri'!I17,($D17+$F17)/(1-H17/100-W17)),1),"İMKÂNSIZ")))))</f>
        <v/>
      </c>
      <c r="AE17" s="10">
        <f>IF(OR($D17="",$B17=""),"",IF(AND((1-T17/100-X17)&gt;0,CEILING(($D17+$F17)/(1-T17/100-X17),1)&lt;='Komisyon Tarifeleri'!N17),CEILING(($D17+$F17)/(1-T17/100-X17),1),IF(AND((1-P17/100-X17)&gt;0,CEILING(MAX('Komisyon Tarifeleri'!M17,($D17+$F17)/(1-P17/100-X17)),1)&lt;='Komisyon Tarifeleri'!L17),CEILING(MAX('Komisyon Tarifeleri'!M17,($D17+$F17)/(1-P17/100-X17)),1),IF(AND((1-L17/100-X17)&gt;0,CEILING(MAX('Komisyon Tarifeleri'!K17,($D17+$F17)/(1-L17/100-X17)),1)&lt;='Komisyon Tarifeleri'!J17),CEILING(MAX('Komisyon Tarifeleri'!K17,($D17+$F17)/(1-L17/100-X17)),1),IF((1-H17/100-X17)&gt;0,CEILING(MAX('Komisyon Tarifeleri'!I17,($D17+$F17)/(1-H17/100-X17)),1),"İMKÂNSIZ")))))</f>
        <v/>
      </c>
      <c r="AF17" s="16">
        <f>IF($D17="","",IF(AND(Y17&lt;&gt;"",AC17&lt;&gt;"",AC17&gt;=W17),Z17,IF(Y17&lt;&gt;"",AD17,AE17)))</f>
        <v/>
      </c>
      <c r="AG17" s="16">
        <f>IF(OR(AF17="",AF17="İMKÂNSIZ"),"",AF17*(1-IF(AF17&gt;='Komisyon Tarifeleri'!I17,IF($AM$1=2,'Komisyon Tarifeleri'!U17,'Komisyon Tarifeleri'!P17),IF(AF17&gt;='Komisyon Tarifeleri'!K17,IF($AM$1=2,'Komisyon Tarifeleri'!V17,'Komisyon Tarifeleri'!Q17),IF(AF17&gt;='Komisyon Tarifeleri'!M17,IF($AM$1=2,'Komisyon Tarifeleri'!W17,'Komisyon Tarifeleri'!R17),IF($AM$1=2,'Komisyon Tarifeleri'!X17,'Komisyon Tarifeleri'!S17))))/100)-$D17-IF(AF17&lt;=199.99,Kargo!$E$2,IF(AF17&lt;=399.99,Kargo!$E$3,$F17)))</f>
        <v/>
      </c>
      <c r="AH17" s="17">
        <f>IF(AG17="","",AG17/AF17)</f>
        <v/>
      </c>
      <c r="AI17" s="18">
        <f>IF($D17="","",IF(Y17="","BUYBOX YOK → hedef kârla min fiyat",IF(AC17&gt;=W17,"✓ BUYBOX ALTINA GİR","BUYBOX ALTI KÂRSIZ → min kârlı fiyat")))</f>
        <v/>
      </c>
      <c r="AJ17" s="10">
        <f>IF($B17="","",IFERROR(VLOOKUP($B17,Maliyetler!$A:$G,6,FALSE),""))</f>
        <v/>
      </c>
      <c r="AK17">
        <f>IF($B17="","",IFERROR(VLOOKUP($B17,Maliyetler!$A:$G,7,FALSE),""))</f>
        <v/>
      </c>
      <c r="AO17" s="21">
        <f>IF($B17="","",IFERROR(VLOOKUP($B17&amp;"",'Plus Tarifeleri'!$C:$Q,11,FALSE),""))</f>
        <v/>
      </c>
      <c r="AP17" s="22">
        <f>IF(AO17="","",IFERROR(IF($AM$1=2,VLOOKUP($B17&amp;"",'Plus Tarifeleri'!$C:$Q,15,FALSE),VLOOKUP($B17&amp;"",'Plus Tarifeleri'!$C:$Q,13,FALSE)),""))</f>
        <v/>
      </c>
      <c r="AQ17" s="21">
        <f>IF(OR(AO17="",AP17="",$D17=""),"",AO17*(1-AP17/100)-$D17-IF(AO17&lt;=199.99,Kargo!$E$2,IF(AO17&lt;=399.99,Kargo!$E$3,$F17)))</f>
        <v/>
      </c>
      <c r="AR17" s="23">
        <f>IF(AQ17="","",AQ17/AO17)</f>
        <v/>
      </c>
      <c r="AS17" s="24">
        <f>IF(OR(AQ17="",AG17=""),"",AQ17-AG17)</f>
        <v/>
      </c>
    </row>
    <row r="18">
      <c r="A18">
        <f>IF('Komisyon Tarifeleri'!A18="","",'Komisyon Tarifeleri'!A18)</f>
        <v/>
      </c>
      <c r="B18">
        <f>IF('Komisyon Tarifeleri'!B18="","",'Komisyon Tarifeleri'!B18&amp;"")</f>
        <v/>
      </c>
      <c r="C18">
        <f>IF($B18="","",'Komisyon Tarifeleri'!F18)</f>
        <v/>
      </c>
      <c r="D18" s="10">
        <f>IF($B18="","",IFERROR(VLOOKUP($B18,Maliyetler!$A:$E,3,FALSE),""))</f>
        <v/>
      </c>
      <c r="E18">
        <f>IF($B18="","",IFERROR(VLOOKUP($B18,Maliyetler!$A:$E,4,FALSE),1))</f>
        <v/>
      </c>
      <c r="F18" s="10">
        <f>IF($B18="","",IFERROR(VLOOKUP(MIN(20,MAX(1,ROUND($E18,0))),Kargo!$A:$B,2,FALSE),99.46))</f>
        <v/>
      </c>
      <c r="G18" s="10">
        <f>IF($B18="","",IF(IF(N('Komisyon Tarifeleri'!AA18)&gt;='Komisyon Tarifeleri'!I18,'Komisyon Tarifeleri'!AA18,'Komisyon Tarifeleri'!I18)="","",IF(N('Komisyon Tarifeleri'!AA18)&gt;='Komisyon Tarifeleri'!I18,'Komisyon Tarifeleri'!AA18,'Komisyon Tarifeleri'!I18)))</f>
        <v/>
      </c>
      <c r="H18" s="11">
        <f>IF(G18="","",IF($AM$1=2,'Komisyon Tarifeleri'!U18,'Komisyon Tarifeleri'!P18))</f>
        <v/>
      </c>
      <c r="I18" s="10">
        <f>IF(OR(G18="",$D18=""),"",G18*(1-H18/100)-$D18-IF(G18&lt;=199.99,Kargo!$E$2,IF(G18&lt;=399.99,Kargo!$E$3,$F18)))</f>
        <v/>
      </c>
      <c r="J18" s="12">
        <f>IF(I18="","",I18/G18)</f>
        <v/>
      </c>
      <c r="K18" s="10">
        <f>IF($B18="","",IF('Komisyon Tarifeleri'!J18="","",'Komisyon Tarifeleri'!J18))</f>
        <v/>
      </c>
      <c r="L18" s="11">
        <f>IF(K18="","",IF($AM$1=2,'Komisyon Tarifeleri'!V18,'Komisyon Tarifeleri'!Q18))</f>
        <v/>
      </c>
      <c r="M18" s="10">
        <f>IF(OR(K18="",$D18=""),"",K18*(1-L18/100)-$D18-IF(K18&lt;=199.99,Kargo!$E$2,IF(K18&lt;=399.99,Kargo!$E$3,$F18)))</f>
        <v/>
      </c>
      <c r="N18" s="12">
        <f>IF(M18="","",M18/K18)</f>
        <v/>
      </c>
      <c r="O18" s="10">
        <f>IF($B18="","",IF('Komisyon Tarifeleri'!L18="","",'Komisyon Tarifeleri'!L18))</f>
        <v/>
      </c>
      <c r="P18" s="11">
        <f>IF(O18="","",IF($AM$1=2,'Komisyon Tarifeleri'!W18,'Komisyon Tarifeleri'!R18))</f>
        <v/>
      </c>
      <c r="Q18" s="10">
        <f>IF(OR(O18="",$D18=""),"",O18*(1-P18/100)-$D18-IF(O18&lt;=199.99,Kargo!$E$2,IF(O18&lt;=399.99,Kargo!$E$3,$F18)))</f>
        <v/>
      </c>
      <c r="R18" s="12">
        <f>IF(Q18="","",Q18/O18)</f>
        <v/>
      </c>
      <c r="S18" s="10">
        <f>IF($B18="","",IF('Komisyon Tarifeleri'!N18="","",'Komisyon Tarifeleri'!N18))</f>
        <v/>
      </c>
      <c r="T18" s="11">
        <f>IF(S18="","",IF($AM$1=2,'Komisyon Tarifeleri'!X18,'Komisyon Tarifeleri'!S18))</f>
        <v/>
      </c>
      <c r="U18" s="10">
        <f>IF(OR(S18="",$D18=""),"",S18*(1-T18/100)-$D18-IF(S18&lt;=199.99,Kargo!$E$2,IF(S18&lt;=399.99,Kargo!$E$3,$F18)))</f>
        <v/>
      </c>
      <c r="V18" s="12">
        <f>IF(U18="","",U18/S18)</f>
        <v/>
      </c>
      <c r="W18" s="12">
        <f>IF($B18="","",IFERROR(VLOOKUP($C18,Hedefler!$A:$C,2,FALSE),0.04))</f>
        <v/>
      </c>
      <c r="X18" s="12">
        <f>IF($B18="","",IFERROR(VLOOKUP($C18,Hedefler!$A:$C,3,FALSE),0.1))</f>
        <v/>
      </c>
      <c r="Y18" s="13">
        <f>IF($B18="","",IFERROR(VLOOKUP($B18,Maliyetler!$A:$E,5,FALSE),""))</f>
        <v/>
      </c>
      <c r="Z18" s="13">
        <f>IF(OR(Y18="",Y18=0),"",Y18-1)</f>
        <v/>
      </c>
      <c r="AA18" s="14">
        <f>IF(Z18="","",IF(Z18&gt;='Komisyon Tarifeleri'!I18,IF($AM$1=2,'Komisyon Tarifeleri'!U18,'Komisyon Tarifeleri'!P18),IF(Z18&gt;='Komisyon Tarifeleri'!K18,IF($AM$1=2,'Komisyon Tarifeleri'!V18,'Komisyon Tarifeleri'!Q18),IF(Z18&gt;='Komisyon Tarifeleri'!M18,IF($AM$1=2,'Komisyon Tarifeleri'!W18,'Komisyon Tarifeleri'!R18),IF($AM$1=2,'Komisyon Tarifeleri'!X18,'Komisyon Tarifeleri'!S18)))))</f>
        <v/>
      </c>
      <c r="AB18" s="13">
        <f>IF(OR(AA18="",$D18=""),"",Z18*(1-AA18/100)-$D18-IF(Z18&lt;=199.99,Kargo!$E$2,IF(Z18&lt;=399.99,Kargo!$E$3,$F18)))</f>
        <v/>
      </c>
      <c r="AC18" s="15">
        <f>IF(AB18="","",AB18/Z18)</f>
        <v/>
      </c>
      <c r="AD18" s="10">
        <f>IF(OR($D18="",$B18=""),"",IF(AND((1-T18/100-W18)&gt;0,CEILING(($D18+$F18)/(1-T18/100-W18),1)&lt;='Komisyon Tarifeleri'!N18),CEILING(($D18+$F18)/(1-T18/100-W18),1),IF(AND((1-P18/100-W18)&gt;0,CEILING(MAX('Komisyon Tarifeleri'!M18,($D18+$F18)/(1-P18/100-W18)),1)&lt;='Komisyon Tarifeleri'!L18),CEILING(MAX('Komisyon Tarifeleri'!M18,($D18+$F18)/(1-P18/100-W18)),1),IF(AND((1-L18/100-W18)&gt;0,CEILING(MAX('Komisyon Tarifeleri'!K18,($D18+$F18)/(1-L18/100-W18)),1)&lt;='Komisyon Tarifeleri'!J18),CEILING(MAX('Komisyon Tarifeleri'!K18,($D18+$F18)/(1-L18/100-W18)),1),IF((1-H18/100-W18)&gt;0,CEILING(MAX('Komisyon Tarifeleri'!I18,($D18+$F18)/(1-H18/100-W18)),1),"İMKÂNSIZ")))))</f>
        <v/>
      </c>
      <c r="AE18" s="10">
        <f>IF(OR($D18="",$B18=""),"",IF(AND((1-T18/100-X18)&gt;0,CEILING(($D18+$F18)/(1-T18/100-X18),1)&lt;='Komisyon Tarifeleri'!N18),CEILING(($D18+$F18)/(1-T18/100-X18),1),IF(AND((1-P18/100-X18)&gt;0,CEILING(MAX('Komisyon Tarifeleri'!M18,($D18+$F18)/(1-P18/100-X18)),1)&lt;='Komisyon Tarifeleri'!L18),CEILING(MAX('Komisyon Tarifeleri'!M18,($D18+$F18)/(1-P18/100-X18)),1),IF(AND((1-L18/100-X18)&gt;0,CEILING(MAX('Komisyon Tarifeleri'!K18,($D18+$F18)/(1-L18/100-X18)),1)&lt;='Komisyon Tarifeleri'!J18),CEILING(MAX('Komisyon Tarifeleri'!K18,($D18+$F18)/(1-L18/100-X18)),1),IF((1-H18/100-X18)&gt;0,CEILING(MAX('Komisyon Tarifeleri'!I18,($D18+$F18)/(1-H18/100-X18)),1),"İMKÂNSIZ")))))</f>
        <v/>
      </c>
      <c r="AF18" s="16">
        <f>IF($D18="","",IF(AND(Y18&lt;&gt;"",AC18&lt;&gt;"",AC18&gt;=W18),Z18,IF(Y18&lt;&gt;"",AD18,AE18)))</f>
        <v/>
      </c>
      <c r="AG18" s="16">
        <f>IF(OR(AF18="",AF18="İMKÂNSIZ"),"",AF18*(1-IF(AF18&gt;='Komisyon Tarifeleri'!I18,IF($AM$1=2,'Komisyon Tarifeleri'!U18,'Komisyon Tarifeleri'!P18),IF(AF18&gt;='Komisyon Tarifeleri'!K18,IF($AM$1=2,'Komisyon Tarifeleri'!V18,'Komisyon Tarifeleri'!Q18),IF(AF18&gt;='Komisyon Tarifeleri'!M18,IF($AM$1=2,'Komisyon Tarifeleri'!W18,'Komisyon Tarifeleri'!R18),IF($AM$1=2,'Komisyon Tarifeleri'!X18,'Komisyon Tarifeleri'!S18))))/100)-$D18-IF(AF18&lt;=199.99,Kargo!$E$2,IF(AF18&lt;=399.99,Kargo!$E$3,$F18)))</f>
        <v/>
      </c>
      <c r="AH18" s="17">
        <f>IF(AG18="","",AG18/AF18)</f>
        <v/>
      </c>
      <c r="AI18" s="18">
        <f>IF($D18="","",IF(Y18="","BUYBOX YOK → hedef kârla min fiyat",IF(AC18&gt;=W18,"✓ BUYBOX ALTINA GİR","BUYBOX ALTI KÂRSIZ → min kârlı fiyat")))</f>
        <v/>
      </c>
      <c r="AJ18" s="10">
        <f>IF($B18="","",IFERROR(VLOOKUP($B18,Maliyetler!$A:$G,6,FALSE),""))</f>
        <v/>
      </c>
      <c r="AK18">
        <f>IF($B18="","",IFERROR(VLOOKUP($B18,Maliyetler!$A:$G,7,FALSE),""))</f>
        <v/>
      </c>
      <c r="AO18" s="21">
        <f>IF($B18="","",IFERROR(VLOOKUP($B18&amp;"",'Plus Tarifeleri'!$C:$Q,11,FALSE),""))</f>
        <v/>
      </c>
      <c r="AP18" s="22">
        <f>IF(AO18="","",IFERROR(IF($AM$1=2,VLOOKUP($B18&amp;"",'Plus Tarifeleri'!$C:$Q,15,FALSE),VLOOKUP($B18&amp;"",'Plus Tarifeleri'!$C:$Q,13,FALSE)),""))</f>
        <v/>
      </c>
      <c r="AQ18" s="21">
        <f>IF(OR(AO18="",AP18="",$D18=""),"",AO18*(1-AP18/100)-$D18-IF(AO18&lt;=199.99,Kargo!$E$2,IF(AO18&lt;=399.99,Kargo!$E$3,$F18)))</f>
        <v/>
      </c>
      <c r="AR18" s="23">
        <f>IF(AQ18="","",AQ18/AO18)</f>
        <v/>
      </c>
      <c r="AS18" s="24">
        <f>IF(OR(AQ18="",AG18=""),"",AQ18-AG18)</f>
        <v/>
      </c>
    </row>
    <row r="19">
      <c r="A19">
        <f>IF('Komisyon Tarifeleri'!A19="","",'Komisyon Tarifeleri'!A19)</f>
        <v/>
      </c>
      <c r="B19">
        <f>IF('Komisyon Tarifeleri'!B19="","",'Komisyon Tarifeleri'!B19&amp;"")</f>
        <v/>
      </c>
      <c r="C19">
        <f>IF($B19="","",'Komisyon Tarifeleri'!F19)</f>
        <v/>
      </c>
      <c r="D19" s="10">
        <f>IF($B19="","",IFERROR(VLOOKUP($B19,Maliyetler!$A:$E,3,FALSE),""))</f>
        <v/>
      </c>
      <c r="E19">
        <f>IF($B19="","",IFERROR(VLOOKUP($B19,Maliyetler!$A:$E,4,FALSE),1))</f>
        <v/>
      </c>
      <c r="F19" s="10">
        <f>IF($B19="","",IFERROR(VLOOKUP(MIN(20,MAX(1,ROUND($E19,0))),Kargo!$A:$B,2,FALSE),99.46))</f>
        <v/>
      </c>
      <c r="G19" s="10">
        <f>IF($B19="","",IF(IF(N('Komisyon Tarifeleri'!AA19)&gt;='Komisyon Tarifeleri'!I19,'Komisyon Tarifeleri'!AA19,'Komisyon Tarifeleri'!I19)="","",IF(N('Komisyon Tarifeleri'!AA19)&gt;='Komisyon Tarifeleri'!I19,'Komisyon Tarifeleri'!AA19,'Komisyon Tarifeleri'!I19)))</f>
        <v/>
      </c>
      <c r="H19" s="11">
        <f>IF(G19="","",IF($AM$1=2,'Komisyon Tarifeleri'!U19,'Komisyon Tarifeleri'!P19))</f>
        <v/>
      </c>
      <c r="I19" s="10">
        <f>IF(OR(G19="",$D19=""),"",G19*(1-H19/100)-$D19-IF(G19&lt;=199.99,Kargo!$E$2,IF(G19&lt;=399.99,Kargo!$E$3,$F19)))</f>
        <v/>
      </c>
      <c r="J19" s="12">
        <f>IF(I19="","",I19/G19)</f>
        <v/>
      </c>
      <c r="K19" s="10">
        <f>IF($B19="","",IF('Komisyon Tarifeleri'!J19="","",'Komisyon Tarifeleri'!J19))</f>
        <v/>
      </c>
      <c r="L19" s="11">
        <f>IF(K19="","",IF($AM$1=2,'Komisyon Tarifeleri'!V19,'Komisyon Tarifeleri'!Q19))</f>
        <v/>
      </c>
      <c r="M19" s="10">
        <f>IF(OR(K19="",$D19=""),"",K19*(1-L19/100)-$D19-IF(K19&lt;=199.99,Kargo!$E$2,IF(K19&lt;=399.99,Kargo!$E$3,$F19)))</f>
        <v/>
      </c>
      <c r="N19" s="12">
        <f>IF(M19="","",M19/K19)</f>
        <v/>
      </c>
      <c r="O19" s="10">
        <f>IF($B19="","",IF('Komisyon Tarifeleri'!L19="","",'Komisyon Tarifeleri'!L19))</f>
        <v/>
      </c>
      <c r="P19" s="11">
        <f>IF(O19="","",IF($AM$1=2,'Komisyon Tarifeleri'!W19,'Komisyon Tarifeleri'!R19))</f>
        <v/>
      </c>
      <c r="Q19" s="10">
        <f>IF(OR(O19="",$D19=""),"",O19*(1-P19/100)-$D19-IF(O19&lt;=199.99,Kargo!$E$2,IF(O19&lt;=399.99,Kargo!$E$3,$F19)))</f>
        <v/>
      </c>
      <c r="R19" s="12">
        <f>IF(Q19="","",Q19/O19)</f>
        <v/>
      </c>
      <c r="S19" s="10">
        <f>IF($B19="","",IF('Komisyon Tarifeleri'!N19="","",'Komisyon Tarifeleri'!N19))</f>
        <v/>
      </c>
      <c r="T19" s="11">
        <f>IF(S19="","",IF($AM$1=2,'Komisyon Tarifeleri'!X19,'Komisyon Tarifeleri'!S19))</f>
        <v/>
      </c>
      <c r="U19" s="10">
        <f>IF(OR(S19="",$D19=""),"",S19*(1-T19/100)-$D19-IF(S19&lt;=199.99,Kargo!$E$2,IF(S19&lt;=399.99,Kargo!$E$3,$F19)))</f>
        <v/>
      </c>
      <c r="V19" s="12">
        <f>IF(U19="","",U19/S19)</f>
        <v/>
      </c>
      <c r="W19" s="12">
        <f>IF($B19="","",IFERROR(VLOOKUP($C19,Hedefler!$A:$C,2,FALSE),0.04))</f>
        <v/>
      </c>
      <c r="X19" s="12">
        <f>IF($B19="","",IFERROR(VLOOKUP($C19,Hedefler!$A:$C,3,FALSE),0.1))</f>
        <v/>
      </c>
      <c r="Y19" s="13">
        <f>IF($B19="","",IFERROR(VLOOKUP($B19,Maliyetler!$A:$E,5,FALSE),""))</f>
        <v/>
      </c>
      <c r="Z19" s="13">
        <f>IF(OR(Y19="",Y19=0),"",Y19-1)</f>
        <v/>
      </c>
      <c r="AA19" s="14">
        <f>IF(Z19="","",IF(Z19&gt;='Komisyon Tarifeleri'!I19,IF($AM$1=2,'Komisyon Tarifeleri'!U19,'Komisyon Tarifeleri'!P19),IF(Z19&gt;='Komisyon Tarifeleri'!K19,IF($AM$1=2,'Komisyon Tarifeleri'!V19,'Komisyon Tarifeleri'!Q19),IF(Z19&gt;='Komisyon Tarifeleri'!M19,IF($AM$1=2,'Komisyon Tarifeleri'!W19,'Komisyon Tarifeleri'!R19),IF($AM$1=2,'Komisyon Tarifeleri'!X19,'Komisyon Tarifeleri'!S19)))))</f>
        <v/>
      </c>
      <c r="AB19" s="13">
        <f>IF(OR(AA19="",$D19=""),"",Z19*(1-AA19/100)-$D19-IF(Z19&lt;=199.99,Kargo!$E$2,IF(Z19&lt;=399.99,Kargo!$E$3,$F19)))</f>
        <v/>
      </c>
      <c r="AC19" s="15">
        <f>IF(AB19="","",AB19/Z19)</f>
        <v/>
      </c>
      <c r="AD19" s="10">
        <f>IF(OR($D19="",$B19=""),"",IF(AND((1-T19/100-W19)&gt;0,CEILING(($D19+$F19)/(1-T19/100-W19),1)&lt;='Komisyon Tarifeleri'!N19),CEILING(($D19+$F19)/(1-T19/100-W19),1),IF(AND((1-P19/100-W19)&gt;0,CEILING(MAX('Komisyon Tarifeleri'!M19,($D19+$F19)/(1-P19/100-W19)),1)&lt;='Komisyon Tarifeleri'!L19),CEILING(MAX('Komisyon Tarifeleri'!M19,($D19+$F19)/(1-P19/100-W19)),1),IF(AND((1-L19/100-W19)&gt;0,CEILING(MAX('Komisyon Tarifeleri'!K19,($D19+$F19)/(1-L19/100-W19)),1)&lt;='Komisyon Tarifeleri'!J19),CEILING(MAX('Komisyon Tarifeleri'!K19,($D19+$F19)/(1-L19/100-W19)),1),IF((1-H19/100-W19)&gt;0,CEILING(MAX('Komisyon Tarifeleri'!I19,($D19+$F19)/(1-H19/100-W19)),1),"İMKÂNSIZ")))))</f>
        <v/>
      </c>
      <c r="AE19" s="10">
        <f>IF(OR($D19="",$B19=""),"",IF(AND((1-T19/100-X19)&gt;0,CEILING(($D19+$F19)/(1-T19/100-X19),1)&lt;='Komisyon Tarifeleri'!N19),CEILING(($D19+$F19)/(1-T19/100-X19),1),IF(AND((1-P19/100-X19)&gt;0,CEILING(MAX('Komisyon Tarifeleri'!M19,($D19+$F19)/(1-P19/100-X19)),1)&lt;='Komisyon Tarifeleri'!L19),CEILING(MAX('Komisyon Tarifeleri'!M19,($D19+$F19)/(1-P19/100-X19)),1),IF(AND((1-L19/100-X19)&gt;0,CEILING(MAX('Komisyon Tarifeleri'!K19,($D19+$F19)/(1-L19/100-X19)),1)&lt;='Komisyon Tarifeleri'!J19),CEILING(MAX('Komisyon Tarifeleri'!K19,($D19+$F19)/(1-L19/100-X19)),1),IF((1-H19/100-X19)&gt;0,CEILING(MAX('Komisyon Tarifeleri'!I19,($D19+$F19)/(1-H19/100-X19)),1),"İMKÂNSIZ")))))</f>
        <v/>
      </c>
      <c r="AF19" s="16">
        <f>IF($D19="","",IF(AND(Y19&lt;&gt;"",AC19&lt;&gt;"",AC19&gt;=W19),Z19,IF(Y19&lt;&gt;"",AD19,AE19)))</f>
        <v/>
      </c>
      <c r="AG19" s="16">
        <f>IF(OR(AF19="",AF19="İMKÂNSIZ"),"",AF19*(1-IF(AF19&gt;='Komisyon Tarifeleri'!I19,IF($AM$1=2,'Komisyon Tarifeleri'!U19,'Komisyon Tarifeleri'!P19),IF(AF19&gt;='Komisyon Tarifeleri'!K19,IF($AM$1=2,'Komisyon Tarifeleri'!V19,'Komisyon Tarifeleri'!Q19),IF(AF19&gt;='Komisyon Tarifeleri'!M19,IF($AM$1=2,'Komisyon Tarifeleri'!W19,'Komisyon Tarifeleri'!R19),IF($AM$1=2,'Komisyon Tarifeleri'!X19,'Komisyon Tarifeleri'!S19))))/100)-$D19-IF(AF19&lt;=199.99,Kargo!$E$2,IF(AF19&lt;=399.99,Kargo!$E$3,$F19)))</f>
        <v/>
      </c>
      <c r="AH19" s="17">
        <f>IF(AG19="","",AG19/AF19)</f>
        <v/>
      </c>
      <c r="AI19" s="18">
        <f>IF($D19="","",IF(Y19="","BUYBOX YOK → hedef kârla min fiyat",IF(AC19&gt;=W19,"✓ BUYBOX ALTINA GİR","BUYBOX ALTI KÂRSIZ → min kârlı fiyat")))</f>
        <v/>
      </c>
      <c r="AJ19" s="10">
        <f>IF($B19="","",IFERROR(VLOOKUP($B19,Maliyetler!$A:$G,6,FALSE),""))</f>
        <v/>
      </c>
      <c r="AK19">
        <f>IF($B19="","",IFERROR(VLOOKUP($B19,Maliyetler!$A:$G,7,FALSE),""))</f>
        <v/>
      </c>
      <c r="AO19" s="21">
        <f>IF($B19="","",IFERROR(VLOOKUP($B19&amp;"",'Plus Tarifeleri'!$C:$Q,11,FALSE),""))</f>
        <v/>
      </c>
      <c r="AP19" s="22">
        <f>IF(AO19="","",IFERROR(IF($AM$1=2,VLOOKUP($B19&amp;"",'Plus Tarifeleri'!$C:$Q,15,FALSE),VLOOKUP($B19&amp;"",'Plus Tarifeleri'!$C:$Q,13,FALSE)),""))</f>
        <v/>
      </c>
      <c r="AQ19" s="21">
        <f>IF(OR(AO19="",AP19="",$D19=""),"",AO19*(1-AP19/100)-$D19-IF(AO19&lt;=199.99,Kargo!$E$2,IF(AO19&lt;=399.99,Kargo!$E$3,$F19)))</f>
        <v/>
      </c>
      <c r="AR19" s="23">
        <f>IF(AQ19="","",AQ19/AO19)</f>
        <v/>
      </c>
      <c r="AS19" s="24">
        <f>IF(OR(AQ19="",AG19=""),"",AQ19-AG19)</f>
        <v/>
      </c>
    </row>
    <row r="20">
      <c r="A20">
        <f>IF('Komisyon Tarifeleri'!A20="","",'Komisyon Tarifeleri'!A20)</f>
        <v/>
      </c>
      <c r="B20">
        <f>IF('Komisyon Tarifeleri'!B20="","",'Komisyon Tarifeleri'!B20&amp;"")</f>
        <v/>
      </c>
      <c r="C20">
        <f>IF($B20="","",'Komisyon Tarifeleri'!F20)</f>
        <v/>
      </c>
      <c r="D20" s="10">
        <f>IF($B20="","",IFERROR(VLOOKUP($B20,Maliyetler!$A:$E,3,FALSE),""))</f>
        <v/>
      </c>
      <c r="E20">
        <f>IF($B20="","",IFERROR(VLOOKUP($B20,Maliyetler!$A:$E,4,FALSE),1))</f>
        <v/>
      </c>
      <c r="F20" s="10">
        <f>IF($B20="","",IFERROR(VLOOKUP(MIN(20,MAX(1,ROUND($E20,0))),Kargo!$A:$B,2,FALSE),99.46))</f>
        <v/>
      </c>
      <c r="G20" s="10">
        <f>IF($B20="","",IF(IF(N('Komisyon Tarifeleri'!AA20)&gt;='Komisyon Tarifeleri'!I20,'Komisyon Tarifeleri'!AA20,'Komisyon Tarifeleri'!I20)="","",IF(N('Komisyon Tarifeleri'!AA20)&gt;='Komisyon Tarifeleri'!I20,'Komisyon Tarifeleri'!AA20,'Komisyon Tarifeleri'!I20)))</f>
        <v/>
      </c>
      <c r="H20" s="11">
        <f>IF(G20="","",IF($AM$1=2,'Komisyon Tarifeleri'!U20,'Komisyon Tarifeleri'!P20))</f>
        <v/>
      </c>
      <c r="I20" s="10">
        <f>IF(OR(G20="",$D20=""),"",G20*(1-H20/100)-$D20-IF(G20&lt;=199.99,Kargo!$E$2,IF(G20&lt;=399.99,Kargo!$E$3,$F20)))</f>
        <v/>
      </c>
      <c r="J20" s="12">
        <f>IF(I20="","",I20/G20)</f>
        <v/>
      </c>
      <c r="K20" s="10">
        <f>IF($B20="","",IF('Komisyon Tarifeleri'!J20="","",'Komisyon Tarifeleri'!J20))</f>
        <v/>
      </c>
      <c r="L20" s="11">
        <f>IF(K20="","",IF($AM$1=2,'Komisyon Tarifeleri'!V20,'Komisyon Tarifeleri'!Q20))</f>
        <v/>
      </c>
      <c r="M20" s="10">
        <f>IF(OR(K20="",$D20=""),"",K20*(1-L20/100)-$D20-IF(K20&lt;=199.99,Kargo!$E$2,IF(K20&lt;=399.99,Kargo!$E$3,$F20)))</f>
        <v/>
      </c>
      <c r="N20" s="12">
        <f>IF(M20="","",M20/K20)</f>
        <v/>
      </c>
      <c r="O20" s="10">
        <f>IF($B20="","",IF('Komisyon Tarifeleri'!L20="","",'Komisyon Tarifeleri'!L20))</f>
        <v/>
      </c>
      <c r="P20" s="11">
        <f>IF(O20="","",IF($AM$1=2,'Komisyon Tarifeleri'!W20,'Komisyon Tarifeleri'!R20))</f>
        <v/>
      </c>
      <c r="Q20" s="10">
        <f>IF(OR(O20="",$D20=""),"",O20*(1-P20/100)-$D20-IF(O20&lt;=199.99,Kargo!$E$2,IF(O20&lt;=399.99,Kargo!$E$3,$F20)))</f>
        <v/>
      </c>
      <c r="R20" s="12">
        <f>IF(Q20="","",Q20/O20)</f>
        <v/>
      </c>
      <c r="S20" s="10">
        <f>IF($B20="","",IF('Komisyon Tarifeleri'!N20="","",'Komisyon Tarifeleri'!N20))</f>
        <v/>
      </c>
      <c r="T20" s="11">
        <f>IF(S20="","",IF($AM$1=2,'Komisyon Tarifeleri'!X20,'Komisyon Tarifeleri'!S20))</f>
        <v/>
      </c>
      <c r="U20" s="10">
        <f>IF(OR(S20="",$D20=""),"",S20*(1-T20/100)-$D20-IF(S20&lt;=199.99,Kargo!$E$2,IF(S20&lt;=399.99,Kargo!$E$3,$F20)))</f>
        <v/>
      </c>
      <c r="V20" s="12">
        <f>IF(U20="","",U20/S20)</f>
        <v/>
      </c>
      <c r="W20" s="12">
        <f>IF($B20="","",IFERROR(VLOOKUP($C20,Hedefler!$A:$C,2,FALSE),0.04))</f>
        <v/>
      </c>
      <c r="X20" s="12">
        <f>IF($B20="","",IFERROR(VLOOKUP($C20,Hedefler!$A:$C,3,FALSE),0.1))</f>
        <v/>
      </c>
      <c r="Y20" s="13">
        <f>IF($B20="","",IFERROR(VLOOKUP($B20,Maliyetler!$A:$E,5,FALSE),""))</f>
        <v/>
      </c>
      <c r="Z20" s="13">
        <f>IF(OR(Y20="",Y20=0),"",Y20-1)</f>
        <v/>
      </c>
      <c r="AA20" s="14">
        <f>IF(Z20="","",IF(Z20&gt;='Komisyon Tarifeleri'!I20,IF($AM$1=2,'Komisyon Tarifeleri'!U20,'Komisyon Tarifeleri'!P20),IF(Z20&gt;='Komisyon Tarifeleri'!K20,IF($AM$1=2,'Komisyon Tarifeleri'!V20,'Komisyon Tarifeleri'!Q20),IF(Z20&gt;='Komisyon Tarifeleri'!M20,IF($AM$1=2,'Komisyon Tarifeleri'!W20,'Komisyon Tarifeleri'!R20),IF($AM$1=2,'Komisyon Tarifeleri'!X20,'Komisyon Tarifeleri'!S20)))))</f>
        <v/>
      </c>
      <c r="AB20" s="13">
        <f>IF(OR(AA20="",$D20=""),"",Z20*(1-AA20/100)-$D20-IF(Z20&lt;=199.99,Kargo!$E$2,IF(Z20&lt;=399.99,Kargo!$E$3,$F20)))</f>
        <v/>
      </c>
      <c r="AC20" s="15">
        <f>IF(AB20="","",AB20/Z20)</f>
        <v/>
      </c>
      <c r="AD20" s="10">
        <f>IF(OR($D20="",$B20=""),"",IF(AND((1-T20/100-W20)&gt;0,CEILING(($D20+$F20)/(1-T20/100-W20),1)&lt;='Komisyon Tarifeleri'!N20),CEILING(($D20+$F20)/(1-T20/100-W20),1),IF(AND((1-P20/100-W20)&gt;0,CEILING(MAX('Komisyon Tarifeleri'!M20,($D20+$F20)/(1-P20/100-W20)),1)&lt;='Komisyon Tarifeleri'!L20),CEILING(MAX('Komisyon Tarifeleri'!M20,($D20+$F20)/(1-P20/100-W20)),1),IF(AND((1-L20/100-W20)&gt;0,CEILING(MAX('Komisyon Tarifeleri'!K20,($D20+$F20)/(1-L20/100-W20)),1)&lt;='Komisyon Tarifeleri'!J20),CEILING(MAX('Komisyon Tarifeleri'!K20,($D20+$F20)/(1-L20/100-W20)),1),IF((1-H20/100-W20)&gt;0,CEILING(MAX('Komisyon Tarifeleri'!I20,($D20+$F20)/(1-H20/100-W20)),1),"İMKÂNSIZ")))))</f>
        <v/>
      </c>
      <c r="AE20" s="10">
        <f>IF(OR($D20="",$B20=""),"",IF(AND((1-T20/100-X20)&gt;0,CEILING(($D20+$F20)/(1-T20/100-X20),1)&lt;='Komisyon Tarifeleri'!N20),CEILING(($D20+$F20)/(1-T20/100-X20),1),IF(AND((1-P20/100-X20)&gt;0,CEILING(MAX('Komisyon Tarifeleri'!M20,($D20+$F20)/(1-P20/100-X20)),1)&lt;='Komisyon Tarifeleri'!L20),CEILING(MAX('Komisyon Tarifeleri'!M20,($D20+$F20)/(1-P20/100-X20)),1),IF(AND((1-L20/100-X20)&gt;0,CEILING(MAX('Komisyon Tarifeleri'!K20,($D20+$F20)/(1-L20/100-X20)),1)&lt;='Komisyon Tarifeleri'!J20),CEILING(MAX('Komisyon Tarifeleri'!K20,($D20+$F20)/(1-L20/100-X20)),1),IF((1-H20/100-X20)&gt;0,CEILING(MAX('Komisyon Tarifeleri'!I20,($D20+$F20)/(1-H20/100-X20)),1),"İMKÂNSIZ")))))</f>
        <v/>
      </c>
      <c r="AF20" s="16">
        <f>IF($D20="","",IF(AND(Y20&lt;&gt;"",AC20&lt;&gt;"",AC20&gt;=W20),Z20,IF(Y20&lt;&gt;"",AD20,AE20)))</f>
        <v/>
      </c>
      <c r="AG20" s="16">
        <f>IF(OR(AF20="",AF20="İMKÂNSIZ"),"",AF20*(1-IF(AF20&gt;='Komisyon Tarifeleri'!I20,IF($AM$1=2,'Komisyon Tarifeleri'!U20,'Komisyon Tarifeleri'!P20),IF(AF20&gt;='Komisyon Tarifeleri'!K20,IF($AM$1=2,'Komisyon Tarifeleri'!V20,'Komisyon Tarifeleri'!Q20),IF(AF20&gt;='Komisyon Tarifeleri'!M20,IF($AM$1=2,'Komisyon Tarifeleri'!W20,'Komisyon Tarifeleri'!R20),IF($AM$1=2,'Komisyon Tarifeleri'!X20,'Komisyon Tarifeleri'!S20))))/100)-$D20-IF(AF20&lt;=199.99,Kargo!$E$2,IF(AF20&lt;=399.99,Kargo!$E$3,$F20)))</f>
        <v/>
      </c>
      <c r="AH20" s="17">
        <f>IF(AG20="","",AG20/AF20)</f>
        <v/>
      </c>
      <c r="AI20" s="18">
        <f>IF($D20="","",IF(Y20="","BUYBOX YOK → hedef kârla min fiyat",IF(AC20&gt;=W20,"✓ BUYBOX ALTINA GİR","BUYBOX ALTI KÂRSIZ → min kârlı fiyat")))</f>
        <v/>
      </c>
      <c r="AJ20" s="10">
        <f>IF($B20="","",IFERROR(VLOOKUP($B20,Maliyetler!$A:$G,6,FALSE),""))</f>
        <v/>
      </c>
      <c r="AK20">
        <f>IF($B20="","",IFERROR(VLOOKUP($B20,Maliyetler!$A:$G,7,FALSE),""))</f>
        <v/>
      </c>
      <c r="AO20" s="21">
        <f>IF($B20="","",IFERROR(VLOOKUP($B20&amp;"",'Plus Tarifeleri'!$C:$Q,11,FALSE),""))</f>
        <v/>
      </c>
      <c r="AP20" s="22">
        <f>IF(AO20="","",IFERROR(IF($AM$1=2,VLOOKUP($B20&amp;"",'Plus Tarifeleri'!$C:$Q,15,FALSE),VLOOKUP($B20&amp;"",'Plus Tarifeleri'!$C:$Q,13,FALSE)),""))</f>
        <v/>
      </c>
      <c r="AQ20" s="21">
        <f>IF(OR(AO20="",AP20="",$D20=""),"",AO20*(1-AP20/100)-$D20-IF(AO20&lt;=199.99,Kargo!$E$2,IF(AO20&lt;=399.99,Kargo!$E$3,$F20)))</f>
        <v/>
      </c>
      <c r="AR20" s="23">
        <f>IF(AQ20="","",AQ20/AO20)</f>
        <v/>
      </c>
      <c r="AS20" s="24">
        <f>IF(OR(AQ20="",AG20=""),"",AQ20-AG20)</f>
        <v/>
      </c>
    </row>
    <row r="21">
      <c r="A21">
        <f>IF('Komisyon Tarifeleri'!A21="","",'Komisyon Tarifeleri'!A21)</f>
        <v/>
      </c>
      <c r="B21">
        <f>IF('Komisyon Tarifeleri'!B21="","",'Komisyon Tarifeleri'!B21&amp;"")</f>
        <v/>
      </c>
      <c r="C21">
        <f>IF($B21="","",'Komisyon Tarifeleri'!F21)</f>
        <v/>
      </c>
      <c r="D21" s="10">
        <f>IF($B21="","",IFERROR(VLOOKUP($B21,Maliyetler!$A:$E,3,FALSE),""))</f>
        <v/>
      </c>
      <c r="E21">
        <f>IF($B21="","",IFERROR(VLOOKUP($B21,Maliyetler!$A:$E,4,FALSE),1))</f>
        <v/>
      </c>
      <c r="F21" s="10">
        <f>IF($B21="","",IFERROR(VLOOKUP(MIN(20,MAX(1,ROUND($E21,0))),Kargo!$A:$B,2,FALSE),99.46))</f>
        <v/>
      </c>
      <c r="G21" s="10">
        <f>IF($B21="","",IF(IF(N('Komisyon Tarifeleri'!AA21)&gt;='Komisyon Tarifeleri'!I21,'Komisyon Tarifeleri'!AA21,'Komisyon Tarifeleri'!I21)="","",IF(N('Komisyon Tarifeleri'!AA21)&gt;='Komisyon Tarifeleri'!I21,'Komisyon Tarifeleri'!AA21,'Komisyon Tarifeleri'!I21)))</f>
        <v/>
      </c>
      <c r="H21" s="11">
        <f>IF(G21="","",IF($AM$1=2,'Komisyon Tarifeleri'!U21,'Komisyon Tarifeleri'!P21))</f>
        <v/>
      </c>
      <c r="I21" s="10">
        <f>IF(OR(G21="",$D21=""),"",G21*(1-H21/100)-$D21-IF(G21&lt;=199.99,Kargo!$E$2,IF(G21&lt;=399.99,Kargo!$E$3,$F21)))</f>
        <v/>
      </c>
      <c r="J21" s="12">
        <f>IF(I21="","",I21/G21)</f>
        <v/>
      </c>
      <c r="K21" s="10">
        <f>IF($B21="","",IF('Komisyon Tarifeleri'!J21="","",'Komisyon Tarifeleri'!J21))</f>
        <v/>
      </c>
      <c r="L21" s="11">
        <f>IF(K21="","",IF($AM$1=2,'Komisyon Tarifeleri'!V21,'Komisyon Tarifeleri'!Q21))</f>
        <v/>
      </c>
      <c r="M21" s="10">
        <f>IF(OR(K21="",$D21=""),"",K21*(1-L21/100)-$D21-IF(K21&lt;=199.99,Kargo!$E$2,IF(K21&lt;=399.99,Kargo!$E$3,$F21)))</f>
        <v/>
      </c>
      <c r="N21" s="12">
        <f>IF(M21="","",M21/K21)</f>
        <v/>
      </c>
      <c r="O21" s="10">
        <f>IF($B21="","",IF('Komisyon Tarifeleri'!L21="","",'Komisyon Tarifeleri'!L21))</f>
        <v/>
      </c>
      <c r="P21" s="11">
        <f>IF(O21="","",IF($AM$1=2,'Komisyon Tarifeleri'!W21,'Komisyon Tarifeleri'!R21))</f>
        <v/>
      </c>
      <c r="Q21" s="10">
        <f>IF(OR(O21="",$D21=""),"",O21*(1-P21/100)-$D21-IF(O21&lt;=199.99,Kargo!$E$2,IF(O21&lt;=399.99,Kargo!$E$3,$F21)))</f>
        <v/>
      </c>
      <c r="R21" s="12">
        <f>IF(Q21="","",Q21/O21)</f>
        <v/>
      </c>
      <c r="S21" s="10">
        <f>IF($B21="","",IF('Komisyon Tarifeleri'!N21="","",'Komisyon Tarifeleri'!N21))</f>
        <v/>
      </c>
      <c r="T21" s="11">
        <f>IF(S21="","",IF($AM$1=2,'Komisyon Tarifeleri'!X21,'Komisyon Tarifeleri'!S21))</f>
        <v/>
      </c>
      <c r="U21" s="10">
        <f>IF(OR(S21="",$D21=""),"",S21*(1-T21/100)-$D21-IF(S21&lt;=199.99,Kargo!$E$2,IF(S21&lt;=399.99,Kargo!$E$3,$F21)))</f>
        <v/>
      </c>
      <c r="V21" s="12">
        <f>IF(U21="","",U21/S21)</f>
        <v/>
      </c>
      <c r="W21" s="12">
        <f>IF($B21="","",IFERROR(VLOOKUP($C21,Hedefler!$A:$C,2,FALSE),0.04))</f>
        <v/>
      </c>
      <c r="X21" s="12">
        <f>IF($B21="","",IFERROR(VLOOKUP($C21,Hedefler!$A:$C,3,FALSE),0.1))</f>
        <v/>
      </c>
      <c r="Y21" s="13">
        <f>IF($B21="","",IFERROR(VLOOKUP($B21,Maliyetler!$A:$E,5,FALSE),""))</f>
        <v/>
      </c>
      <c r="Z21" s="13">
        <f>IF(OR(Y21="",Y21=0),"",Y21-1)</f>
        <v/>
      </c>
      <c r="AA21" s="14">
        <f>IF(Z21="","",IF(Z21&gt;='Komisyon Tarifeleri'!I21,IF($AM$1=2,'Komisyon Tarifeleri'!U21,'Komisyon Tarifeleri'!P21),IF(Z21&gt;='Komisyon Tarifeleri'!K21,IF($AM$1=2,'Komisyon Tarifeleri'!V21,'Komisyon Tarifeleri'!Q21),IF(Z21&gt;='Komisyon Tarifeleri'!M21,IF($AM$1=2,'Komisyon Tarifeleri'!W21,'Komisyon Tarifeleri'!R21),IF($AM$1=2,'Komisyon Tarifeleri'!X21,'Komisyon Tarifeleri'!S21)))))</f>
        <v/>
      </c>
      <c r="AB21" s="13">
        <f>IF(OR(AA21="",$D21=""),"",Z21*(1-AA21/100)-$D21-IF(Z21&lt;=199.99,Kargo!$E$2,IF(Z21&lt;=399.99,Kargo!$E$3,$F21)))</f>
        <v/>
      </c>
      <c r="AC21" s="15">
        <f>IF(AB21="","",AB21/Z21)</f>
        <v/>
      </c>
      <c r="AD21" s="10">
        <f>IF(OR($D21="",$B21=""),"",IF(AND((1-T21/100-W21)&gt;0,CEILING(($D21+$F21)/(1-T21/100-W21),1)&lt;='Komisyon Tarifeleri'!N21),CEILING(($D21+$F21)/(1-T21/100-W21),1),IF(AND((1-P21/100-W21)&gt;0,CEILING(MAX('Komisyon Tarifeleri'!M21,($D21+$F21)/(1-P21/100-W21)),1)&lt;='Komisyon Tarifeleri'!L21),CEILING(MAX('Komisyon Tarifeleri'!M21,($D21+$F21)/(1-P21/100-W21)),1),IF(AND((1-L21/100-W21)&gt;0,CEILING(MAX('Komisyon Tarifeleri'!K21,($D21+$F21)/(1-L21/100-W21)),1)&lt;='Komisyon Tarifeleri'!J21),CEILING(MAX('Komisyon Tarifeleri'!K21,($D21+$F21)/(1-L21/100-W21)),1),IF((1-H21/100-W21)&gt;0,CEILING(MAX('Komisyon Tarifeleri'!I21,($D21+$F21)/(1-H21/100-W21)),1),"İMKÂNSIZ")))))</f>
        <v/>
      </c>
      <c r="AE21" s="10">
        <f>IF(OR($D21="",$B21=""),"",IF(AND((1-T21/100-X21)&gt;0,CEILING(($D21+$F21)/(1-T21/100-X21),1)&lt;='Komisyon Tarifeleri'!N21),CEILING(($D21+$F21)/(1-T21/100-X21),1),IF(AND((1-P21/100-X21)&gt;0,CEILING(MAX('Komisyon Tarifeleri'!M21,($D21+$F21)/(1-P21/100-X21)),1)&lt;='Komisyon Tarifeleri'!L21),CEILING(MAX('Komisyon Tarifeleri'!M21,($D21+$F21)/(1-P21/100-X21)),1),IF(AND((1-L21/100-X21)&gt;0,CEILING(MAX('Komisyon Tarifeleri'!K21,($D21+$F21)/(1-L21/100-X21)),1)&lt;='Komisyon Tarifeleri'!J21),CEILING(MAX('Komisyon Tarifeleri'!K21,($D21+$F21)/(1-L21/100-X21)),1),IF((1-H21/100-X21)&gt;0,CEILING(MAX('Komisyon Tarifeleri'!I21,($D21+$F21)/(1-H21/100-X21)),1),"İMKÂNSIZ")))))</f>
        <v/>
      </c>
      <c r="AF21" s="16">
        <f>IF($D21="","",IF(AND(Y21&lt;&gt;"",AC21&lt;&gt;"",AC21&gt;=W21),Z21,IF(Y21&lt;&gt;"",AD21,AE21)))</f>
        <v/>
      </c>
      <c r="AG21" s="16">
        <f>IF(OR(AF21="",AF21="İMKÂNSIZ"),"",AF21*(1-IF(AF21&gt;='Komisyon Tarifeleri'!I21,IF($AM$1=2,'Komisyon Tarifeleri'!U21,'Komisyon Tarifeleri'!P21),IF(AF21&gt;='Komisyon Tarifeleri'!K21,IF($AM$1=2,'Komisyon Tarifeleri'!V21,'Komisyon Tarifeleri'!Q21),IF(AF21&gt;='Komisyon Tarifeleri'!M21,IF($AM$1=2,'Komisyon Tarifeleri'!W21,'Komisyon Tarifeleri'!R21),IF($AM$1=2,'Komisyon Tarifeleri'!X21,'Komisyon Tarifeleri'!S21))))/100)-$D21-IF(AF21&lt;=199.99,Kargo!$E$2,IF(AF21&lt;=399.99,Kargo!$E$3,$F21)))</f>
        <v/>
      </c>
      <c r="AH21" s="17">
        <f>IF(AG21="","",AG21/AF21)</f>
        <v/>
      </c>
      <c r="AI21" s="18">
        <f>IF($D21="","",IF(Y21="","BUYBOX YOK → hedef kârla min fiyat",IF(AC21&gt;=W21,"✓ BUYBOX ALTINA GİR","BUYBOX ALTI KÂRSIZ → min kârlı fiyat")))</f>
        <v/>
      </c>
      <c r="AJ21" s="10">
        <f>IF($B21="","",IFERROR(VLOOKUP($B21,Maliyetler!$A:$G,6,FALSE),""))</f>
        <v/>
      </c>
      <c r="AK21">
        <f>IF($B21="","",IFERROR(VLOOKUP($B21,Maliyetler!$A:$G,7,FALSE),""))</f>
        <v/>
      </c>
      <c r="AO21" s="21">
        <f>IF($B21="","",IFERROR(VLOOKUP($B21&amp;"",'Plus Tarifeleri'!$C:$Q,11,FALSE),""))</f>
        <v/>
      </c>
      <c r="AP21" s="22">
        <f>IF(AO21="","",IFERROR(IF($AM$1=2,VLOOKUP($B21&amp;"",'Plus Tarifeleri'!$C:$Q,15,FALSE),VLOOKUP($B21&amp;"",'Plus Tarifeleri'!$C:$Q,13,FALSE)),""))</f>
        <v/>
      </c>
      <c r="AQ21" s="21">
        <f>IF(OR(AO21="",AP21="",$D21=""),"",AO21*(1-AP21/100)-$D21-IF(AO21&lt;=199.99,Kargo!$E$2,IF(AO21&lt;=399.99,Kargo!$E$3,$F21)))</f>
        <v/>
      </c>
      <c r="AR21" s="23">
        <f>IF(AQ21="","",AQ21/AO21)</f>
        <v/>
      </c>
      <c r="AS21" s="24">
        <f>IF(OR(AQ21="",AG21=""),"",AQ21-AG21)</f>
        <v/>
      </c>
    </row>
    <row r="22">
      <c r="A22">
        <f>IF('Komisyon Tarifeleri'!A22="","",'Komisyon Tarifeleri'!A22)</f>
        <v/>
      </c>
      <c r="B22">
        <f>IF('Komisyon Tarifeleri'!B22="","",'Komisyon Tarifeleri'!B22&amp;"")</f>
        <v/>
      </c>
      <c r="C22">
        <f>IF($B22="","",'Komisyon Tarifeleri'!F22)</f>
        <v/>
      </c>
      <c r="D22" s="10">
        <f>IF($B22="","",IFERROR(VLOOKUP($B22,Maliyetler!$A:$E,3,FALSE),""))</f>
        <v/>
      </c>
      <c r="E22">
        <f>IF($B22="","",IFERROR(VLOOKUP($B22,Maliyetler!$A:$E,4,FALSE),1))</f>
        <v/>
      </c>
      <c r="F22" s="10">
        <f>IF($B22="","",IFERROR(VLOOKUP(MIN(20,MAX(1,ROUND($E22,0))),Kargo!$A:$B,2,FALSE),99.46))</f>
        <v/>
      </c>
      <c r="G22" s="10">
        <f>IF($B22="","",IF(IF(N('Komisyon Tarifeleri'!AA22)&gt;='Komisyon Tarifeleri'!I22,'Komisyon Tarifeleri'!AA22,'Komisyon Tarifeleri'!I22)="","",IF(N('Komisyon Tarifeleri'!AA22)&gt;='Komisyon Tarifeleri'!I22,'Komisyon Tarifeleri'!AA22,'Komisyon Tarifeleri'!I22)))</f>
        <v/>
      </c>
      <c r="H22" s="11">
        <f>IF(G22="","",IF($AM$1=2,'Komisyon Tarifeleri'!U22,'Komisyon Tarifeleri'!P22))</f>
        <v/>
      </c>
      <c r="I22" s="10">
        <f>IF(OR(G22="",$D22=""),"",G22*(1-H22/100)-$D22-IF(G22&lt;=199.99,Kargo!$E$2,IF(G22&lt;=399.99,Kargo!$E$3,$F22)))</f>
        <v/>
      </c>
      <c r="J22" s="12">
        <f>IF(I22="","",I22/G22)</f>
        <v/>
      </c>
      <c r="K22" s="10">
        <f>IF($B22="","",IF('Komisyon Tarifeleri'!J22="","",'Komisyon Tarifeleri'!J22))</f>
        <v/>
      </c>
      <c r="L22" s="11">
        <f>IF(K22="","",IF($AM$1=2,'Komisyon Tarifeleri'!V22,'Komisyon Tarifeleri'!Q22))</f>
        <v/>
      </c>
      <c r="M22" s="10">
        <f>IF(OR(K22="",$D22=""),"",K22*(1-L22/100)-$D22-IF(K22&lt;=199.99,Kargo!$E$2,IF(K22&lt;=399.99,Kargo!$E$3,$F22)))</f>
        <v/>
      </c>
      <c r="N22" s="12">
        <f>IF(M22="","",M22/K22)</f>
        <v/>
      </c>
      <c r="O22" s="10">
        <f>IF($B22="","",IF('Komisyon Tarifeleri'!L22="","",'Komisyon Tarifeleri'!L22))</f>
        <v/>
      </c>
      <c r="P22" s="11">
        <f>IF(O22="","",IF($AM$1=2,'Komisyon Tarifeleri'!W22,'Komisyon Tarifeleri'!R22))</f>
        <v/>
      </c>
      <c r="Q22" s="10">
        <f>IF(OR(O22="",$D22=""),"",O22*(1-P22/100)-$D22-IF(O22&lt;=199.99,Kargo!$E$2,IF(O22&lt;=399.99,Kargo!$E$3,$F22)))</f>
        <v/>
      </c>
      <c r="R22" s="12">
        <f>IF(Q22="","",Q22/O22)</f>
        <v/>
      </c>
      <c r="S22" s="10">
        <f>IF($B22="","",IF('Komisyon Tarifeleri'!N22="","",'Komisyon Tarifeleri'!N22))</f>
        <v/>
      </c>
      <c r="T22" s="11">
        <f>IF(S22="","",IF($AM$1=2,'Komisyon Tarifeleri'!X22,'Komisyon Tarifeleri'!S22))</f>
        <v/>
      </c>
      <c r="U22" s="10">
        <f>IF(OR(S22="",$D22=""),"",S22*(1-T22/100)-$D22-IF(S22&lt;=199.99,Kargo!$E$2,IF(S22&lt;=399.99,Kargo!$E$3,$F22)))</f>
        <v/>
      </c>
      <c r="V22" s="12">
        <f>IF(U22="","",U22/S22)</f>
        <v/>
      </c>
      <c r="W22" s="12">
        <f>IF($B22="","",IFERROR(VLOOKUP($C22,Hedefler!$A:$C,2,FALSE),0.04))</f>
        <v/>
      </c>
      <c r="X22" s="12">
        <f>IF($B22="","",IFERROR(VLOOKUP($C22,Hedefler!$A:$C,3,FALSE),0.1))</f>
        <v/>
      </c>
      <c r="Y22" s="13">
        <f>IF($B22="","",IFERROR(VLOOKUP($B22,Maliyetler!$A:$E,5,FALSE),""))</f>
        <v/>
      </c>
      <c r="Z22" s="13">
        <f>IF(OR(Y22="",Y22=0),"",Y22-1)</f>
        <v/>
      </c>
      <c r="AA22" s="14">
        <f>IF(Z22="","",IF(Z22&gt;='Komisyon Tarifeleri'!I22,IF($AM$1=2,'Komisyon Tarifeleri'!U22,'Komisyon Tarifeleri'!P22),IF(Z22&gt;='Komisyon Tarifeleri'!K22,IF($AM$1=2,'Komisyon Tarifeleri'!V22,'Komisyon Tarifeleri'!Q22),IF(Z22&gt;='Komisyon Tarifeleri'!M22,IF($AM$1=2,'Komisyon Tarifeleri'!W22,'Komisyon Tarifeleri'!R22),IF($AM$1=2,'Komisyon Tarifeleri'!X22,'Komisyon Tarifeleri'!S22)))))</f>
        <v/>
      </c>
      <c r="AB22" s="13">
        <f>IF(OR(AA22="",$D22=""),"",Z22*(1-AA22/100)-$D22-IF(Z22&lt;=199.99,Kargo!$E$2,IF(Z22&lt;=399.99,Kargo!$E$3,$F22)))</f>
        <v/>
      </c>
      <c r="AC22" s="15">
        <f>IF(AB22="","",AB22/Z22)</f>
        <v/>
      </c>
      <c r="AD22" s="10">
        <f>IF(OR($D22="",$B22=""),"",IF(AND((1-T22/100-W22)&gt;0,CEILING(($D22+$F22)/(1-T22/100-W22),1)&lt;='Komisyon Tarifeleri'!N22),CEILING(($D22+$F22)/(1-T22/100-W22),1),IF(AND((1-P22/100-W22)&gt;0,CEILING(MAX('Komisyon Tarifeleri'!M22,($D22+$F22)/(1-P22/100-W22)),1)&lt;='Komisyon Tarifeleri'!L22),CEILING(MAX('Komisyon Tarifeleri'!M22,($D22+$F22)/(1-P22/100-W22)),1),IF(AND((1-L22/100-W22)&gt;0,CEILING(MAX('Komisyon Tarifeleri'!K22,($D22+$F22)/(1-L22/100-W22)),1)&lt;='Komisyon Tarifeleri'!J22),CEILING(MAX('Komisyon Tarifeleri'!K22,($D22+$F22)/(1-L22/100-W22)),1),IF((1-H22/100-W22)&gt;0,CEILING(MAX('Komisyon Tarifeleri'!I22,($D22+$F22)/(1-H22/100-W22)),1),"İMKÂNSIZ")))))</f>
        <v/>
      </c>
      <c r="AE22" s="10">
        <f>IF(OR($D22="",$B22=""),"",IF(AND((1-T22/100-X22)&gt;0,CEILING(($D22+$F22)/(1-T22/100-X22),1)&lt;='Komisyon Tarifeleri'!N22),CEILING(($D22+$F22)/(1-T22/100-X22),1),IF(AND((1-P22/100-X22)&gt;0,CEILING(MAX('Komisyon Tarifeleri'!M22,($D22+$F22)/(1-P22/100-X22)),1)&lt;='Komisyon Tarifeleri'!L22),CEILING(MAX('Komisyon Tarifeleri'!M22,($D22+$F22)/(1-P22/100-X22)),1),IF(AND((1-L22/100-X22)&gt;0,CEILING(MAX('Komisyon Tarifeleri'!K22,($D22+$F22)/(1-L22/100-X22)),1)&lt;='Komisyon Tarifeleri'!J22),CEILING(MAX('Komisyon Tarifeleri'!K22,($D22+$F22)/(1-L22/100-X22)),1),IF((1-H22/100-X22)&gt;0,CEILING(MAX('Komisyon Tarifeleri'!I22,($D22+$F22)/(1-H22/100-X22)),1),"İMKÂNSIZ")))))</f>
        <v/>
      </c>
      <c r="AF22" s="16">
        <f>IF($D22="","",IF(AND(Y22&lt;&gt;"",AC22&lt;&gt;"",AC22&gt;=W22),Z22,IF(Y22&lt;&gt;"",AD22,AE22)))</f>
        <v/>
      </c>
      <c r="AG22" s="16">
        <f>IF(OR(AF22="",AF22="İMKÂNSIZ"),"",AF22*(1-IF(AF22&gt;='Komisyon Tarifeleri'!I22,IF($AM$1=2,'Komisyon Tarifeleri'!U22,'Komisyon Tarifeleri'!P22),IF(AF22&gt;='Komisyon Tarifeleri'!K22,IF($AM$1=2,'Komisyon Tarifeleri'!V22,'Komisyon Tarifeleri'!Q22),IF(AF22&gt;='Komisyon Tarifeleri'!M22,IF($AM$1=2,'Komisyon Tarifeleri'!W22,'Komisyon Tarifeleri'!R22),IF($AM$1=2,'Komisyon Tarifeleri'!X22,'Komisyon Tarifeleri'!S22))))/100)-$D22-IF(AF22&lt;=199.99,Kargo!$E$2,IF(AF22&lt;=399.99,Kargo!$E$3,$F22)))</f>
        <v/>
      </c>
      <c r="AH22" s="17">
        <f>IF(AG22="","",AG22/AF22)</f>
        <v/>
      </c>
      <c r="AI22" s="18">
        <f>IF($D22="","",IF(Y22="","BUYBOX YOK → hedef kârla min fiyat",IF(AC22&gt;=W22,"✓ BUYBOX ALTINA GİR","BUYBOX ALTI KÂRSIZ → min kârlı fiyat")))</f>
        <v/>
      </c>
      <c r="AJ22" s="10">
        <f>IF($B22="","",IFERROR(VLOOKUP($B22,Maliyetler!$A:$G,6,FALSE),""))</f>
        <v/>
      </c>
      <c r="AK22">
        <f>IF($B22="","",IFERROR(VLOOKUP($B22,Maliyetler!$A:$G,7,FALSE),""))</f>
        <v/>
      </c>
      <c r="AO22" s="21">
        <f>IF($B22="","",IFERROR(VLOOKUP($B22&amp;"",'Plus Tarifeleri'!$C:$Q,11,FALSE),""))</f>
        <v/>
      </c>
      <c r="AP22" s="22">
        <f>IF(AO22="","",IFERROR(IF($AM$1=2,VLOOKUP($B22&amp;"",'Plus Tarifeleri'!$C:$Q,15,FALSE),VLOOKUP($B22&amp;"",'Plus Tarifeleri'!$C:$Q,13,FALSE)),""))</f>
        <v/>
      </c>
      <c r="AQ22" s="21">
        <f>IF(OR(AO22="",AP22="",$D22=""),"",AO22*(1-AP22/100)-$D22-IF(AO22&lt;=199.99,Kargo!$E$2,IF(AO22&lt;=399.99,Kargo!$E$3,$F22)))</f>
        <v/>
      </c>
      <c r="AR22" s="23">
        <f>IF(AQ22="","",AQ22/AO22)</f>
        <v/>
      </c>
      <c r="AS22" s="24">
        <f>IF(OR(AQ22="",AG22=""),"",AQ22-AG22)</f>
        <v/>
      </c>
    </row>
    <row r="23">
      <c r="A23">
        <f>IF('Komisyon Tarifeleri'!A23="","",'Komisyon Tarifeleri'!A23)</f>
        <v/>
      </c>
      <c r="B23">
        <f>IF('Komisyon Tarifeleri'!B23="","",'Komisyon Tarifeleri'!B23&amp;"")</f>
        <v/>
      </c>
      <c r="C23">
        <f>IF($B23="","",'Komisyon Tarifeleri'!F23)</f>
        <v/>
      </c>
      <c r="D23" s="10">
        <f>IF($B23="","",IFERROR(VLOOKUP($B23,Maliyetler!$A:$E,3,FALSE),""))</f>
        <v/>
      </c>
      <c r="E23">
        <f>IF($B23="","",IFERROR(VLOOKUP($B23,Maliyetler!$A:$E,4,FALSE),1))</f>
        <v/>
      </c>
      <c r="F23" s="10">
        <f>IF($B23="","",IFERROR(VLOOKUP(MIN(20,MAX(1,ROUND($E23,0))),Kargo!$A:$B,2,FALSE),99.46))</f>
        <v/>
      </c>
      <c r="G23" s="10">
        <f>IF($B23="","",IF(IF(N('Komisyon Tarifeleri'!AA23)&gt;='Komisyon Tarifeleri'!I23,'Komisyon Tarifeleri'!AA23,'Komisyon Tarifeleri'!I23)="","",IF(N('Komisyon Tarifeleri'!AA23)&gt;='Komisyon Tarifeleri'!I23,'Komisyon Tarifeleri'!AA23,'Komisyon Tarifeleri'!I23)))</f>
        <v/>
      </c>
      <c r="H23" s="11">
        <f>IF(G23="","",IF($AM$1=2,'Komisyon Tarifeleri'!U23,'Komisyon Tarifeleri'!P23))</f>
        <v/>
      </c>
      <c r="I23" s="10">
        <f>IF(OR(G23="",$D23=""),"",G23*(1-H23/100)-$D23-IF(G23&lt;=199.99,Kargo!$E$2,IF(G23&lt;=399.99,Kargo!$E$3,$F23)))</f>
        <v/>
      </c>
      <c r="J23" s="12">
        <f>IF(I23="","",I23/G23)</f>
        <v/>
      </c>
      <c r="K23" s="10">
        <f>IF($B23="","",IF('Komisyon Tarifeleri'!J23="","",'Komisyon Tarifeleri'!J23))</f>
        <v/>
      </c>
      <c r="L23" s="11">
        <f>IF(K23="","",IF($AM$1=2,'Komisyon Tarifeleri'!V23,'Komisyon Tarifeleri'!Q23))</f>
        <v/>
      </c>
      <c r="M23" s="10">
        <f>IF(OR(K23="",$D23=""),"",K23*(1-L23/100)-$D23-IF(K23&lt;=199.99,Kargo!$E$2,IF(K23&lt;=399.99,Kargo!$E$3,$F23)))</f>
        <v/>
      </c>
      <c r="N23" s="12">
        <f>IF(M23="","",M23/K23)</f>
        <v/>
      </c>
      <c r="O23" s="10">
        <f>IF($B23="","",IF('Komisyon Tarifeleri'!L23="","",'Komisyon Tarifeleri'!L23))</f>
        <v/>
      </c>
      <c r="P23" s="11">
        <f>IF(O23="","",IF($AM$1=2,'Komisyon Tarifeleri'!W23,'Komisyon Tarifeleri'!R23))</f>
        <v/>
      </c>
      <c r="Q23" s="10">
        <f>IF(OR(O23="",$D23=""),"",O23*(1-P23/100)-$D23-IF(O23&lt;=199.99,Kargo!$E$2,IF(O23&lt;=399.99,Kargo!$E$3,$F23)))</f>
        <v/>
      </c>
      <c r="R23" s="12">
        <f>IF(Q23="","",Q23/O23)</f>
        <v/>
      </c>
      <c r="S23" s="10">
        <f>IF($B23="","",IF('Komisyon Tarifeleri'!N23="","",'Komisyon Tarifeleri'!N23))</f>
        <v/>
      </c>
      <c r="T23" s="11">
        <f>IF(S23="","",IF($AM$1=2,'Komisyon Tarifeleri'!X23,'Komisyon Tarifeleri'!S23))</f>
        <v/>
      </c>
      <c r="U23" s="10">
        <f>IF(OR(S23="",$D23=""),"",S23*(1-T23/100)-$D23-IF(S23&lt;=199.99,Kargo!$E$2,IF(S23&lt;=399.99,Kargo!$E$3,$F23)))</f>
        <v/>
      </c>
      <c r="V23" s="12">
        <f>IF(U23="","",U23/S23)</f>
        <v/>
      </c>
      <c r="W23" s="12">
        <f>IF($B23="","",IFERROR(VLOOKUP($C23,Hedefler!$A:$C,2,FALSE),0.04))</f>
        <v/>
      </c>
      <c r="X23" s="12">
        <f>IF($B23="","",IFERROR(VLOOKUP($C23,Hedefler!$A:$C,3,FALSE),0.1))</f>
        <v/>
      </c>
      <c r="Y23" s="13">
        <f>IF($B23="","",IFERROR(VLOOKUP($B23,Maliyetler!$A:$E,5,FALSE),""))</f>
        <v/>
      </c>
      <c r="Z23" s="13">
        <f>IF(OR(Y23="",Y23=0),"",Y23-1)</f>
        <v/>
      </c>
      <c r="AA23" s="14">
        <f>IF(Z23="","",IF(Z23&gt;='Komisyon Tarifeleri'!I23,IF($AM$1=2,'Komisyon Tarifeleri'!U23,'Komisyon Tarifeleri'!P23),IF(Z23&gt;='Komisyon Tarifeleri'!K23,IF($AM$1=2,'Komisyon Tarifeleri'!V23,'Komisyon Tarifeleri'!Q23),IF(Z23&gt;='Komisyon Tarifeleri'!M23,IF($AM$1=2,'Komisyon Tarifeleri'!W23,'Komisyon Tarifeleri'!R23),IF($AM$1=2,'Komisyon Tarifeleri'!X23,'Komisyon Tarifeleri'!S23)))))</f>
        <v/>
      </c>
      <c r="AB23" s="13">
        <f>IF(OR(AA23="",$D23=""),"",Z23*(1-AA23/100)-$D23-IF(Z23&lt;=199.99,Kargo!$E$2,IF(Z23&lt;=399.99,Kargo!$E$3,$F23)))</f>
        <v/>
      </c>
      <c r="AC23" s="15">
        <f>IF(AB23="","",AB23/Z23)</f>
        <v/>
      </c>
      <c r="AD23" s="10">
        <f>IF(OR($D23="",$B23=""),"",IF(AND((1-T23/100-W23)&gt;0,CEILING(($D23+$F23)/(1-T23/100-W23),1)&lt;='Komisyon Tarifeleri'!N23),CEILING(($D23+$F23)/(1-T23/100-W23),1),IF(AND((1-P23/100-W23)&gt;0,CEILING(MAX('Komisyon Tarifeleri'!M23,($D23+$F23)/(1-P23/100-W23)),1)&lt;='Komisyon Tarifeleri'!L23),CEILING(MAX('Komisyon Tarifeleri'!M23,($D23+$F23)/(1-P23/100-W23)),1),IF(AND((1-L23/100-W23)&gt;0,CEILING(MAX('Komisyon Tarifeleri'!K23,($D23+$F23)/(1-L23/100-W23)),1)&lt;='Komisyon Tarifeleri'!J23),CEILING(MAX('Komisyon Tarifeleri'!K23,($D23+$F23)/(1-L23/100-W23)),1),IF((1-H23/100-W23)&gt;0,CEILING(MAX('Komisyon Tarifeleri'!I23,($D23+$F23)/(1-H23/100-W23)),1),"İMKÂNSIZ")))))</f>
        <v/>
      </c>
      <c r="AE23" s="10">
        <f>IF(OR($D23="",$B23=""),"",IF(AND((1-T23/100-X23)&gt;0,CEILING(($D23+$F23)/(1-T23/100-X23),1)&lt;='Komisyon Tarifeleri'!N23),CEILING(($D23+$F23)/(1-T23/100-X23),1),IF(AND((1-P23/100-X23)&gt;0,CEILING(MAX('Komisyon Tarifeleri'!M23,($D23+$F23)/(1-P23/100-X23)),1)&lt;='Komisyon Tarifeleri'!L23),CEILING(MAX('Komisyon Tarifeleri'!M23,($D23+$F23)/(1-P23/100-X23)),1),IF(AND((1-L23/100-X23)&gt;0,CEILING(MAX('Komisyon Tarifeleri'!K23,($D23+$F23)/(1-L23/100-X23)),1)&lt;='Komisyon Tarifeleri'!J23),CEILING(MAX('Komisyon Tarifeleri'!K23,($D23+$F23)/(1-L23/100-X23)),1),IF((1-H23/100-X23)&gt;0,CEILING(MAX('Komisyon Tarifeleri'!I23,($D23+$F23)/(1-H23/100-X23)),1),"İMKÂNSIZ")))))</f>
        <v/>
      </c>
      <c r="AF23" s="16">
        <f>IF($D23="","",IF(AND(Y23&lt;&gt;"",AC23&lt;&gt;"",AC23&gt;=W23),Z23,IF(Y23&lt;&gt;"",AD23,AE23)))</f>
        <v/>
      </c>
      <c r="AG23" s="16">
        <f>IF(OR(AF23="",AF23="İMKÂNSIZ"),"",AF23*(1-IF(AF23&gt;='Komisyon Tarifeleri'!I23,IF($AM$1=2,'Komisyon Tarifeleri'!U23,'Komisyon Tarifeleri'!P23),IF(AF23&gt;='Komisyon Tarifeleri'!K23,IF($AM$1=2,'Komisyon Tarifeleri'!V23,'Komisyon Tarifeleri'!Q23),IF(AF23&gt;='Komisyon Tarifeleri'!M23,IF($AM$1=2,'Komisyon Tarifeleri'!W23,'Komisyon Tarifeleri'!R23),IF($AM$1=2,'Komisyon Tarifeleri'!X23,'Komisyon Tarifeleri'!S23))))/100)-$D23-IF(AF23&lt;=199.99,Kargo!$E$2,IF(AF23&lt;=399.99,Kargo!$E$3,$F23)))</f>
        <v/>
      </c>
      <c r="AH23" s="17">
        <f>IF(AG23="","",AG23/AF23)</f>
        <v/>
      </c>
      <c r="AI23" s="18">
        <f>IF($D23="","",IF(Y23="","BUYBOX YOK → hedef kârla min fiyat",IF(AC23&gt;=W23,"✓ BUYBOX ALTINA GİR","BUYBOX ALTI KÂRSIZ → min kârlı fiyat")))</f>
        <v/>
      </c>
      <c r="AJ23" s="10">
        <f>IF($B23="","",IFERROR(VLOOKUP($B23,Maliyetler!$A:$G,6,FALSE),""))</f>
        <v/>
      </c>
      <c r="AK23">
        <f>IF($B23="","",IFERROR(VLOOKUP($B23,Maliyetler!$A:$G,7,FALSE),""))</f>
        <v/>
      </c>
      <c r="AO23" s="21">
        <f>IF($B23="","",IFERROR(VLOOKUP($B23&amp;"",'Plus Tarifeleri'!$C:$Q,11,FALSE),""))</f>
        <v/>
      </c>
      <c r="AP23" s="22">
        <f>IF(AO23="","",IFERROR(IF($AM$1=2,VLOOKUP($B23&amp;"",'Plus Tarifeleri'!$C:$Q,15,FALSE),VLOOKUP($B23&amp;"",'Plus Tarifeleri'!$C:$Q,13,FALSE)),""))</f>
        <v/>
      </c>
      <c r="AQ23" s="21">
        <f>IF(OR(AO23="",AP23="",$D23=""),"",AO23*(1-AP23/100)-$D23-IF(AO23&lt;=199.99,Kargo!$E$2,IF(AO23&lt;=399.99,Kargo!$E$3,$F23)))</f>
        <v/>
      </c>
      <c r="AR23" s="23">
        <f>IF(AQ23="","",AQ23/AO23)</f>
        <v/>
      </c>
      <c r="AS23" s="24">
        <f>IF(OR(AQ23="",AG23=""),"",AQ23-AG23)</f>
        <v/>
      </c>
    </row>
    <row r="24">
      <c r="A24">
        <f>IF('Komisyon Tarifeleri'!A24="","",'Komisyon Tarifeleri'!A24)</f>
        <v/>
      </c>
      <c r="B24">
        <f>IF('Komisyon Tarifeleri'!B24="","",'Komisyon Tarifeleri'!B24&amp;"")</f>
        <v/>
      </c>
      <c r="C24">
        <f>IF($B24="","",'Komisyon Tarifeleri'!F24)</f>
        <v/>
      </c>
      <c r="D24" s="10">
        <f>IF($B24="","",IFERROR(VLOOKUP($B24,Maliyetler!$A:$E,3,FALSE),""))</f>
        <v/>
      </c>
      <c r="E24">
        <f>IF($B24="","",IFERROR(VLOOKUP($B24,Maliyetler!$A:$E,4,FALSE),1))</f>
        <v/>
      </c>
      <c r="F24" s="10">
        <f>IF($B24="","",IFERROR(VLOOKUP(MIN(20,MAX(1,ROUND($E24,0))),Kargo!$A:$B,2,FALSE),99.46))</f>
        <v/>
      </c>
      <c r="G24" s="10">
        <f>IF($B24="","",IF(IF(N('Komisyon Tarifeleri'!AA24)&gt;='Komisyon Tarifeleri'!I24,'Komisyon Tarifeleri'!AA24,'Komisyon Tarifeleri'!I24)="","",IF(N('Komisyon Tarifeleri'!AA24)&gt;='Komisyon Tarifeleri'!I24,'Komisyon Tarifeleri'!AA24,'Komisyon Tarifeleri'!I24)))</f>
        <v/>
      </c>
      <c r="H24" s="11">
        <f>IF(G24="","",IF($AM$1=2,'Komisyon Tarifeleri'!U24,'Komisyon Tarifeleri'!P24))</f>
        <v/>
      </c>
      <c r="I24" s="10">
        <f>IF(OR(G24="",$D24=""),"",G24*(1-H24/100)-$D24-IF(G24&lt;=199.99,Kargo!$E$2,IF(G24&lt;=399.99,Kargo!$E$3,$F24)))</f>
        <v/>
      </c>
      <c r="J24" s="12">
        <f>IF(I24="","",I24/G24)</f>
        <v/>
      </c>
      <c r="K24" s="10">
        <f>IF($B24="","",IF('Komisyon Tarifeleri'!J24="","",'Komisyon Tarifeleri'!J24))</f>
        <v/>
      </c>
      <c r="L24" s="11">
        <f>IF(K24="","",IF($AM$1=2,'Komisyon Tarifeleri'!V24,'Komisyon Tarifeleri'!Q24))</f>
        <v/>
      </c>
      <c r="M24" s="10">
        <f>IF(OR(K24="",$D24=""),"",K24*(1-L24/100)-$D24-IF(K24&lt;=199.99,Kargo!$E$2,IF(K24&lt;=399.99,Kargo!$E$3,$F24)))</f>
        <v/>
      </c>
      <c r="N24" s="12">
        <f>IF(M24="","",M24/K24)</f>
        <v/>
      </c>
      <c r="O24" s="10">
        <f>IF($B24="","",IF('Komisyon Tarifeleri'!L24="","",'Komisyon Tarifeleri'!L24))</f>
        <v/>
      </c>
      <c r="P24" s="11">
        <f>IF(O24="","",IF($AM$1=2,'Komisyon Tarifeleri'!W24,'Komisyon Tarifeleri'!R24))</f>
        <v/>
      </c>
      <c r="Q24" s="10">
        <f>IF(OR(O24="",$D24=""),"",O24*(1-P24/100)-$D24-IF(O24&lt;=199.99,Kargo!$E$2,IF(O24&lt;=399.99,Kargo!$E$3,$F24)))</f>
        <v/>
      </c>
      <c r="R24" s="12">
        <f>IF(Q24="","",Q24/O24)</f>
        <v/>
      </c>
      <c r="S24" s="10">
        <f>IF($B24="","",IF('Komisyon Tarifeleri'!N24="","",'Komisyon Tarifeleri'!N24))</f>
        <v/>
      </c>
      <c r="T24" s="11">
        <f>IF(S24="","",IF($AM$1=2,'Komisyon Tarifeleri'!X24,'Komisyon Tarifeleri'!S24))</f>
        <v/>
      </c>
      <c r="U24" s="10">
        <f>IF(OR(S24="",$D24=""),"",S24*(1-T24/100)-$D24-IF(S24&lt;=199.99,Kargo!$E$2,IF(S24&lt;=399.99,Kargo!$E$3,$F24)))</f>
        <v/>
      </c>
      <c r="V24" s="12">
        <f>IF(U24="","",U24/S24)</f>
        <v/>
      </c>
      <c r="W24" s="12">
        <f>IF($B24="","",IFERROR(VLOOKUP($C24,Hedefler!$A:$C,2,FALSE),0.04))</f>
        <v/>
      </c>
      <c r="X24" s="12">
        <f>IF($B24="","",IFERROR(VLOOKUP($C24,Hedefler!$A:$C,3,FALSE),0.1))</f>
        <v/>
      </c>
      <c r="Y24" s="13">
        <f>IF($B24="","",IFERROR(VLOOKUP($B24,Maliyetler!$A:$E,5,FALSE),""))</f>
        <v/>
      </c>
      <c r="Z24" s="13">
        <f>IF(OR(Y24="",Y24=0),"",Y24-1)</f>
        <v/>
      </c>
      <c r="AA24" s="14">
        <f>IF(Z24="","",IF(Z24&gt;='Komisyon Tarifeleri'!I24,IF($AM$1=2,'Komisyon Tarifeleri'!U24,'Komisyon Tarifeleri'!P24),IF(Z24&gt;='Komisyon Tarifeleri'!K24,IF($AM$1=2,'Komisyon Tarifeleri'!V24,'Komisyon Tarifeleri'!Q24),IF(Z24&gt;='Komisyon Tarifeleri'!M24,IF($AM$1=2,'Komisyon Tarifeleri'!W24,'Komisyon Tarifeleri'!R24),IF($AM$1=2,'Komisyon Tarifeleri'!X24,'Komisyon Tarifeleri'!S24)))))</f>
        <v/>
      </c>
      <c r="AB24" s="13">
        <f>IF(OR(AA24="",$D24=""),"",Z24*(1-AA24/100)-$D24-IF(Z24&lt;=199.99,Kargo!$E$2,IF(Z24&lt;=399.99,Kargo!$E$3,$F24)))</f>
        <v/>
      </c>
      <c r="AC24" s="15">
        <f>IF(AB24="","",AB24/Z24)</f>
        <v/>
      </c>
      <c r="AD24" s="10">
        <f>IF(OR($D24="",$B24=""),"",IF(AND((1-T24/100-W24)&gt;0,CEILING(($D24+$F24)/(1-T24/100-W24),1)&lt;='Komisyon Tarifeleri'!N24),CEILING(($D24+$F24)/(1-T24/100-W24),1),IF(AND((1-P24/100-W24)&gt;0,CEILING(MAX('Komisyon Tarifeleri'!M24,($D24+$F24)/(1-P24/100-W24)),1)&lt;='Komisyon Tarifeleri'!L24),CEILING(MAX('Komisyon Tarifeleri'!M24,($D24+$F24)/(1-P24/100-W24)),1),IF(AND((1-L24/100-W24)&gt;0,CEILING(MAX('Komisyon Tarifeleri'!K24,($D24+$F24)/(1-L24/100-W24)),1)&lt;='Komisyon Tarifeleri'!J24),CEILING(MAX('Komisyon Tarifeleri'!K24,($D24+$F24)/(1-L24/100-W24)),1),IF((1-H24/100-W24)&gt;0,CEILING(MAX('Komisyon Tarifeleri'!I24,($D24+$F24)/(1-H24/100-W24)),1),"İMKÂNSIZ")))))</f>
        <v/>
      </c>
      <c r="AE24" s="10">
        <f>IF(OR($D24="",$B24=""),"",IF(AND((1-T24/100-X24)&gt;0,CEILING(($D24+$F24)/(1-T24/100-X24),1)&lt;='Komisyon Tarifeleri'!N24),CEILING(($D24+$F24)/(1-T24/100-X24),1),IF(AND((1-P24/100-X24)&gt;0,CEILING(MAX('Komisyon Tarifeleri'!M24,($D24+$F24)/(1-P24/100-X24)),1)&lt;='Komisyon Tarifeleri'!L24),CEILING(MAX('Komisyon Tarifeleri'!M24,($D24+$F24)/(1-P24/100-X24)),1),IF(AND((1-L24/100-X24)&gt;0,CEILING(MAX('Komisyon Tarifeleri'!K24,($D24+$F24)/(1-L24/100-X24)),1)&lt;='Komisyon Tarifeleri'!J24),CEILING(MAX('Komisyon Tarifeleri'!K24,($D24+$F24)/(1-L24/100-X24)),1),IF((1-H24/100-X24)&gt;0,CEILING(MAX('Komisyon Tarifeleri'!I24,($D24+$F24)/(1-H24/100-X24)),1),"İMKÂNSIZ")))))</f>
        <v/>
      </c>
      <c r="AF24" s="16">
        <f>IF($D24="","",IF(AND(Y24&lt;&gt;"",AC24&lt;&gt;"",AC24&gt;=W24),Z24,IF(Y24&lt;&gt;"",AD24,AE24)))</f>
        <v/>
      </c>
      <c r="AG24" s="16">
        <f>IF(OR(AF24="",AF24="İMKÂNSIZ"),"",AF24*(1-IF(AF24&gt;='Komisyon Tarifeleri'!I24,IF($AM$1=2,'Komisyon Tarifeleri'!U24,'Komisyon Tarifeleri'!P24),IF(AF24&gt;='Komisyon Tarifeleri'!K24,IF($AM$1=2,'Komisyon Tarifeleri'!V24,'Komisyon Tarifeleri'!Q24),IF(AF24&gt;='Komisyon Tarifeleri'!M24,IF($AM$1=2,'Komisyon Tarifeleri'!W24,'Komisyon Tarifeleri'!R24),IF($AM$1=2,'Komisyon Tarifeleri'!X24,'Komisyon Tarifeleri'!S24))))/100)-$D24-IF(AF24&lt;=199.99,Kargo!$E$2,IF(AF24&lt;=399.99,Kargo!$E$3,$F24)))</f>
        <v/>
      </c>
      <c r="AH24" s="17">
        <f>IF(AG24="","",AG24/AF24)</f>
        <v/>
      </c>
      <c r="AI24" s="18">
        <f>IF($D24="","",IF(Y24="","BUYBOX YOK → hedef kârla min fiyat",IF(AC24&gt;=W24,"✓ BUYBOX ALTINA GİR","BUYBOX ALTI KÂRSIZ → min kârlı fiyat")))</f>
        <v/>
      </c>
      <c r="AJ24" s="10">
        <f>IF($B24="","",IFERROR(VLOOKUP($B24,Maliyetler!$A:$G,6,FALSE),""))</f>
        <v/>
      </c>
      <c r="AK24">
        <f>IF($B24="","",IFERROR(VLOOKUP($B24,Maliyetler!$A:$G,7,FALSE),""))</f>
        <v/>
      </c>
      <c r="AO24" s="21">
        <f>IF($B24="","",IFERROR(VLOOKUP($B24&amp;"",'Plus Tarifeleri'!$C:$Q,11,FALSE),""))</f>
        <v/>
      </c>
      <c r="AP24" s="22">
        <f>IF(AO24="","",IFERROR(IF($AM$1=2,VLOOKUP($B24&amp;"",'Plus Tarifeleri'!$C:$Q,15,FALSE),VLOOKUP($B24&amp;"",'Plus Tarifeleri'!$C:$Q,13,FALSE)),""))</f>
        <v/>
      </c>
      <c r="AQ24" s="21">
        <f>IF(OR(AO24="",AP24="",$D24=""),"",AO24*(1-AP24/100)-$D24-IF(AO24&lt;=199.99,Kargo!$E$2,IF(AO24&lt;=399.99,Kargo!$E$3,$F24)))</f>
        <v/>
      </c>
      <c r="AR24" s="23">
        <f>IF(AQ24="","",AQ24/AO24)</f>
        <v/>
      </c>
      <c r="AS24" s="24">
        <f>IF(OR(AQ24="",AG24=""),"",AQ24-AG24)</f>
        <v/>
      </c>
    </row>
    <row r="25">
      <c r="A25">
        <f>IF('Komisyon Tarifeleri'!A25="","",'Komisyon Tarifeleri'!A25)</f>
        <v/>
      </c>
      <c r="B25">
        <f>IF('Komisyon Tarifeleri'!B25="","",'Komisyon Tarifeleri'!B25&amp;"")</f>
        <v/>
      </c>
      <c r="C25">
        <f>IF($B25="","",'Komisyon Tarifeleri'!F25)</f>
        <v/>
      </c>
      <c r="D25" s="10">
        <f>IF($B25="","",IFERROR(VLOOKUP($B25,Maliyetler!$A:$E,3,FALSE),""))</f>
        <v/>
      </c>
      <c r="E25">
        <f>IF($B25="","",IFERROR(VLOOKUP($B25,Maliyetler!$A:$E,4,FALSE),1))</f>
        <v/>
      </c>
      <c r="F25" s="10">
        <f>IF($B25="","",IFERROR(VLOOKUP(MIN(20,MAX(1,ROUND($E25,0))),Kargo!$A:$B,2,FALSE),99.46))</f>
        <v/>
      </c>
      <c r="G25" s="10">
        <f>IF($B25="","",IF(IF(N('Komisyon Tarifeleri'!AA25)&gt;='Komisyon Tarifeleri'!I25,'Komisyon Tarifeleri'!AA25,'Komisyon Tarifeleri'!I25)="","",IF(N('Komisyon Tarifeleri'!AA25)&gt;='Komisyon Tarifeleri'!I25,'Komisyon Tarifeleri'!AA25,'Komisyon Tarifeleri'!I25)))</f>
        <v/>
      </c>
      <c r="H25" s="11">
        <f>IF(G25="","",IF($AM$1=2,'Komisyon Tarifeleri'!U25,'Komisyon Tarifeleri'!P25))</f>
        <v/>
      </c>
      <c r="I25" s="10">
        <f>IF(OR(G25="",$D25=""),"",G25*(1-H25/100)-$D25-IF(G25&lt;=199.99,Kargo!$E$2,IF(G25&lt;=399.99,Kargo!$E$3,$F25)))</f>
        <v/>
      </c>
      <c r="J25" s="12">
        <f>IF(I25="","",I25/G25)</f>
        <v/>
      </c>
      <c r="K25" s="10">
        <f>IF($B25="","",IF('Komisyon Tarifeleri'!J25="","",'Komisyon Tarifeleri'!J25))</f>
        <v/>
      </c>
      <c r="L25" s="11">
        <f>IF(K25="","",IF($AM$1=2,'Komisyon Tarifeleri'!V25,'Komisyon Tarifeleri'!Q25))</f>
        <v/>
      </c>
      <c r="M25" s="10">
        <f>IF(OR(K25="",$D25=""),"",K25*(1-L25/100)-$D25-IF(K25&lt;=199.99,Kargo!$E$2,IF(K25&lt;=399.99,Kargo!$E$3,$F25)))</f>
        <v/>
      </c>
      <c r="N25" s="12">
        <f>IF(M25="","",M25/K25)</f>
        <v/>
      </c>
      <c r="O25" s="10">
        <f>IF($B25="","",IF('Komisyon Tarifeleri'!L25="","",'Komisyon Tarifeleri'!L25))</f>
        <v/>
      </c>
      <c r="P25" s="11">
        <f>IF(O25="","",IF($AM$1=2,'Komisyon Tarifeleri'!W25,'Komisyon Tarifeleri'!R25))</f>
        <v/>
      </c>
      <c r="Q25" s="10">
        <f>IF(OR(O25="",$D25=""),"",O25*(1-P25/100)-$D25-IF(O25&lt;=199.99,Kargo!$E$2,IF(O25&lt;=399.99,Kargo!$E$3,$F25)))</f>
        <v/>
      </c>
      <c r="R25" s="12">
        <f>IF(Q25="","",Q25/O25)</f>
        <v/>
      </c>
      <c r="S25" s="10">
        <f>IF($B25="","",IF('Komisyon Tarifeleri'!N25="","",'Komisyon Tarifeleri'!N25))</f>
        <v/>
      </c>
      <c r="T25" s="11">
        <f>IF(S25="","",IF($AM$1=2,'Komisyon Tarifeleri'!X25,'Komisyon Tarifeleri'!S25))</f>
        <v/>
      </c>
      <c r="U25" s="10">
        <f>IF(OR(S25="",$D25=""),"",S25*(1-T25/100)-$D25-IF(S25&lt;=199.99,Kargo!$E$2,IF(S25&lt;=399.99,Kargo!$E$3,$F25)))</f>
        <v/>
      </c>
      <c r="V25" s="12">
        <f>IF(U25="","",U25/S25)</f>
        <v/>
      </c>
      <c r="W25" s="12">
        <f>IF($B25="","",IFERROR(VLOOKUP($C25,Hedefler!$A:$C,2,FALSE),0.04))</f>
        <v/>
      </c>
      <c r="X25" s="12">
        <f>IF($B25="","",IFERROR(VLOOKUP($C25,Hedefler!$A:$C,3,FALSE),0.1))</f>
        <v/>
      </c>
      <c r="Y25" s="13">
        <f>IF($B25="","",IFERROR(VLOOKUP($B25,Maliyetler!$A:$E,5,FALSE),""))</f>
        <v/>
      </c>
      <c r="Z25" s="13">
        <f>IF(OR(Y25="",Y25=0),"",Y25-1)</f>
        <v/>
      </c>
      <c r="AA25" s="14">
        <f>IF(Z25="","",IF(Z25&gt;='Komisyon Tarifeleri'!I25,IF($AM$1=2,'Komisyon Tarifeleri'!U25,'Komisyon Tarifeleri'!P25),IF(Z25&gt;='Komisyon Tarifeleri'!K25,IF($AM$1=2,'Komisyon Tarifeleri'!V25,'Komisyon Tarifeleri'!Q25),IF(Z25&gt;='Komisyon Tarifeleri'!M25,IF($AM$1=2,'Komisyon Tarifeleri'!W25,'Komisyon Tarifeleri'!R25),IF($AM$1=2,'Komisyon Tarifeleri'!X25,'Komisyon Tarifeleri'!S25)))))</f>
        <v/>
      </c>
      <c r="AB25" s="13">
        <f>IF(OR(AA25="",$D25=""),"",Z25*(1-AA25/100)-$D25-IF(Z25&lt;=199.99,Kargo!$E$2,IF(Z25&lt;=399.99,Kargo!$E$3,$F25)))</f>
        <v/>
      </c>
      <c r="AC25" s="15">
        <f>IF(AB25="","",AB25/Z25)</f>
        <v/>
      </c>
      <c r="AD25" s="10">
        <f>IF(OR($D25="",$B25=""),"",IF(AND((1-T25/100-W25)&gt;0,CEILING(($D25+$F25)/(1-T25/100-W25),1)&lt;='Komisyon Tarifeleri'!N25),CEILING(($D25+$F25)/(1-T25/100-W25),1),IF(AND((1-P25/100-W25)&gt;0,CEILING(MAX('Komisyon Tarifeleri'!M25,($D25+$F25)/(1-P25/100-W25)),1)&lt;='Komisyon Tarifeleri'!L25),CEILING(MAX('Komisyon Tarifeleri'!M25,($D25+$F25)/(1-P25/100-W25)),1),IF(AND((1-L25/100-W25)&gt;0,CEILING(MAX('Komisyon Tarifeleri'!K25,($D25+$F25)/(1-L25/100-W25)),1)&lt;='Komisyon Tarifeleri'!J25),CEILING(MAX('Komisyon Tarifeleri'!K25,($D25+$F25)/(1-L25/100-W25)),1),IF((1-H25/100-W25)&gt;0,CEILING(MAX('Komisyon Tarifeleri'!I25,($D25+$F25)/(1-H25/100-W25)),1),"İMKÂNSIZ")))))</f>
        <v/>
      </c>
      <c r="AE25" s="10">
        <f>IF(OR($D25="",$B25=""),"",IF(AND((1-T25/100-X25)&gt;0,CEILING(($D25+$F25)/(1-T25/100-X25),1)&lt;='Komisyon Tarifeleri'!N25),CEILING(($D25+$F25)/(1-T25/100-X25),1),IF(AND((1-P25/100-X25)&gt;0,CEILING(MAX('Komisyon Tarifeleri'!M25,($D25+$F25)/(1-P25/100-X25)),1)&lt;='Komisyon Tarifeleri'!L25),CEILING(MAX('Komisyon Tarifeleri'!M25,($D25+$F25)/(1-P25/100-X25)),1),IF(AND((1-L25/100-X25)&gt;0,CEILING(MAX('Komisyon Tarifeleri'!K25,($D25+$F25)/(1-L25/100-X25)),1)&lt;='Komisyon Tarifeleri'!J25),CEILING(MAX('Komisyon Tarifeleri'!K25,($D25+$F25)/(1-L25/100-X25)),1),IF((1-H25/100-X25)&gt;0,CEILING(MAX('Komisyon Tarifeleri'!I25,($D25+$F25)/(1-H25/100-X25)),1),"İMKÂNSIZ")))))</f>
        <v/>
      </c>
      <c r="AF25" s="16">
        <f>IF($D25="","",IF(AND(Y25&lt;&gt;"",AC25&lt;&gt;"",AC25&gt;=W25),Z25,IF(Y25&lt;&gt;"",AD25,AE25)))</f>
        <v/>
      </c>
      <c r="AG25" s="16">
        <f>IF(OR(AF25="",AF25="İMKÂNSIZ"),"",AF25*(1-IF(AF25&gt;='Komisyon Tarifeleri'!I25,IF($AM$1=2,'Komisyon Tarifeleri'!U25,'Komisyon Tarifeleri'!P25),IF(AF25&gt;='Komisyon Tarifeleri'!K25,IF($AM$1=2,'Komisyon Tarifeleri'!V25,'Komisyon Tarifeleri'!Q25),IF(AF25&gt;='Komisyon Tarifeleri'!M25,IF($AM$1=2,'Komisyon Tarifeleri'!W25,'Komisyon Tarifeleri'!R25),IF($AM$1=2,'Komisyon Tarifeleri'!X25,'Komisyon Tarifeleri'!S25))))/100)-$D25-IF(AF25&lt;=199.99,Kargo!$E$2,IF(AF25&lt;=399.99,Kargo!$E$3,$F25)))</f>
        <v/>
      </c>
      <c r="AH25" s="17">
        <f>IF(AG25="","",AG25/AF25)</f>
        <v/>
      </c>
      <c r="AI25" s="18">
        <f>IF($D25="","",IF(Y25="","BUYBOX YOK → hedef kârla min fiyat",IF(AC25&gt;=W25,"✓ BUYBOX ALTINA GİR","BUYBOX ALTI KÂRSIZ → min kârlı fiyat")))</f>
        <v/>
      </c>
      <c r="AJ25" s="10">
        <f>IF($B25="","",IFERROR(VLOOKUP($B25,Maliyetler!$A:$G,6,FALSE),""))</f>
        <v/>
      </c>
      <c r="AK25">
        <f>IF($B25="","",IFERROR(VLOOKUP($B25,Maliyetler!$A:$G,7,FALSE),""))</f>
        <v/>
      </c>
      <c r="AO25" s="21">
        <f>IF($B25="","",IFERROR(VLOOKUP($B25&amp;"",'Plus Tarifeleri'!$C:$Q,11,FALSE),""))</f>
        <v/>
      </c>
      <c r="AP25" s="22">
        <f>IF(AO25="","",IFERROR(IF($AM$1=2,VLOOKUP($B25&amp;"",'Plus Tarifeleri'!$C:$Q,15,FALSE),VLOOKUP($B25&amp;"",'Plus Tarifeleri'!$C:$Q,13,FALSE)),""))</f>
        <v/>
      </c>
      <c r="AQ25" s="21">
        <f>IF(OR(AO25="",AP25="",$D25=""),"",AO25*(1-AP25/100)-$D25-IF(AO25&lt;=199.99,Kargo!$E$2,IF(AO25&lt;=399.99,Kargo!$E$3,$F25)))</f>
        <v/>
      </c>
      <c r="AR25" s="23">
        <f>IF(AQ25="","",AQ25/AO25)</f>
        <v/>
      </c>
      <c r="AS25" s="24">
        <f>IF(OR(AQ25="",AG25=""),"",AQ25-AG25)</f>
        <v/>
      </c>
    </row>
    <row r="26">
      <c r="A26">
        <f>IF('Komisyon Tarifeleri'!A26="","",'Komisyon Tarifeleri'!A26)</f>
        <v/>
      </c>
      <c r="B26">
        <f>IF('Komisyon Tarifeleri'!B26="","",'Komisyon Tarifeleri'!B26&amp;"")</f>
        <v/>
      </c>
      <c r="C26">
        <f>IF($B26="","",'Komisyon Tarifeleri'!F26)</f>
        <v/>
      </c>
      <c r="D26" s="10">
        <f>IF($B26="","",IFERROR(VLOOKUP($B26,Maliyetler!$A:$E,3,FALSE),""))</f>
        <v/>
      </c>
      <c r="E26">
        <f>IF($B26="","",IFERROR(VLOOKUP($B26,Maliyetler!$A:$E,4,FALSE),1))</f>
        <v/>
      </c>
      <c r="F26" s="10">
        <f>IF($B26="","",IFERROR(VLOOKUP(MIN(20,MAX(1,ROUND($E26,0))),Kargo!$A:$B,2,FALSE),99.46))</f>
        <v/>
      </c>
      <c r="G26" s="10">
        <f>IF($B26="","",IF(IF(N('Komisyon Tarifeleri'!AA26)&gt;='Komisyon Tarifeleri'!I26,'Komisyon Tarifeleri'!AA26,'Komisyon Tarifeleri'!I26)="","",IF(N('Komisyon Tarifeleri'!AA26)&gt;='Komisyon Tarifeleri'!I26,'Komisyon Tarifeleri'!AA26,'Komisyon Tarifeleri'!I26)))</f>
        <v/>
      </c>
      <c r="H26" s="11">
        <f>IF(G26="","",IF($AM$1=2,'Komisyon Tarifeleri'!U26,'Komisyon Tarifeleri'!P26))</f>
        <v/>
      </c>
      <c r="I26" s="10">
        <f>IF(OR(G26="",$D26=""),"",G26*(1-H26/100)-$D26-IF(G26&lt;=199.99,Kargo!$E$2,IF(G26&lt;=399.99,Kargo!$E$3,$F26)))</f>
        <v/>
      </c>
      <c r="J26" s="12">
        <f>IF(I26="","",I26/G26)</f>
        <v/>
      </c>
      <c r="K26" s="10">
        <f>IF($B26="","",IF('Komisyon Tarifeleri'!J26="","",'Komisyon Tarifeleri'!J26))</f>
        <v/>
      </c>
      <c r="L26" s="11">
        <f>IF(K26="","",IF($AM$1=2,'Komisyon Tarifeleri'!V26,'Komisyon Tarifeleri'!Q26))</f>
        <v/>
      </c>
      <c r="M26" s="10">
        <f>IF(OR(K26="",$D26=""),"",K26*(1-L26/100)-$D26-IF(K26&lt;=199.99,Kargo!$E$2,IF(K26&lt;=399.99,Kargo!$E$3,$F26)))</f>
        <v/>
      </c>
      <c r="N26" s="12">
        <f>IF(M26="","",M26/K26)</f>
        <v/>
      </c>
      <c r="O26" s="10">
        <f>IF($B26="","",IF('Komisyon Tarifeleri'!L26="","",'Komisyon Tarifeleri'!L26))</f>
        <v/>
      </c>
      <c r="P26" s="11">
        <f>IF(O26="","",IF($AM$1=2,'Komisyon Tarifeleri'!W26,'Komisyon Tarifeleri'!R26))</f>
        <v/>
      </c>
      <c r="Q26" s="10">
        <f>IF(OR(O26="",$D26=""),"",O26*(1-P26/100)-$D26-IF(O26&lt;=199.99,Kargo!$E$2,IF(O26&lt;=399.99,Kargo!$E$3,$F26)))</f>
        <v/>
      </c>
      <c r="R26" s="12">
        <f>IF(Q26="","",Q26/O26)</f>
        <v/>
      </c>
      <c r="S26" s="10">
        <f>IF($B26="","",IF('Komisyon Tarifeleri'!N26="","",'Komisyon Tarifeleri'!N26))</f>
        <v/>
      </c>
      <c r="T26" s="11">
        <f>IF(S26="","",IF($AM$1=2,'Komisyon Tarifeleri'!X26,'Komisyon Tarifeleri'!S26))</f>
        <v/>
      </c>
      <c r="U26" s="10">
        <f>IF(OR(S26="",$D26=""),"",S26*(1-T26/100)-$D26-IF(S26&lt;=199.99,Kargo!$E$2,IF(S26&lt;=399.99,Kargo!$E$3,$F26)))</f>
        <v/>
      </c>
      <c r="V26" s="12">
        <f>IF(U26="","",U26/S26)</f>
        <v/>
      </c>
      <c r="W26" s="12">
        <f>IF($B26="","",IFERROR(VLOOKUP($C26,Hedefler!$A:$C,2,FALSE),0.04))</f>
        <v/>
      </c>
      <c r="X26" s="12">
        <f>IF($B26="","",IFERROR(VLOOKUP($C26,Hedefler!$A:$C,3,FALSE),0.1))</f>
        <v/>
      </c>
      <c r="Y26" s="13">
        <f>IF($B26="","",IFERROR(VLOOKUP($B26,Maliyetler!$A:$E,5,FALSE),""))</f>
        <v/>
      </c>
      <c r="Z26" s="13">
        <f>IF(OR(Y26="",Y26=0),"",Y26-1)</f>
        <v/>
      </c>
      <c r="AA26" s="14">
        <f>IF(Z26="","",IF(Z26&gt;='Komisyon Tarifeleri'!I26,IF($AM$1=2,'Komisyon Tarifeleri'!U26,'Komisyon Tarifeleri'!P26),IF(Z26&gt;='Komisyon Tarifeleri'!K26,IF($AM$1=2,'Komisyon Tarifeleri'!V26,'Komisyon Tarifeleri'!Q26),IF(Z26&gt;='Komisyon Tarifeleri'!M26,IF($AM$1=2,'Komisyon Tarifeleri'!W26,'Komisyon Tarifeleri'!R26),IF($AM$1=2,'Komisyon Tarifeleri'!X26,'Komisyon Tarifeleri'!S26)))))</f>
        <v/>
      </c>
      <c r="AB26" s="13">
        <f>IF(OR(AA26="",$D26=""),"",Z26*(1-AA26/100)-$D26-IF(Z26&lt;=199.99,Kargo!$E$2,IF(Z26&lt;=399.99,Kargo!$E$3,$F26)))</f>
        <v/>
      </c>
      <c r="AC26" s="15">
        <f>IF(AB26="","",AB26/Z26)</f>
        <v/>
      </c>
      <c r="AD26" s="10">
        <f>IF(OR($D26="",$B26=""),"",IF(AND((1-T26/100-W26)&gt;0,CEILING(($D26+$F26)/(1-T26/100-W26),1)&lt;='Komisyon Tarifeleri'!N26),CEILING(($D26+$F26)/(1-T26/100-W26),1),IF(AND((1-P26/100-W26)&gt;0,CEILING(MAX('Komisyon Tarifeleri'!M26,($D26+$F26)/(1-P26/100-W26)),1)&lt;='Komisyon Tarifeleri'!L26),CEILING(MAX('Komisyon Tarifeleri'!M26,($D26+$F26)/(1-P26/100-W26)),1),IF(AND((1-L26/100-W26)&gt;0,CEILING(MAX('Komisyon Tarifeleri'!K26,($D26+$F26)/(1-L26/100-W26)),1)&lt;='Komisyon Tarifeleri'!J26),CEILING(MAX('Komisyon Tarifeleri'!K26,($D26+$F26)/(1-L26/100-W26)),1),IF((1-H26/100-W26)&gt;0,CEILING(MAX('Komisyon Tarifeleri'!I26,($D26+$F26)/(1-H26/100-W26)),1),"İMKÂNSIZ")))))</f>
        <v/>
      </c>
      <c r="AE26" s="10">
        <f>IF(OR($D26="",$B26=""),"",IF(AND((1-T26/100-X26)&gt;0,CEILING(($D26+$F26)/(1-T26/100-X26),1)&lt;='Komisyon Tarifeleri'!N26),CEILING(($D26+$F26)/(1-T26/100-X26),1),IF(AND((1-P26/100-X26)&gt;0,CEILING(MAX('Komisyon Tarifeleri'!M26,($D26+$F26)/(1-P26/100-X26)),1)&lt;='Komisyon Tarifeleri'!L26),CEILING(MAX('Komisyon Tarifeleri'!M26,($D26+$F26)/(1-P26/100-X26)),1),IF(AND((1-L26/100-X26)&gt;0,CEILING(MAX('Komisyon Tarifeleri'!K26,($D26+$F26)/(1-L26/100-X26)),1)&lt;='Komisyon Tarifeleri'!J26),CEILING(MAX('Komisyon Tarifeleri'!K26,($D26+$F26)/(1-L26/100-X26)),1),IF((1-H26/100-X26)&gt;0,CEILING(MAX('Komisyon Tarifeleri'!I26,($D26+$F26)/(1-H26/100-X26)),1),"İMKÂNSIZ")))))</f>
        <v/>
      </c>
      <c r="AF26" s="16">
        <f>IF($D26="","",IF(AND(Y26&lt;&gt;"",AC26&lt;&gt;"",AC26&gt;=W26),Z26,IF(Y26&lt;&gt;"",AD26,AE26)))</f>
        <v/>
      </c>
      <c r="AG26" s="16">
        <f>IF(OR(AF26="",AF26="İMKÂNSIZ"),"",AF26*(1-IF(AF26&gt;='Komisyon Tarifeleri'!I26,IF($AM$1=2,'Komisyon Tarifeleri'!U26,'Komisyon Tarifeleri'!P26),IF(AF26&gt;='Komisyon Tarifeleri'!K26,IF($AM$1=2,'Komisyon Tarifeleri'!V26,'Komisyon Tarifeleri'!Q26),IF(AF26&gt;='Komisyon Tarifeleri'!M26,IF($AM$1=2,'Komisyon Tarifeleri'!W26,'Komisyon Tarifeleri'!R26),IF($AM$1=2,'Komisyon Tarifeleri'!X26,'Komisyon Tarifeleri'!S26))))/100)-$D26-IF(AF26&lt;=199.99,Kargo!$E$2,IF(AF26&lt;=399.99,Kargo!$E$3,$F26)))</f>
        <v/>
      </c>
      <c r="AH26" s="17">
        <f>IF(AG26="","",AG26/AF26)</f>
        <v/>
      </c>
      <c r="AI26" s="18">
        <f>IF($D26="","",IF(Y26="","BUYBOX YOK → hedef kârla min fiyat",IF(AC26&gt;=W26,"✓ BUYBOX ALTINA GİR","BUYBOX ALTI KÂRSIZ → min kârlı fiyat")))</f>
        <v/>
      </c>
      <c r="AJ26" s="10">
        <f>IF($B26="","",IFERROR(VLOOKUP($B26,Maliyetler!$A:$G,6,FALSE),""))</f>
        <v/>
      </c>
      <c r="AK26">
        <f>IF($B26="","",IFERROR(VLOOKUP($B26,Maliyetler!$A:$G,7,FALSE),""))</f>
        <v/>
      </c>
      <c r="AO26" s="21">
        <f>IF($B26="","",IFERROR(VLOOKUP($B26&amp;"",'Plus Tarifeleri'!$C:$Q,11,FALSE),""))</f>
        <v/>
      </c>
      <c r="AP26" s="22">
        <f>IF(AO26="","",IFERROR(IF($AM$1=2,VLOOKUP($B26&amp;"",'Plus Tarifeleri'!$C:$Q,15,FALSE),VLOOKUP($B26&amp;"",'Plus Tarifeleri'!$C:$Q,13,FALSE)),""))</f>
        <v/>
      </c>
      <c r="AQ26" s="21">
        <f>IF(OR(AO26="",AP26="",$D26=""),"",AO26*(1-AP26/100)-$D26-IF(AO26&lt;=199.99,Kargo!$E$2,IF(AO26&lt;=399.99,Kargo!$E$3,$F26)))</f>
        <v/>
      </c>
      <c r="AR26" s="23">
        <f>IF(AQ26="","",AQ26/AO26)</f>
        <v/>
      </c>
      <c r="AS26" s="24">
        <f>IF(OR(AQ26="",AG26=""),"",AQ26-AG26)</f>
        <v/>
      </c>
    </row>
    <row r="27">
      <c r="A27">
        <f>IF('Komisyon Tarifeleri'!A27="","",'Komisyon Tarifeleri'!A27)</f>
        <v/>
      </c>
      <c r="B27">
        <f>IF('Komisyon Tarifeleri'!B27="","",'Komisyon Tarifeleri'!B27&amp;"")</f>
        <v/>
      </c>
      <c r="C27">
        <f>IF($B27="","",'Komisyon Tarifeleri'!F27)</f>
        <v/>
      </c>
      <c r="D27" s="10">
        <f>IF($B27="","",IFERROR(VLOOKUP($B27,Maliyetler!$A:$E,3,FALSE),""))</f>
        <v/>
      </c>
      <c r="E27">
        <f>IF($B27="","",IFERROR(VLOOKUP($B27,Maliyetler!$A:$E,4,FALSE),1))</f>
        <v/>
      </c>
      <c r="F27" s="10">
        <f>IF($B27="","",IFERROR(VLOOKUP(MIN(20,MAX(1,ROUND($E27,0))),Kargo!$A:$B,2,FALSE),99.46))</f>
        <v/>
      </c>
      <c r="G27" s="10">
        <f>IF($B27="","",IF(IF(N('Komisyon Tarifeleri'!AA27)&gt;='Komisyon Tarifeleri'!I27,'Komisyon Tarifeleri'!AA27,'Komisyon Tarifeleri'!I27)="","",IF(N('Komisyon Tarifeleri'!AA27)&gt;='Komisyon Tarifeleri'!I27,'Komisyon Tarifeleri'!AA27,'Komisyon Tarifeleri'!I27)))</f>
        <v/>
      </c>
      <c r="H27" s="11">
        <f>IF(G27="","",IF($AM$1=2,'Komisyon Tarifeleri'!U27,'Komisyon Tarifeleri'!P27))</f>
        <v/>
      </c>
      <c r="I27" s="10">
        <f>IF(OR(G27="",$D27=""),"",G27*(1-H27/100)-$D27-IF(G27&lt;=199.99,Kargo!$E$2,IF(G27&lt;=399.99,Kargo!$E$3,$F27)))</f>
        <v/>
      </c>
      <c r="J27" s="12">
        <f>IF(I27="","",I27/G27)</f>
        <v/>
      </c>
      <c r="K27" s="10">
        <f>IF($B27="","",IF('Komisyon Tarifeleri'!J27="","",'Komisyon Tarifeleri'!J27))</f>
        <v/>
      </c>
      <c r="L27" s="11">
        <f>IF(K27="","",IF($AM$1=2,'Komisyon Tarifeleri'!V27,'Komisyon Tarifeleri'!Q27))</f>
        <v/>
      </c>
      <c r="M27" s="10">
        <f>IF(OR(K27="",$D27=""),"",K27*(1-L27/100)-$D27-IF(K27&lt;=199.99,Kargo!$E$2,IF(K27&lt;=399.99,Kargo!$E$3,$F27)))</f>
        <v/>
      </c>
      <c r="N27" s="12">
        <f>IF(M27="","",M27/K27)</f>
        <v/>
      </c>
      <c r="O27" s="10">
        <f>IF($B27="","",IF('Komisyon Tarifeleri'!L27="","",'Komisyon Tarifeleri'!L27))</f>
        <v/>
      </c>
      <c r="P27" s="11">
        <f>IF(O27="","",IF($AM$1=2,'Komisyon Tarifeleri'!W27,'Komisyon Tarifeleri'!R27))</f>
        <v/>
      </c>
      <c r="Q27" s="10">
        <f>IF(OR(O27="",$D27=""),"",O27*(1-P27/100)-$D27-IF(O27&lt;=199.99,Kargo!$E$2,IF(O27&lt;=399.99,Kargo!$E$3,$F27)))</f>
        <v/>
      </c>
      <c r="R27" s="12">
        <f>IF(Q27="","",Q27/O27)</f>
        <v/>
      </c>
      <c r="S27" s="10">
        <f>IF($B27="","",IF('Komisyon Tarifeleri'!N27="","",'Komisyon Tarifeleri'!N27))</f>
        <v/>
      </c>
      <c r="T27" s="11">
        <f>IF(S27="","",IF($AM$1=2,'Komisyon Tarifeleri'!X27,'Komisyon Tarifeleri'!S27))</f>
        <v/>
      </c>
      <c r="U27" s="10">
        <f>IF(OR(S27="",$D27=""),"",S27*(1-T27/100)-$D27-IF(S27&lt;=199.99,Kargo!$E$2,IF(S27&lt;=399.99,Kargo!$E$3,$F27)))</f>
        <v/>
      </c>
      <c r="V27" s="12">
        <f>IF(U27="","",U27/S27)</f>
        <v/>
      </c>
      <c r="W27" s="12">
        <f>IF($B27="","",IFERROR(VLOOKUP($C27,Hedefler!$A:$C,2,FALSE),0.04))</f>
        <v/>
      </c>
      <c r="X27" s="12">
        <f>IF($B27="","",IFERROR(VLOOKUP($C27,Hedefler!$A:$C,3,FALSE),0.1))</f>
        <v/>
      </c>
      <c r="Y27" s="13">
        <f>IF($B27="","",IFERROR(VLOOKUP($B27,Maliyetler!$A:$E,5,FALSE),""))</f>
        <v/>
      </c>
      <c r="Z27" s="13">
        <f>IF(OR(Y27="",Y27=0),"",Y27-1)</f>
        <v/>
      </c>
      <c r="AA27" s="14">
        <f>IF(Z27="","",IF(Z27&gt;='Komisyon Tarifeleri'!I27,IF($AM$1=2,'Komisyon Tarifeleri'!U27,'Komisyon Tarifeleri'!P27),IF(Z27&gt;='Komisyon Tarifeleri'!K27,IF($AM$1=2,'Komisyon Tarifeleri'!V27,'Komisyon Tarifeleri'!Q27),IF(Z27&gt;='Komisyon Tarifeleri'!M27,IF($AM$1=2,'Komisyon Tarifeleri'!W27,'Komisyon Tarifeleri'!R27),IF($AM$1=2,'Komisyon Tarifeleri'!X27,'Komisyon Tarifeleri'!S27)))))</f>
        <v/>
      </c>
      <c r="AB27" s="13">
        <f>IF(OR(AA27="",$D27=""),"",Z27*(1-AA27/100)-$D27-IF(Z27&lt;=199.99,Kargo!$E$2,IF(Z27&lt;=399.99,Kargo!$E$3,$F27)))</f>
        <v/>
      </c>
      <c r="AC27" s="15">
        <f>IF(AB27="","",AB27/Z27)</f>
        <v/>
      </c>
      <c r="AD27" s="10">
        <f>IF(OR($D27="",$B27=""),"",IF(AND((1-T27/100-W27)&gt;0,CEILING(($D27+$F27)/(1-T27/100-W27),1)&lt;='Komisyon Tarifeleri'!N27),CEILING(($D27+$F27)/(1-T27/100-W27),1),IF(AND((1-P27/100-W27)&gt;0,CEILING(MAX('Komisyon Tarifeleri'!M27,($D27+$F27)/(1-P27/100-W27)),1)&lt;='Komisyon Tarifeleri'!L27),CEILING(MAX('Komisyon Tarifeleri'!M27,($D27+$F27)/(1-P27/100-W27)),1),IF(AND((1-L27/100-W27)&gt;0,CEILING(MAX('Komisyon Tarifeleri'!K27,($D27+$F27)/(1-L27/100-W27)),1)&lt;='Komisyon Tarifeleri'!J27),CEILING(MAX('Komisyon Tarifeleri'!K27,($D27+$F27)/(1-L27/100-W27)),1),IF((1-H27/100-W27)&gt;0,CEILING(MAX('Komisyon Tarifeleri'!I27,($D27+$F27)/(1-H27/100-W27)),1),"İMKÂNSIZ")))))</f>
        <v/>
      </c>
      <c r="AE27" s="10">
        <f>IF(OR($D27="",$B27=""),"",IF(AND((1-T27/100-X27)&gt;0,CEILING(($D27+$F27)/(1-T27/100-X27),1)&lt;='Komisyon Tarifeleri'!N27),CEILING(($D27+$F27)/(1-T27/100-X27),1),IF(AND((1-P27/100-X27)&gt;0,CEILING(MAX('Komisyon Tarifeleri'!M27,($D27+$F27)/(1-P27/100-X27)),1)&lt;='Komisyon Tarifeleri'!L27),CEILING(MAX('Komisyon Tarifeleri'!M27,($D27+$F27)/(1-P27/100-X27)),1),IF(AND((1-L27/100-X27)&gt;0,CEILING(MAX('Komisyon Tarifeleri'!K27,($D27+$F27)/(1-L27/100-X27)),1)&lt;='Komisyon Tarifeleri'!J27),CEILING(MAX('Komisyon Tarifeleri'!K27,($D27+$F27)/(1-L27/100-X27)),1),IF((1-H27/100-X27)&gt;0,CEILING(MAX('Komisyon Tarifeleri'!I27,($D27+$F27)/(1-H27/100-X27)),1),"İMKÂNSIZ")))))</f>
        <v/>
      </c>
      <c r="AF27" s="16">
        <f>IF($D27="","",IF(AND(Y27&lt;&gt;"",AC27&lt;&gt;"",AC27&gt;=W27),Z27,IF(Y27&lt;&gt;"",AD27,AE27)))</f>
        <v/>
      </c>
      <c r="AG27" s="16">
        <f>IF(OR(AF27="",AF27="İMKÂNSIZ"),"",AF27*(1-IF(AF27&gt;='Komisyon Tarifeleri'!I27,IF($AM$1=2,'Komisyon Tarifeleri'!U27,'Komisyon Tarifeleri'!P27),IF(AF27&gt;='Komisyon Tarifeleri'!K27,IF($AM$1=2,'Komisyon Tarifeleri'!V27,'Komisyon Tarifeleri'!Q27),IF(AF27&gt;='Komisyon Tarifeleri'!M27,IF($AM$1=2,'Komisyon Tarifeleri'!W27,'Komisyon Tarifeleri'!R27),IF($AM$1=2,'Komisyon Tarifeleri'!X27,'Komisyon Tarifeleri'!S27))))/100)-$D27-IF(AF27&lt;=199.99,Kargo!$E$2,IF(AF27&lt;=399.99,Kargo!$E$3,$F27)))</f>
        <v/>
      </c>
      <c r="AH27" s="17">
        <f>IF(AG27="","",AG27/AF27)</f>
        <v/>
      </c>
      <c r="AI27" s="18">
        <f>IF($D27="","",IF(Y27="","BUYBOX YOK → hedef kârla min fiyat",IF(AC27&gt;=W27,"✓ BUYBOX ALTINA GİR","BUYBOX ALTI KÂRSIZ → min kârlı fiyat")))</f>
        <v/>
      </c>
      <c r="AJ27" s="10">
        <f>IF($B27="","",IFERROR(VLOOKUP($B27,Maliyetler!$A:$G,6,FALSE),""))</f>
        <v/>
      </c>
      <c r="AK27">
        <f>IF($B27="","",IFERROR(VLOOKUP($B27,Maliyetler!$A:$G,7,FALSE),""))</f>
        <v/>
      </c>
      <c r="AO27" s="21">
        <f>IF($B27="","",IFERROR(VLOOKUP($B27&amp;"",'Plus Tarifeleri'!$C:$Q,11,FALSE),""))</f>
        <v/>
      </c>
      <c r="AP27" s="22">
        <f>IF(AO27="","",IFERROR(IF($AM$1=2,VLOOKUP($B27&amp;"",'Plus Tarifeleri'!$C:$Q,15,FALSE),VLOOKUP($B27&amp;"",'Plus Tarifeleri'!$C:$Q,13,FALSE)),""))</f>
        <v/>
      </c>
      <c r="AQ27" s="21">
        <f>IF(OR(AO27="",AP27="",$D27=""),"",AO27*(1-AP27/100)-$D27-IF(AO27&lt;=199.99,Kargo!$E$2,IF(AO27&lt;=399.99,Kargo!$E$3,$F27)))</f>
        <v/>
      </c>
      <c r="AR27" s="23">
        <f>IF(AQ27="","",AQ27/AO27)</f>
        <v/>
      </c>
      <c r="AS27" s="24">
        <f>IF(OR(AQ27="",AG27=""),"",AQ27-AG27)</f>
        <v/>
      </c>
    </row>
    <row r="28">
      <c r="A28">
        <f>IF('Komisyon Tarifeleri'!A28="","",'Komisyon Tarifeleri'!A28)</f>
        <v/>
      </c>
      <c r="B28">
        <f>IF('Komisyon Tarifeleri'!B28="","",'Komisyon Tarifeleri'!B28&amp;"")</f>
        <v/>
      </c>
      <c r="C28">
        <f>IF($B28="","",'Komisyon Tarifeleri'!F28)</f>
        <v/>
      </c>
      <c r="D28" s="10">
        <f>IF($B28="","",IFERROR(VLOOKUP($B28,Maliyetler!$A:$E,3,FALSE),""))</f>
        <v/>
      </c>
      <c r="E28">
        <f>IF($B28="","",IFERROR(VLOOKUP($B28,Maliyetler!$A:$E,4,FALSE),1))</f>
        <v/>
      </c>
      <c r="F28" s="10">
        <f>IF($B28="","",IFERROR(VLOOKUP(MIN(20,MAX(1,ROUND($E28,0))),Kargo!$A:$B,2,FALSE),99.46))</f>
        <v/>
      </c>
      <c r="G28" s="10">
        <f>IF($B28="","",IF(IF(N('Komisyon Tarifeleri'!AA28)&gt;='Komisyon Tarifeleri'!I28,'Komisyon Tarifeleri'!AA28,'Komisyon Tarifeleri'!I28)="","",IF(N('Komisyon Tarifeleri'!AA28)&gt;='Komisyon Tarifeleri'!I28,'Komisyon Tarifeleri'!AA28,'Komisyon Tarifeleri'!I28)))</f>
        <v/>
      </c>
      <c r="H28" s="11">
        <f>IF(G28="","",IF($AM$1=2,'Komisyon Tarifeleri'!U28,'Komisyon Tarifeleri'!P28))</f>
        <v/>
      </c>
      <c r="I28" s="10">
        <f>IF(OR(G28="",$D28=""),"",G28*(1-H28/100)-$D28-IF(G28&lt;=199.99,Kargo!$E$2,IF(G28&lt;=399.99,Kargo!$E$3,$F28)))</f>
        <v/>
      </c>
      <c r="J28" s="12">
        <f>IF(I28="","",I28/G28)</f>
        <v/>
      </c>
      <c r="K28" s="10">
        <f>IF($B28="","",IF('Komisyon Tarifeleri'!J28="","",'Komisyon Tarifeleri'!J28))</f>
        <v/>
      </c>
      <c r="L28" s="11">
        <f>IF(K28="","",IF($AM$1=2,'Komisyon Tarifeleri'!V28,'Komisyon Tarifeleri'!Q28))</f>
        <v/>
      </c>
      <c r="M28" s="10">
        <f>IF(OR(K28="",$D28=""),"",K28*(1-L28/100)-$D28-IF(K28&lt;=199.99,Kargo!$E$2,IF(K28&lt;=399.99,Kargo!$E$3,$F28)))</f>
        <v/>
      </c>
      <c r="N28" s="12">
        <f>IF(M28="","",M28/K28)</f>
        <v/>
      </c>
      <c r="O28" s="10">
        <f>IF($B28="","",IF('Komisyon Tarifeleri'!L28="","",'Komisyon Tarifeleri'!L28))</f>
        <v/>
      </c>
      <c r="P28" s="11">
        <f>IF(O28="","",IF($AM$1=2,'Komisyon Tarifeleri'!W28,'Komisyon Tarifeleri'!R28))</f>
        <v/>
      </c>
      <c r="Q28" s="10">
        <f>IF(OR(O28="",$D28=""),"",O28*(1-P28/100)-$D28-IF(O28&lt;=199.99,Kargo!$E$2,IF(O28&lt;=399.99,Kargo!$E$3,$F28)))</f>
        <v/>
      </c>
      <c r="R28" s="12">
        <f>IF(Q28="","",Q28/O28)</f>
        <v/>
      </c>
      <c r="S28" s="10">
        <f>IF($B28="","",IF('Komisyon Tarifeleri'!N28="","",'Komisyon Tarifeleri'!N28))</f>
        <v/>
      </c>
      <c r="T28" s="11">
        <f>IF(S28="","",IF($AM$1=2,'Komisyon Tarifeleri'!X28,'Komisyon Tarifeleri'!S28))</f>
        <v/>
      </c>
      <c r="U28" s="10">
        <f>IF(OR(S28="",$D28=""),"",S28*(1-T28/100)-$D28-IF(S28&lt;=199.99,Kargo!$E$2,IF(S28&lt;=399.99,Kargo!$E$3,$F28)))</f>
        <v/>
      </c>
      <c r="V28" s="12">
        <f>IF(U28="","",U28/S28)</f>
        <v/>
      </c>
      <c r="W28" s="12">
        <f>IF($B28="","",IFERROR(VLOOKUP($C28,Hedefler!$A:$C,2,FALSE),0.04))</f>
        <v/>
      </c>
      <c r="X28" s="12">
        <f>IF($B28="","",IFERROR(VLOOKUP($C28,Hedefler!$A:$C,3,FALSE),0.1))</f>
        <v/>
      </c>
      <c r="Y28" s="13">
        <f>IF($B28="","",IFERROR(VLOOKUP($B28,Maliyetler!$A:$E,5,FALSE),""))</f>
        <v/>
      </c>
      <c r="Z28" s="13">
        <f>IF(OR(Y28="",Y28=0),"",Y28-1)</f>
        <v/>
      </c>
      <c r="AA28" s="14">
        <f>IF(Z28="","",IF(Z28&gt;='Komisyon Tarifeleri'!I28,IF($AM$1=2,'Komisyon Tarifeleri'!U28,'Komisyon Tarifeleri'!P28),IF(Z28&gt;='Komisyon Tarifeleri'!K28,IF($AM$1=2,'Komisyon Tarifeleri'!V28,'Komisyon Tarifeleri'!Q28),IF(Z28&gt;='Komisyon Tarifeleri'!M28,IF($AM$1=2,'Komisyon Tarifeleri'!W28,'Komisyon Tarifeleri'!R28),IF($AM$1=2,'Komisyon Tarifeleri'!X28,'Komisyon Tarifeleri'!S28)))))</f>
        <v/>
      </c>
      <c r="AB28" s="13">
        <f>IF(OR(AA28="",$D28=""),"",Z28*(1-AA28/100)-$D28-IF(Z28&lt;=199.99,Kargo!$E$2,IF(Z28&lt;=399.99,Kargo!$E$3,$F28)))</f>
        <v/>
      </c>
      <c r="AC28" s="15">
        <f>IF(AB28="","",AB28/Z28)</f>
        <v/>
      </c>
      <c r="AD28" s="10">
        <f>IF(OR($D28="",$B28=""),"",IF(AND((1-T28/100-W28)&gt;0,CEILING(($D28+$F28)/(1-T28/100-W28),1)&lt;='Komisyon Tarifeleri'!N28),CEILING(($D28+$F28)/(1-T28/100-W28),1),IF(AND((1-P28/100-W28)&gt;0,CEILING(MAX('Komisyon Tarifeleri'!M28,($D28+$F28)/(1-P28/100-W28)),1)&lt;='Komisyon Tarifeleri'!L28),CEILING(MAX('Komisyon Tarifeleri'!M28,($D28+$F28)/(1-P28/100-W28)),1),IF(AND((1-L28/100-W28)&gt;0,CEILING(MAX('Komisyon Tarifeleri'!K28,($D28+$F28)/(1-L28/100-W28)),1)&lt;='Komisyon Tarifeleri'!J28),CEILING(MAX('Komisyon Tarifeleri'!K28,($D28+$F28)/(1-L28/100-W28)),1),IF((1-H28/100-W28)&gt;0,CEILING(MAX('Komisyon Tarifeleri'!I28,($D28+$F28)/(1-H28/100-W28)),1),"İMKÂNSIZ")))))</f>
        <v/>
      </c>
      <c r="AE28" s="10">
        <f>IF(OR($D28="",$B28=""),"",IF(AND((1-T28/100-X28)&gt;0,CEILING(($D28+$F28)/(1-T28/100-X28),1)&lt;='Komisyon Tarifeleri'!N28),CEILING(($D28+$F28)/(1-T28/100-X28),1),IF(AND((1-P28/100-X28)&gt;0,CEILING(MAX('Komisyon Tarifeleri'!M28,($D28+$F28)/(1-P28/100-X28)),1)&lt;='Komisyon Tarifeleri'!L28),CEILING(MAX('Komisyon Tarifeleri'!M28,($D28+$F28)/(1-P28/100-X28)),1),IF(AND((1-L28/100-X28)&gt;0,CEILING(MAX('Komisyon Tarifeleri'!K28,($D28+$F28)/(1-L28/100-X28)),1)&lt;='Komisyon Tarifeleri'!J28),CEILING(MAX('Komisyon Tarifeleri'!K28,($D28+$F28)/(1-L28/100-X28)),1),IF((1-H28/100-X28)&gt;0,CEILING(MAX('Komisyon Tarifeleri'!I28,($D28+$F28)/(1-H28/100-X28)),1),"İMKÂNSIZ")))))</f>
        <v/>
      </c>
      <c r="AF28" s="16">
        <f>IF($D28="","",IF(AND(Y28&lt;&gt;"",AC28&lt;&gt;"",AC28&gt;=W28),Z28,IF(Y28&lt;&gt;"",AD28,AE28)))</f>
        <v/>
      </c>
      <c r="AG28" s="16">
        <f>IF(OR(AF28="",AF28="İMKÂNSIZ"),"",AF28*(1-IF(AF28&gt;='Komisyon Tarifeleri'!I28,IF($AM$1=2,'Komisyon Tarifeleri'!U28,'Komisyon Tarifeleri'!P28),IF(AF28&gt;='Komisyon Tarifeleri'!K28,IF($AM$1=2,'Komisyon Tarifeleri'!V28,'Komisyon Tarifeleri'!Q28),IF(AF28&gt;='Komisyon Tarifeleri'!M28,IF($AM$1=2,'Komisyon Tarifeleri'!W28,'Komisyon Tarifeleri'!R28),IF($AM$1=2,'Komisyon Tarifeleri'!X28,'Komisyon Tarifeleri'!S28))))/100)-$D28-IF(AF28&lt;=199.99,Kargo!$E$2,IF(AF28&lt;=399.99,Kargo!$E$3,$F28)))</f>
        <v/>
      </c>
      <c r="AH28" s="17">
        <f>IF(AG28="","",AG28/AF28)</f>
        <v/>
      </c>
      <c r="AI28" s="18">
        <f>IF($D28="","",IF(Y28="","BUYBOX YOK → hedef kârla min fiyat",IF(AC28&gt;=W28,"✓ BUYBOX ALTINA GİR","BUYBOX ALTI KÂRSIZ → min kârlı fiyat")))</f>
        <v/>
      </c>
      <c r="AJ28" s="10">
        <f>IF($B28="","",IFERROR(VLOOKUP($B28,Maliyetler!$A:$G,6,FALSE),""))</f>
        <v/>
      </c>
      <c r="AK28">
        <f>IF($B28="","",IFERROR(VLOOKUP($B28,Maliyetler!$A:$G,7,FALSE),""))</f>
        <v/>
      </c>
      <c r="AO28" s="21">
        <f>IF($B28="","",IFERROR(VLOOKUP($B28&amp;"",'Plus Tarifeleri'!$C:$Q,11,FALSE),""))</f>
        <v/>
      </c>
      <c r="AP28" s="22">
        <f>IF(AO28="","",IFERROR(IF($AM$1=2,VLOOKUP($B28&amp;"",'Plus Tarifeleri'!$C:$Q,15,FALSE),VLOOKUP($B28&amp;"",'Plus Tarifeleri'!$C:$Q,13,FALSE)),""))</f>
        <v/>
      </c>
      <c r="AQ28" s="21">
        <f>IF(OR(AO28="",AP28="",$D28=""),"",AO28*(1-AP28/100)-$D28-IF(AO28&lt;=199.99,Kargo!$E$2,IF(AO28&lt;=399.99,Kargo!$E$3,$F28)))</f>
        <v/>
      </c>
      <c r="AR28" s="23">
        <f>IF(AQ28="","",AQ28/AO28)</f>
        <v/>
      </c>
      <c r="AS28" s="24">
        <f>IF(OR(AQ28="",AG28=""),"",AQ28-AG28)</f>
        <v/>
      </c>
    </row>
    <row r="29">
      <c r="A29">
        <f>IF('Komisyon Tarifeleri'!A29="","",'Komisyon Tarifeleri'!A29)</f>
        <v/>
      </c>
      <c r="B29">
        <f>IF('Komisyon Tarifeleri'!B29="","",'Komisyon Tarifeleri'!B29&amp;"")</f>
        <v/>
      </c>
      <c r="C29">
        <f>IF($B29="","",'Komisyon Tarifeleri'!F29)</f>
        <v/>
      </c>
      <c r="D29" s="10">
        <f>IF($B29="","",IFERROR(VLOOKUP($B29,Maliyetler!$A:$E,3,FALSE),""))</f>
        <v/>
      </c>
      <c r="E29">
        <f>IF($B29="","",IFERROR(VLOOKUP($B29,Maliyetler!$A:$E,4,FALSE),1))</f>
        <v/>
      </c>
      <c r="F29" s="10">
        <f>IF($B29="","",IFERROR(VLOOKUP(MIN(20,MAX(1,ROUND($E29,0))),Kargo!$A:$B,2,FALSE),99.46))</f>
        <v/>
      </c>
      <c r="G29" s="10">
        <f>IF($B29="","",IF(IF(N('Komisyon Tarifeleri'!AA29)&gt;='Komisyon Tarifeleri'!I29,'Komisyon Tarifeleri'!AA29,'Komisyon Tarifeleri'!I29)="","",IF(N('Komisyon Tarifeleri'!AA29)&gt;='Komisyon Tarifeleri'!I29,'Komisyon Tarifeleri'!AA29,'Komisyon Tarifeleri'!I29)))</f>
        <v/>
      </c>
      <c r="H29" s="11">
        <f>IF(G29="","",IF($AM$1=2,'Komisyon Tarifeleri'!U29,'Komisyon Tarifeleri'!P29))</f>
        <v/>
      </c>
      <c r="I29" s="10">
        <f>IF(OR(G29="",$D29=""),"",G29*(1-H29/100)-$D29-IF(G29&lt;=199.99,Kargo!$E$2,IF(G29&lt;=399.99,Kargo!$E$3,$F29)))</f>
        <v/>
      </c>
      <c r="J29" s="12">
        <f>IF(I29="","",I29/G29)</f>
        <v/>
      </c>
      <c r="K29" s="10">
        <f>IF($B29="","",IF('Komisyon Tarifeleri'!J29="","",'Komisyon Tarifeleri'!J29))</f>
        <v/>
      </c>
      <c r="L29" s="11">
        <f>IF(K29="","",IF($AM$1=2,'Komisyon Tarifeleri'!V29,'Komisyon Tarifeleri'!Q29))</f>
        <v/>
      </c>
      <c r="M29" s="10">
        <f>IF(OR(K29="",$D29=""),"",K29*(1-L29/100)-$D29-IF(K29&lt;=199.99,Kargo!$E$2,IF(K29&lt;=399.99,Kargo!$E$3,$F29)))</f>
        <v/>
      </c>
      <c r="N29" s="12">
        <f>IF(M29="","",M29/K29)</f>
        <v/>
      </c>
      <c r="O29" s="10">
        <f>IF($B29="","",IF('Komisyon Tarifeleri'!L29="","",'Komisyon Tarifeleri'!L29))</f>
        <v/>
      </c>
      <c r="P29" s="11">
        <f>IF(O29="","",IF($AM$1=2,'Komisyon Tarifeleri'!W29,'Komisyon Tarifeleri'!R29))</f>
        <v/>
      </c>
      <c r="Q29" s="10">
        <f>IF(OR(O29="",$D29=""),"",O29*(1-P29/100)-$D29-IF(O29&lt;=199.99,Kargo!$E$2,IF(O29&lt;=399.99,Kargo!$E$3,$F29)))</f>
        <v/>
      </c>
      <c r="R29" s="12">
        <f>IF(Q29="","",Q29/O29)</f>
        <v/>
      </c>
      <c r="S29" s="10">
        <f>IF($B29="","",IF('Komisyon Tarifeleri'!N29="","",'Komisyon Tarifeleri'!N29))</f>
        <v/>
      </c>
      <c r="T29" s="11">
        <f>IF(S29="","",IF($AM$1=2,'Komisyon Tarifeleri'!X29,'Komisyon Tarifeleri'!S29))</f>
        <v/>
      </c>
      <c r="U29" s="10">
        <f>IF(OR(S29="",$D29=""),"",S29*(1-T29/100)-$D29-IF(S29&lt;=199.99,Kargo!$E$2,IF(S29&lt;=399.99,Kargo!$E$3,$F29)))</f>
        <v/>
      </c>
      <c r="V29" s="12">
        <f>IF(U29="","",U29/S29)</f>
        <v/>
      </c>
      <c r="W29" s="12">
        <f>IF($B29="","",IFERROR(VLOOKUP($C29,Hedefler!$A:$C,2,FALSE),0.04))</f>
        <v/>
      </c>
      <c r="X29" s="12">
        <f>IF($B29="","",IFERROR(VLOOKUP($C29,Hedefler!$A:$C,3,FALSE),0.1))</f>
        <v/>
      </c>
      <c r="Y29" s="13">
        <f>IF($B29="","",IFERROR(VLOOKUP($B29,Maliyetler!$A:$E,5,FALSE),""))</f>
        <v/>
      </c>
      <c r="Z29" s="13">
        <f>IF(OR(Y29="",Y29=0),"",Y29-1)</f>
        <v/>
      </c>
      <c r="AA29" s="14">
        <f>IF(Z29="","",IF(Z29&gt;='Komisyon Tarifeleri'!I29,IF($AM$1=2,'Komisyon Tarifeleri'!U29,'Komisyon Tarifeleri'!P29),IF(Z29&gt;='Komisyon Tarifeleri'!K29,IF($AM$1=2,'Komisyon Tarifeleri'!V29,'Komisyon Tarifeleri'!Q29),IF(Z29&gt;='Komisyon Tarifeleri'!M29,IF($AM$1=2,'Komisyon Tarifeleri'!W29,'Komisyon Tarifeleri'!R29),IF($AM$1=2,'Komisyon Tarifeleri'!X29,'Komisyon Tarifeleri'!S29)))))</f>
        <v/>
      </c>
      <c r="AB29" s="13">
        <f>IF(OR(AA29="",$D29=""),"",Z29*(1-AA29/100)-$D29-IF(Z29&lt;=199.99,Kargo!$E$2,IF(Z29&lt;=399.99,Kargo!$E$3,$F29)))</f>
        <v/>
      </c>
      <c r="AC29" s="15">
        <f>IF(AB29="","",AB29/Z29)</f>
        <v/>
      </c>
      <c r="AD29" s="10">
        <f>IF(OR($D29="",$B29=""),"",IF(AND((1-T29/100-W29)&gt;0,CEILING(($D29+$F29)/(1-T29/100-W29),1)&lt;='Komisyon Tarifeleri'!N29),CEILING(($D29+$F29)/(1-T29/100-W29),1),IF(AND((1-P29/100-W29)&gt;0,CEILING(MAX('Komisyon Tarifeleri'!M29,($D29+$F29)/(1-P29/100-W29)),1)&lt;='Komisyon Tarifeleri'!L29),CEILING(MAX('Komisyon Tarifeleri'!M29,($D29+$F29)/(1-P29/100-W29)),1),IF(AND((1-L29/100-W29)&gt;0,CEILING(MAX('Komisyon Tarifeleri'!K29,($D29+$F29)/(1-L29/100-W29)),1)&lt;='Komisyon Tarifeleri'!J29),CEILING(MAX('Komisyon Tarifeleri'!K29,($D29+$F29)/(1-L29/100-W29)),1),IF((1-H29/100-W29)&gt;0,CEILING(MAX('Komisyon Tarifeleri'!I29,($D29+$F29)/(1-H29/100-W29)),1),"İMKÂNSIZ")))))</f>
        <v/>
      </c>
      <c r="AE29" s="10">
        <f>IF(OR($D29="",$B29=""),"",IF(AND((1-T29/100-X29)&gt;0,CEILING(($D29+$F29)/(1-T29/100-X29),1)&lt;='Komisyon Tarifeleri'!N29),CEILING(($D29+$F29)/(1-T29/100-X29),1),IF(AND((1-P29/100-X29)&gt;0,CEILING(MAX('Komisyon Tarifeleri'!M29,($D29+$F29)/(1-P29/100-X29)),1)&lt;='Komisyon Tarifeleri'!L29),CEILING(MAX('Komisyon Tarifeleri'!M29,($D29+$F29)/(1-P29/100-X29)),1),IF(AND((1-L29/100-X29)&gt;0,CEILING(MAX('Komisyon Tarifeleri'!K29,($D29+$F29)/(1-L29/100-X29)),1)&lt;='Komisyon Tarifeleri'!J29),CEILING(MAX('Komisyon Tarifeleri'!K29,($D29+$F29)/(1-L29/100-X29)),1),IF((1-H29/100-X29)&gt;0,CEILING(MAX('Komisyon Tarifeleri'!I29,($D29+$F29)/(1-H29/100-X29)),1),"İMKÂNSIZ")))))</f>
        <v/>
      </c>
      <c r="AF29" s="16">
        <f>IF($D29="","",IF(AND(Y29&lt;&gt;"",AC29&lt;&gt;"",AC29&gt;=W29),Z29,IF(Y29&lt;&gt;"",AD29,AE29)))</f>
        <v/>
      </c>
      <c r="AG29" s="16">
        <f>IF(OR(AF29="",AF29="İMKÂNSIZ"),"",AF29*(1-IF(AF29&gt;='Komisyon Tarifeleri'!I29,IF($AM$1=2,'Komisyon Tarifeleri'!U29,'Komisyon Tarifeleri'!P29),IF(AF29&gt;='Komisyon Tarifeleri'!K29,IF($AM$1=2,'Komisyon Tarifeleri'!V29,'Komisyon Tarifeleri'!Q29),IF(AF29&gt;='Komisyon Tarifeleri'!M29,IF($AM$1=2,'Komisyon Tarifeleri'!W29,'Komisyon Tarifeleri'!R29),IF($AM$1=2,'Komisyon Tarifeleri'!X29,'Komisyon Tarifeleri'!S29))))/100)-$D29-IF(AF29&lt;=199.99,Kargo!$E$2,IF(AF29&lt;=399.99,Kargo!$E$3,$F29)))</f>
        <v/>
      </c>
      <c r="AH29" s="17">
        <f>IF(AG29="","",AG29/AF29)</f>
        <v/>
      </c>
      <c r="AI29" s="18">
        <f>IF($D29="","",IF(Y29="","BUYBOX YOK → hedef kârla min fiyat",IF(AC29&gt;=W29,"✓ BUYBOX ALTINA GİR","BUYBOX ALTI KÂRSIZ → min kârlı fiyat")))</f>
        <v/>
      </c>
      <c r="AJ29" s="10">
        <f>IF($B29="","",IFERROR(VLOOKUP($B29,Maliyetler!$A:$G,6,FALSE),""))</f>
        <v/>
      </c>
      <c r="AK29">
        <f>IF($B29="","",IFERROR(VLOOKUP($B29,Maliyetler!$A:$G,7,FALSE),""))</f>
        <v/>
      </c>
      <c r="AO29" s="21">
        <f>IF($B29="","",IFERROR(VLOOKUP($B29&amp;"",'Plus Tarifeleri'!$C:$Q,11,FALSE),""))</f>
        <v/>
      </c>
      <c r="AP29" s="22">
        <f>IF(AO29="","",IFERROR(IF($AM$1=2,VLOOKUP($B29&amp;"",'Plus Tarifeleri'!$C:$Q,15,FALSE),VLOOKUP($B29&amp;"",'Plus Tarifeleri'!$C:$Q,13,FALSE)),""))</f>
        <v/>
      </c>
      <c r="AQ29" s="21">
        <f>IF(OR(AO29="",AP29="",$D29=""),"",AO29*(1-AP29/100)-$D29-IF(AO29&lt;=199.99,Kargo!$E$2,IF(AO29&lt;=399.99,Kargo!$E$3,$F29)))</f>
        <v/>
      </c>
      <c r="AR29" s="23">
        <f>IF(AQ29="","",AQ29/AO29)</f>
        <v/>
      </c>
      <c r="AS29" s="24">
        <f>IF(OR(AQ29="",AG29=""),"",AQ29-AG29)</f>
        <v/>
      </c>
    </row>
    <row r="30">
      <c r="A30">
        <f>IF('Komisyon Tarifeleri'!A30="","",'Komisyon Tarifeleri'!A30)</f>
        <v/>
      </c>
      <c r="B30">
        <f>IF('Komisyon Tarifeleri'!B30="","",'Komisyon Tarifeleri'!B30&amp;"")</f>
        <v/>
      </c>
      <c r="C30">
        <f>IF($B30="","",'Komisyon Tarifeleri'!F30)</f>
        <v/>
      </c>
      <c r="D30" s="10">
        <f>IF($B30="","",IFERROR(VLOOKUP($B30,Maliyetler!$A:$E,3,FALSE),""))</f>
        <v/>
      </c>
      <c r="E30">
        <f>IF($B30="","",IFERROR(VLOOKUP($B30,Maliyetler!$A:$E,4,FALSE),1))</f>
        <v/>
      </c>
      <c r="F30" s="10">
        <f>IF($B30="","",IFERROR(VLOOKUP(MIN(20,MAX(1,ROUND($E30,0))),Kargo!$A:$B,2,FALSE),99.46))</f>
        <v/>
      </c>
      <c r="G30" s="10">
        <f>IF($B30="","",IF(IF(N('Komisyon Tarifeleri'!AA30)&gt;='Komisyon Tarifeleri'!I30,'Komisyon Tarifeleri'!AA30,'Komisyon Tarifeleri'!I30)="","",IF(N('Komisyon Tarifeleri'!AA30)&gt;='Komisyon Tarifeleri'!I30,'Komisyon Tarifeleri'!AA30,'Komisyon Tarifeleri'!I30)))</f>
        <v/>
      </c>
      <c r="H30" s="11">
        <f>IF(G30="","",IF($AM$1=2,'Komisyon Tarifeleri'!U30,'Komisyon Tarifeleri'!P30))</f>
        <v/>
      </c>
      <c r="I30" s="10">
        <f>IF(OR(G30="",$D30=""),"",G30*(1-H30/100)-$D30-IF(G30&lt;=199.99,Kargo!$E$2,IF(G30&lt;=399.99,Kargo!$E$3,$F30)))</f>
        <v/>
      </c>
      <c r="J30" s="12">
        <f>IF(I30="","",I30/G30)</f>
        <v/>
      </c>
      <c r="K30" s="10">
        <f>IF($B30="","",IF('Komisyon Tarifeleri'!J30="","",'Komisyon Tarifeleri'!J30))</f>
        <v/>
      </c>
      <c r="L30" s="11">
        <f>IF(K30="","",IF($AM$1=2,'Komisyon Tarifeleri'!V30,'Komisyon Tarifeleri'!Q30))</f>
        <v/>
      </c>
      <c r="M30" s="10">
        <f>IF(OR(K30="",$D30=""),"",K30*(1-L30/100)-$D30-IF(K30&lt;=199.99,Kargo!$E$2,IF(K30&lt;=399.99,Kargo!$E$3,$F30)))</f>
        <v/>
      </c>
      <c r="N30" s="12">
        <f>IF(M30="","",M30/K30)</f>
        <v/>
      </c>
      <c r="O30" s="10">
        <f>IF($B30="","",IF('Komisyon Tarifeleri'!L30="","",'Komisyon Tarifeleri'!L30))</f>
        <v/>
      </c>
      <c r="P30" s="11">
        <f>IF(O30="","",IF($AM$1=2,'Komisyon Tarifeleri'!W30,'Komisyon Tarifeleri'!R30))</f>
        <v/>
      </c>
      <c r="Q30" s="10">
        <f>IF(OR(O30="",$D30=""),"",O30*(1-P30/100)-$D30-IF(O30&lt;=199.99,Kargo!$E$2,IF(O30&lt;=399.99,Kargo!$E$3,$F30)))</f>
        <v/>
      </c>
      <c r="R30" s="12">
        <f>IF(Q30="","",Q30/O30)</f>
        <v/>
      </c>
      <c r="S30" s="10">
        <f>IF($B30="","",IF('Komisyon Tarifeleri'!N30="","",'Komisyon Tarifeleri'!N30))</f>
        <v/>
      </c>
      <c r="T30" s="11">
        <f>IF(S30="","",IF($AM$1=2,'Komisyon Tarifeleri'!X30,'Komisyon Tarifeleri'!S30))</f>
        <v/>
      </c>
      <c r="U30" s="10">
        <f>IF(OR(S30="",$D30=""),"",S30*(1-T30/100)-$D30-IF(S30&lt;=199.99,Kargo!$E$2,IF(S30&lt;=399.99,Kargo!$E$3,$F30)))</f>
        <v/>
      </c>
      <c r="V30" s="12">
        <f>IF(U30="","",U30/S30)</f>
        <v/>
      </c>
      <c r="W30" s="12">
        <f>IF($B30="","",IFERROR(VLOOKUP($C30,Hedefler!$A:$C,2,FALSE),0.04))</f>
        <v/>
      </c>
      <c r="X30" s="12">
        <f>IF($B30="","",IFERROR(VLOOKUP($C30,Hedefler!$A:$C,3,FALSE),0.1))</f>
        <v/>
      </c>
      <c r="Y30" s="13">
        <f>IF($B30="","",IFERROR(VLOOKUP($B30,Maliyetler!$A:$E,5,FALSE),""))</f>
        <v/>
      </c>
      <c r="Z30" s="13">
        <f>IF(OR(Y30="",Y30=0),"",Y30-1)</f>
        <v/>
      </c>
      <c r="AA30" s="14">
        <f>IF(Z30="","",IF(Z30&gt;='Komisyon Tarifeleri'!I30,IF($AM$1=2,'Komisyon Tarifeleri'!U30,'Komisyon Tarifeleri'!P30),IF(Z30&gt;='Komisyon Tarifeleri'!K30,IF($AM$1=2,'Komisyon Tarifeleri'!V30,'Komisyon Tarifeleri'!Q30),IF(Z30&gt;='Komisyon Tarifeleri'!M30,IF($AM$1=2,'Komisyon Tarifeleri'!W30,'Komisyon Tarifeleri'!R30),IF($AM$1=2,'Komisyon Tarifeleri'!X30,'Komisyon Tarifeleri'!S30)))))</f>
        <v/>
      </c>
      <c r="AB30" s="13">
        <f>IF(OR(AA30="",$D30=""),"",Z30*(1-AA30/100)-$D30-IF(Z30&lt;=199.99,Kargo!$E$2,IF(Z30&lt;=399.99,Kargo!$E$3,$F30)))</f>
        <v/>
      </c>
      <c r="AC30" s="15">
        <f>IF(AB30="","",AB30/Z30)</f>
        <v/>
      </c>
      <c r="AD30" s="10">
        <f>IF(OR($D30="",$B30=""),"",IF(AND((1-T30/100-W30)&gt;0,CEILING(($D30+$F30)/(1-T30/100-W30),1)&lt;='Komisyon Tarifeleri'!N30),CEILING(($D30+$F30)/(1-T30/100-W30),1),IF(AND((1-P30/100-W30)&gt;0,CEILING(MAX('Komisyon Tarifeleri'!M30,($D30+$F30)/(1-P30/100-W30)),1)&lt;='Komisyon Tarifeleri'!L30),CEILING(MAX('Komisyon Tarifeleri'!M30,($D30+$F30)/(1-P30/100-W30)),1),IF(AND((1-L30/100-W30)&gt;0,CEILING(MAX('Komisyon Tarifeleri'!K30,($D30+$F30)/(1-L30/100-W30)),1)&lt;='Komisyon Tarifeleri'!J30),CEILING(MAX('Komisyon Tarifeleri'!K30,($D30+$F30)/(1-L30/100-W30)),1),IF((1-H30/100-W30)&gt;0,CEILING(MAX('Komisyon Tarifeleri'!I30,($D30+$F30)/(1-H30/100-W30)),1),"İMKÂNSIZ")))))</f>
        <v/>
      </c>
      <c r="AE30" s="10">
        <f>IF(OR($D30="",$B30=""),"",IF(AND((1-T30/100-X30)&gt;0,CEILING(($D30+$F30)/(1-T30/100-X30),1)&lt;='Komisyon Tarifeleri'!N30),CEILING(($D30+$F30)/(1-T30/100-X30),1),IF(AND((1-P30/100-X30)&gt;0,CEILING(MAX('Komisyon Tarifeleri'!M30,($D30+$F30)/(1-P30/100-X30)),1)&lt;='Komisyon Tarifeleri'!L30),CEILING(MAX('Komisyon Tarifeleri'!M30,($D30+$F30)/(1-P30/100-X30)),1),IF(AND((1-L30/100-X30)&gt;0,CEILING(MAX('Komisyon Tarifeleri'!K30,($D30+$F30)/(1-L30/100-X30)),1)&lt;='Komisyon Tarifeleri'!J30),CEILING(MAX('Komisyon Tarifeleri'!K30,($D30+$F30)/(1-L30/100-X30)),1),IF((1-H30/100-X30)&gt;0,CEILING(MAX('Komisyon Tarifeleri'!I30,($D30+$F30)/(1-H30/100-X30)),1),"İMKÂNSIZ")))))</f>
        <v/>
      </c>
      <c r="AF30" s="16">
        <f>IF($D30="","",IF(AND(Y30&lt;&gt;"",AC30&lt;&gt;"",AC30&gt;=W30),Z30,IF(Y30&lt;&gt;"",AD30,AE30)))</f>
        <v/>
      </c>
      <c r="AG30" s="16">
        <f>IF(OR(AF30="",AF30="İMKÂNSIZ"),"",AF30*(1-IF(AF30&gt;='Komisyon Tarifeleri'!I30,IF($AM$1=2,'Komisyon Tarifeleri'!U30,'Komisyon Tarifeleri'!P30),IF(AF30&gt;='Komisyon Tarifeleri'!K30,IF($AM$1=2,'Komisyon Tarifeleri'!V30,'Komisyon Tarifeleri'!Q30),IF(AF30&gt;='Komisyon Tarifeleri'!M30,IF($AM$1=2,'Komisyon Tarifeleri'!W30,'Komisyon Tarifeleri'!R30),IF($AM$1=2,'Komisyon Tarifeleri'!X30,'Komisyon Tarifeleri'!S30))))/100)-$D30-IF(AF30&lt;=199.99,Kargo!$E$2,IF(AF30&lt;=399.99,Kargo!$E$3,$F30)))</f>
        <v/>
      </c>
      <c r="AH30" s="17">
        <f>IF(AG30="","",AG30/AF30)</f>
        <v/>
      </c>
      <c r="AI30" s="18">
        <f>IF($D30="","",IF(Y30="","BUYBOX YOK → hedef kârla min fiyat",IF(AC30&gt;=W30,"✓ BUYBOX ALTINA GİR","BUYBOX ALTI KÂRSIZ → min kârlı fiyat")))</f>
        <v/>
      </c>
      <c r="AJ30" s="10">
        <f>IF($B30="","",IFERROR(VLOOKUP($B30,Maliyetler!$A:$G,6,FALSE),""))</f>
        <v/>
      </c>
      <c r="AK30">
        <f>IF($B30="","",IFERROR(VLOOKUP($B30,Maliyetler!$A:$G,7,FALSE),""))</f>
        <v/>
      </c>
      <c r="AO30" s="21">
        <f>IF($B30="","",IFERROR(VLOOKUP($B30&amp;"",'Plus Tarifeleri'!$C:$Q,11,FALSE),""))</f>
        <v/>
      </c>
      <c r="AP30" s="22">
        <f>IF(AO30="","",IFERROR(IF($AM$1=2,VLOOKUP($B30&amp;"",'Plus Tarifeleri'!$C:$Q,15,FALSE),VLOOKUP($B30&amp;"",'Plus Tarifeleri'!$C:$Q,13,FALSE)),""))</f>
        <v/>
      </c>
      <c r="AQ30" s="21">
        <f>IF(OR(AO30="",AP30="",$D30=""),"",AO30*(1-AP30/100)-$D30-IF(AO30&lt;=199.99,Kargo!$E$2,IF(AO30&lt;=399.99,Kargo!$E$3,$F30)))</f>
        <v/>
      </c>
      <c r="AR30" s="23">
        <f>IF(AQ30="","",AQ30/AO30)</f>
        <v/>
      </c>
      <c r="AS30" s="24">
        <f>IF(OR(AQ30="",AG30=""),"",AQ30-AG30)</f>
        <v/>
      </c>
    </row>
    <row r="31">
      <c r="A31">
        <f>IF('Komisyon Tarifeleri'!A31="","",'Komisyon Tarifeleri'!A31)</f>
        <v/>
      </c>
      <c r="B31">
        <f>IF('Komisyon Tarifeleri'!B31="","",'Komisyon Tarifeleri'!B31&amp;"")</f>
        <v/>
      </c>
      <c r="C31">
        <f>IF($B31="","",'Komisyon Tarifeleri'!F31)</f>
        <v/>
      </c>
      <c r="D31" s="10">
        <f>IF($B31="","",IFERROR(VLOOKUP($B31,Maliyetler!$A:$E,3,FALSE),""))</f>
        <v/>
      </c>
      <c r="E31">
        <f>IF($B31="","",IFERROR(VLOOKUP($B31,Maliyetler!$A:$E,4,FALSE),1))</f>
        <v/>
      </c>
      <c r="F31" s="10">
        <f>IF($B31="","",IFERROR(VLOOKUP(MIN(20,MAX(1,ROUND($E31,0))),Kargo!$A:$B,2,FALSE),99.46))</f>
        <v/>
      </c>
      <c r="G31" s="10">
        <f>IF($B31="","",IF(IF(N('Komisyon Tarifeleri'!AA31)&gt;='Komisyon Tarifeleri'!I31,'Komisyon Tarifeleri'!AA31,'Komisyon Tarifeleri'!I31)="","",IF(N('Komisyon Tarifeleri'!AA31)&gt;='Komisyon Tarifeleri'!I31,'Komisyon Tarifeleri'!AA31,'Komisyon Tarifeleri'!I31)))</f>
        <v/>
      </c>
      <c r="H31" s="11">
        <f>IF(G31="","",IF($AM$1=2,'Komisyon Tarifeleri'!U31,'Komisyon Tarifeleri'!P31))</f>
        <v/>
      </c>
      <c r="I31" s="10">
        <f>IF(OR(G31="",$D31=""),"",G31*(1-H31/100)-$D31-IF(G31&lt;=199.99,Kargo!$E$2,IF(G31&lt;=399.99,Kargo!$E$3,$F31)))</f>
        <v/>
      </c>
      <c r="J31" s="12">
        <f>IF(I31="","",I31/G31)</f>
        <v/>
      </c>
      <c r="K31" s="10">
        <f>IF($B31="","",IF('Komisyon Tarifeleri'!J31="","",'Komisyon Tarifeleri'!J31))</f>
        <v/>
      </c>
      <c r="L31" s="11">
        <f>IF(K31="","",IF($AM$1=2,'Komisyon Tarifeleri'!V31,'Komisyon Tarifeleri'!Q31))</f>
        <v/>
      </c>
      <c r="M31" s="10">
        <f>IF(OR(K31="",$D31=""),"",K31*(1-L31/100)-$D31-IF(K31&lt;=199.99,Kargo!$E$2,IF(K31&lt;=399.99,Kargo!$E$3,$F31)))</f>
        <v/>
      </c>
      <c r="N31" s="12">
        <f>IF(M31="","",M31/K31)</f>
        <v/>
      </c>
      <c r="O31" s="10">
        <f>IF($B31="","",IF('Komisyon Tarifeleri'!L31="","",'Komisyon Tarifeleri'!L31))</f>
        <v/>
      </c>
      <c r="P31" s="11">
        <f>IF(O31="","",IF($AM$1=2,'Komisyon Tarifeleri'!W31,'Komisyon Tarifeleri'!R31))</f>
        <v/>
      </c>
      <c r="Q31" s="10">
        <f>IF(OR(O31="",$D31=""),"",O31*(1-P31/100)-$D31-IF(O31&lt;=199.99,Kargo!$E$2,IF(O31&lt;=399.99,Kargo!$E$3,$F31)))</f>
        <v/>
      </c>
      <c r="R31" s="12">
        <f>IF(Q31="","",Q31/O31)</f>
        <v/>
      </c>
      <c r="S31" s="10">
        <f>IF($B31="","",IF('Komisyon Tarifeleri'!N31="","",'Komisyon Tarifeleri'!N31))</f>
        <v/>
      </c>
      <c r="T31" s="11">
        <f>IF(S31="","",IF($AM$1=2,'Komisyon Tarifeleri'!X31,'Komisyon Tarifeleri'!S31))</f>
        <v/>
      </c>
      <c r="U31" s="10">
        <f>IF(OR(S31="",$D31=""),"",S31*(1-T31/100)-$D31-IF(S31&lt;=199.99,Kargo!$E$2,IF(S31&lt;=399.99,Kargo!$E$3,$F31)))</f>
        <v/>
      </c>
      <c r="V31" s="12">
        <f>IF(U31="","",U31/S31)</f>
        <v/>
      </c>
      <c r="W31" s="12">
        <f>IF($B31="","",IFERROR(VLOOKUP($C31,Hedefler!$A:$C,2,FALSE),0.04))</f>
        <v/>
      </c>
      <c r="X31" s="12">
        <f>IF($B31="","",IFERROR(VLOOKUP($C31,Hedefler!$A:$C,3,FALSE),0.1))</f>
        <v/>
      </c>
      <c r="Y31" s="13">
        <f>IF($B31="","",IFERROR(VLOOKUP($B31,Maliyetler!$A:$E,5,FALSE),""))</f>
        <v/>
      </c>
      <c r="Z31" s="13">
        <f>IF(OR(Y31="",Y31=0),"",Y31-1)</f>
        <v/>
      </c>
      <c r="AA31" s="14">
        <f>IF(Z31="","",IF(Z31&gt;='Komisyon Tarifeleri'!I31,IF($AM$1=2,'Komisyon Tarifeleri'!U31,'Komisyon Tarifeleri'!P31),IF(Z31&gt;='Komisyon Tarifeleri'!K31,IF($AM$1=2,'Komisyon Tarifeleri'!V31,'Komisyon Tarifeleri'!Q31),IF(Z31&gt;='Komisyon Tarifeleri'!M31,IF($AM$1=2,'Komisyon Tarifeleri'!W31,'Komisyon Tarifeleri'!R31),IF($AM$1=2,'Komisyon Tarifeleri'!X31,'Komisyon Tarifeleri'!S31)))))</f>
        <v/>
      </c>
      <c r="AB31" s="13">
        <f>IF(OR(AA31="",$D31=""),"",Z31*(1-AA31/100)-$D31-IF(Z31&lt;=199.99,Kargo!$E$2,IF(Z31&lt;=399.99,Kargo!$E$3,$F31)))</f>
        <v/>
      </c>
      <c r="AC31" s="15">
        <f>IF(AB31="","",AB31/Z31)</f>
        <v/>
      </c>
      <c r="AD31" s="10">
        <f>IF(OR($D31="",$B31=""),"",IF(AND((1-T31/100-W31)&gt;0,CEILING(($D31+$F31)/(1-T31/100-W31),1)&lt;='Komisyon Tarifeleri'!N31),CEILING(($D31+$F31)/(1-T31/100-W31),1),IF(AND((1-P31/100-W31)&gt;0,CEILING(MAX('Komisyon Tarifeleri'!M31,($D31+$F31)/(1-P31/100-W31)),1)&lt;='Komisyon Tarifeleri'!L31),CEILING(MAX('Komisyon Tarifeleri'!M31,($D31+$F31)/(1-P31/100-W31)),1),IF(AND((1-L31/100-W31)&gt;0,CEILING(MAX('Komisyon Tarifeleri'!K31,($D31+$F31)/(1-L31/100-W31)),1)&lt;='Komisyon Tarifeleri'!J31),CEILING(MAX('Komisyon Tarifeleri'!K31,($D31+$F31)/(1-L31/100-W31)),1),IF((1-H31/100-W31)&gt;0,CEILING(MAX('Komisyon Tarifeleri'!I31,($D31+$F31)/(1-H31/100-W31)),1),"İMKÂNSIZ")))))</f>
        <v/>
      </c>
      <c r="AE31" s="10">
        <f>IF(OR($D31="",$B31=""),"",IF(AND((1-T31/100-X31)&gt;0,CEILING(($D31+$F31)/(1-T31/100-X31),1)&lt;='Komisyon Tarifeleri'!N31),CEILING(($D31+$F31)/(1-T31/100-X31),1),IF(AND((1-P31/100-X31)&gt;0,CEILING(MAX('Komisyon Tarifeleri'!M31,($D31+$F31)/(1-P31/100-X31)),1)&lt;='Komisyon Tarifeleri'!L31),CEILING(MAX('Komisyon Tarifeleri'!M31,($D31+$F31)/(1-P31/100-X31)),1),IF(AND((1-L31/100-X31)&gt;0,CEILING(MAX('Komisyon Tarifeleri'!K31,($D31+$F31)/(1-L31/100-X31)),1)&lt;='Komisyon Tarifeleri'!J31),CEILING(MAX('Komisyon Tarifeleri'!K31,($D31+$F31)/(1-L31/100-X31)),1),IF((1-H31/100-X31)&gt;0,CEILING(MAX('Komisyon Tarifeleri'!I31,($D31+$F31)/(1-H31/100-X31)),1),"İMKÂNSIZ")))))</f>
        <v/>
      </c>
      <c r="AF31" s="16">
        <f>IF($D31="","",IF(AND(Y31&lt;&gt;"",AC31&lt;&gt;"",AC31&gt;=W31),Z31,IF(Y31&lt;&gt;"",AD31,AE31)))</f>
        <v/>
      </c>
      <c r="AG31" s="16">
        <f>IF(OR(AF31="",AF31="İMKÂNSIZ"),"",AF31*(1-IF(AF31&gt;='Komisyon Tarifeleri'!I31,IF($AM$1=2,'Komisyon Tarifeleri'!U31,'Komisyon Tarifeleri'!P31),IF(AF31&gt;='Komisyon Tarifeleri'!K31,IF($AM$1=2,'Komisyon Tarifeleri'!V31,'Komisyon Tarifeleri'!Q31),IF(AF31&gt;='Komisyon Tarifeleri'!M31,IF($AM$1=2,'Komisyon Tarifeleri'!W31,'Komisyon Tarifeleri'!R31),IF($AM$1=2,'Komisyon Tarifeleri'!X31,'Komisyon Tarifeleri'!S31))))/100)-$D31-IF(AF31&lt;=199.99,Kargo!$E$2,IF(AF31&lt;=399.99,Kargo!$E$3,$F31)))</f>
        <v/>
      </c>
      <c r="AH31" s="17">
        <f>IF(AG31="","",AG31/AF31)</f>
        <v/>
      </c>
      <c r="AI31" s="18">
        <f>IF($D31="","",IF(Y31="","BUYBOX YOK → hedef kârla min fiyat",IF(AC31&gt;=W31,"✓ BUYBOX ALTINA GİR","BUYBOX ALTI KÂRSIZ → min kârlı fiyat")))</f>
        <v/>
      </c>
      <c r="AJ31" s="10">
        <f>IF($B31="","",IFERROR(VLOOKUP($B31,Maliyetler!$A:$G,6,FALSE),""))</f>
        <v/>
      </c>
      <c r="AK31">
        <f>IF($B31="","",IFERROR(VLOOKUP($B31,Maliyetler!$A:$G,7,FALSE),""))</f>
        <v/>
      </c>
      <c r="AO31" s="21">
        <f>IF($B31="","",IFERROR(VLOOKUP($B31&amp;"",'Plus Tarifeleri'!$C:$Q,11,FALSE),""))</f>
        <v/>
      </c>
      <c r="AP31" s="22">
        <f>IF(AO31="","",IFERROR(IF($AM$1=2,VLOOKUP($B31&amp;"",'Plus Tarifeleri'!$C:$Q,15,FALSE),VLOOKUP($B31&amp;"",'Plus Tarifeleri'!$C:$Q,13,FALSE)),""))</f>
        <v/>
      </c>
      <c r="AQ31" s="21">
        <f>IF(OR(AO31="",AP31="",$D31=""),"",AO31*(1-AP31/100)-$D31-IF(AO31&lt;=199.99,Kargo!$E$2,IF(AO31&lt;=399.99,Kargo!$E$3,$F31)))</f>
        <v/>
      </c>
      <c r="AR31" s="23">
        <f>IF(AQ31="","",AQ31/AO31)</f>
        <v/>
      </c>
      <c r="AS31" s="24">
        <f>IF(OR(AQ31="",AG31=""),"",AQ31-AG31)</f>
        <v/>
      </c>
    </row>
    <row r="32">
      <c r="A32">
        <f>IF('Komisyon Tarifeleri'!A32="","",'Komisyon Tarifeleri'!A32)</f>
        <v/>
      </c>
      <c r="B32">
        <f>IF('Komisyon Tarifeleri'!B32="","",'Komisyon Tarifeleri'!B32&amp;"")</f>
        <v/>
      </c>
      <c r="C32">
        <f>IF($B32="","",'Komisyon Tarifeleri'!F32)</f>
        <v/>
      </c>
      <c r="D32" s="10">
        <f>IF($B32="","",IFERROR(VLOOKUP($B32,Maliyetler!$A:$E,3,FALSE),""))</f>
        <v/>
      </c>
      <c r="E32">
        <f>IF($B32="","",IFERROR(VLOOKUP($B32,Maliyetler!$A:$E,4,FALSE),1))</f>
        <v/>
      </c>
      <c r="F32" s="10">
        <f>IF($B32="","",IFERROR(VLOOKUP(MIN(20,MAX(1,ROUND($E32,0))),Kargo!$A:$B,2,FALSE),99.46))</f>
        <v/>
      </c>
      <c r="G32" s="10">
        <f>IF($B32="","",IF(IF(N('Komisyon Tarifeleri'!AA32)&gt;='Komisyon Tarifeleri'!I32,'Komisyon Tarifeleri'!AA32,'Komisyon Tarifeleri'!I32)="","",IF(N('Komisyon Tarifeleri'!AA32)&gt;='Komisyon Tarifeleri'!I32,'Komisyon Tarifeleri'!AA32,'Komisyon Tarifeleri'!I32)))</f>
        <v/>
      </c>
      <c r="H32" s="11">
        <f>IF(G32="","",IF($AM$1=2,'Komisyon Tarifeleri'!U32,'Komisyon Tarifeleri'!P32))</f>
        <v/>
      </c>
      <c r="I32" s="10">
        <f>IF(OR(G32="",$D32=""),"",G32*(1-H32/100)-$D32-IF(G32&lt;=199.99,Kargo!$E$2,IF(G32&lt;=399.99,Kargo!$E$3,$F32)))</f>
        <v/>
      </c>
      <c r="J32" s="12">
        <f>IF(I32="","",I32/G32)</f>
        <v/>
      </c>
      <c r="K32" s="10">
        <f>IF($B32="","",IF('Komisyon Tarifeleri'!J32="","",'Komisyon Tarifeleri'!J32))</f>
        <v/>
      </c>
      <c r="L32" s="11">
        <f>IF(K32="","",IF($AM$1=2,'Komisyon Tarifeleri'!V32,'Komisyon Tarifeleri'!Q32))</f>
        <v/>
      </c>
      <c r="M32" s="10">
        <f>IF(OR(K32="",$D32=""),"",K32*(1-L32/100)-$D32-IF(K32&lt;=199.99,Kargo!$E$2,IF(K32&lt;=399.99,Kargo!$E$3,$F32)))</f>
        <v/>
      </c>
      <c r="N32" s="12">
        <f>IF(M32="","",M32/K32)</f>
        <v/>
      </c>
      <c r="O32" s="10">
        <f>IF($B32="","",IF('Komisyon Tarifeleri'!L32="","",'Komisyon Tarifeleri'!L32))</f>
        <v/>
      </c>
      <c r="P32" s="11">
        <f>IF(O32="","",IF($AM$1=2,'Komisyon Tarifeleri'!W32,'Komisyon Tarifeleri'!R32))</f>
        <v/>
      </c>
      <c r="Q32" s="10">
        <f>IF(OR(O32="",$D32=""),"",O32*(1-P32/100)-$D32-IF(O32&lt;=199.99,Kargo!$E$2,IF(O32&lt;=399.99,Kargo!$E$3,$F32)))</f>
        <v/>
      </c>
      <c r="R32" s="12">
        <f>IF(Q32="","",Q32/O32)</f>
        <v/>
      </c>
      <c r="S32" s="10">
        <f>IF($B32="","",IF('Komisyon Tarifeleri'!N32="","",'Komisyon Tarifeleri'!N32))</f>
        <v/>
      </c>
      <c r="T32" s="11">
        <f>IF(S32="","",IF($AM$1=2,'Komisyon Tarifeleri'!X32,'Komisyon Tarifeleri'!S32))</f>
        <v/>
      </c>
      <c r="U32" s="10">
        <f>IF(OR(S32="",$D32=""),"",S32*(1-T32/100)-$D32-IF(S32&lt;=199.99,Kargo!$E$2,IF(S32&lt;=399.99,Kargo!$E$3,$F32)))</f>
        <v/>
      </c>
      <c r="V32" s="12">
        <f>IF(U32="","",U32/S32)</f>
        <v/>
      </c>
      <c r="W32" s="12">
        <f>IF($B32="","",IFERROR(VLOOKUP($C32,Hedefler!$A:$C,2,FALSE),0.04))</f>
        <v/>
      </c>
      <c r="X32" s="12">
        <f>IF($B32="","",IFERROR(VLOOKUP($C32,Hedefler!$A:$C,3,FALSE),0.1))</f>
        <v/>
      </c>
      <c r="Y32" s="13">
        <f>IF($B32="","",IFERROR(VLOOKUP($B32,Maliyetler!$A:$E,5,FALSE),""))</f>
        <v/>
      </c>
      <c r="Z32" s="13">
        <f>IF(OR(Y32="",Y32=0),"",Y32-1)</f>
        <v/>
      </c>
      <c r="AA32" s="14">
        <f>IF(Z32="","",IF(Z32&gt;='Komisyon Tarifeleri'!I32,IF($AM$1=2,'Komisyon Tarifeleri'!U32,'Komisyon Tarifeleri'!P32),IF(Z32&gt;='Komisyon Tarifeleri'!K32,IF($AM$1=2,'Komisyon Tarifeleri'!V32,'Komisyon Tarifeleri'!Q32),IF(Z32&gt;='Komisyon Tarifeleri'!M32,IF($AM$1=2,'Komisyon Tarifeleri'!W32,'Komisyon Tarifeleri'!R32),IF($AM$1=2,'Komisyon Tarifeleri'!X32,'Komisyon Tarifeleri'!S32)))))</f>
        <v/>
      </c>
      <c r="AB32" s="13">
        <f>IF(OR(AA32="",$D32=""),"",Z32*(1-AA32/100)-$D32-IF(Z32&lt;=199.99,Kargo!$E$2,IF(Z32&lt;=399.99,Kargo!$E$3,$F32)))</f>
        <v/>
      </c>
      <c r="AC32" s="15">
        <f>IF(AB32="","",AB32/Z32)</f>
        <v/>
      </c>
      <c r="AD32" s="10">
        <f>IF(OR($D32="",$B32=""),"",IF(AND((1-T32/100-W32)&gt;0,CEILING(($D32+$F32)/(1-T32/100-W32),1)&lt;='Komisyon Tarifeleri'!N32),CEILING(($D32+$F32)/(1-T32/100-W32),1),IF(AND((1-P32/100-W32)&gt;0,CEILING(MAX('Komisyon Tarifeleri'!M32,($D32+$F32)/(1-P32/100-W32)),1)&lt;='Komisyon Tarifeleri'!L32),CEILING(MAX('Komisyon Tarifeleri'!M32,($D32+$F32)/(1-P32/100-W32)),1),IF(AND((1-L32/100-W32)&gt;0,CEILING(MAX('Komisyon Tarifeleri'!K32,($D32+$F32)/(1-L32/100-W32)),1)&lt;='Komisyon Tarifeleri'!J32),CEILING(MAX('Komisyon Tarifeleri'!K32,($D32+$F32)/(1-L32/100-W32)),1),IF((1-H32/100-W32)&gt;0,CEILING(MAX('Komisyon Tarifeleri'!I32,($D32+$F32)/(1-H32/100-W32)),1),"İMKÂNSIZ")))))</f>
        <v/>
      </c>
      <c r="AE32" s="10">
        <f>IF(OR($D32="",$B32=""),"",IF(AND((1-T32/100-X32)&gt;0,CEILING(($D32+$F32)/(1-T32/100-X32),1)&lt;='Komisyon Tarifeleri'!N32),CEILING(($D32+$F32)/(1-T32/100-X32),1),IF(AND((1-P32/100-X32)&gt;0,CEILING(MAX('Komisyon Tarifeleri'!M32,($D32+$F32)/(1-P32/100-X32)),1)&lt;='Komisyon Tarifeleri'!L32),CEILING(MAX('Komisyon Tarifeleri'!M32,($D32+$F32)/(1-P32/100-X32)),1),IF(AND((1-L32/100-X32)&gt;0,CEILING(MAX('Komisyon Tarifeleri'!K32,($D32+$F32)/(1-L32/100-X32)),1)&lt;='Komisyon Tarifeleri'!J32),CEILING(MAX('Komisyon Tarifeleri'!K32,($D32+$F32)/(1-L32/100-X32)),1),IF((1-H32/100-X32)&gt;0,CEILING(MAX('Komisyon Tarifeleri'!I32,($D32+$F32)/(1-H32/100-X32)),1),"İMKÂNSIZ")))))</f>
        <v/>
      </c>
      <c r="AF32" s="16">
        <f>IF($D32="","",IF(AND(Y32&lt;&gt;"",AC32&lt;&gt;"",AC32&gt;=W32),Z32,IF(Y32&lt;&gt;"",AD32,AE32)))</f>
        <v/>
      </c>
      <c r="AG32" s="16">
        <f>IF(OR(AF32="",AF32="İMKÂNSIZ"),"",AF32*(1-IF(AF32&gt;='Komisyon Tarifeleri'!I32,IF($AM$1=2,'Komisyon Tarifeleri'!U32,'Komisyon Tarifeleri'!P32),IF(AF32&gt;='Komisyon Tarifeleri'!K32,IF($AM$1=2,'Komisyon Tarifeleri'!V32,'Komisyon Tarifeleri'!Q32),IF(AF32&gt;='Komisyon Tarifeleri'!M32,IF($AM$1=2,'Komisyon Tarifeleri'!W32,'Komisyon Tarifeleri'!R32),IF($AM$1=2,'Komisyon Tarifeleri'!X32,'Komisyon Tarifeleri'!S32))))/100)-$D32-IF(AF32&lt;=199.99,Kargo!$E$2,IF(AF32&lt;=399.99,Kargo!$E$3,$F32)))</f>
        <v/>
      </c>
      <c r="AH32" s="17">
        <f>IF(AG32="","",AG32/AF32)</f>
        <v/>
      </c>
      <c r="AI32" s="18">
        <f>IF($D32="","",IF(Y32="","BUYBOX YOK → hedef kârla min fiyat",IF(AC32&gt;=W32,"✓ BUYBOX ALTINA GİR","BUYBOX ALTI KÂRSIZ → min kârlı fiyat")))</f>
        <v/>
      </c>
      <c r="AJ32" s="10">
        <f>IF($B32="","",IFERROR(VLOOKUP($B32,Maliyetler!$A:$G,6,FALSE),""))</f>
        <v/>
      </c>
      <c r="AK32">
        <f>IF($B32="","",IFERROR(VLOOKUP($B32,Maliyetler!$A:$G,7,FALSE),""))</f>
        <v/>
      </c>
      <c r="AO32" s="21">
        <f>IF($B32="","",IFERROR(VLOOKUP($B32&amp;"",'Plus Tarifeleri'!$C:$Q,11,FALSE),""))</f>
        <v/>
      </c>
      <c r="AP32" s="22">
        <f>IF(AO32="","",IFERROR(IF($AM$1=2,VLOOKUP($B32&amp;"",'Plus Tarifeleri'!$C:$Q,15,FALSE),VLOOKUP($B32&amp;"",'Plus Tarifeleri'!$C:$Q,13,FALSE)),""))</f>
        <v/>
      </c>
      <c r="AQ32" s="21">
        <f>IF(OR(AO32="",AP32="",$D32=""),"",AO32*(1-AP32/100)-$D32-IF(AO32&lt;=199.99,Kargo!$E$2,IF(AO32&lt;=399.99,Kargo!$E$3,$F32)))</f>
        <v/>
      </c>
      <c r="AR32" s="23">
        <f>IF(AQ32="","",AQ32/AO32)</f>
        <v/>
      </c>
      <c r="AS32" s="24">
        <f>IF(OR(AQ32="",AG32=""),"",AQ32-AG32)</f>
        <v/>
      </c>
    </row>
    <row r="33">
      <c r="A33">
        <f>IF('Komisyon Tarifeleri'!A33="","",'Komisyon Tarifeleri'!A33)</f>
        <v/>
      </c>
      <c r="B33">
        <f>IF('Komisyon Tarifeleri'!B33="","",'Komisyon Tarifeleri'!B33&amp;"")</f>
        <v/>
      </c>
      <c r="C33">
        <f>IF($B33="","",'Komisyon Tarifeleri'!F33)</f>
        <v/>
      </c>
      <c r="D33" s="10">
        <f>IF($B33="","",IFERROR(VLOOKUP($B33,Maliyetler!$A:$E,3,FALSE),""))</f>
        <v/>
      </c>
      <c r="E33">
        <f>IF($B33="","",IFERROR(VLOOKUP($B33,Maliyetler!$A:$E,4,FALSE),1))</f>
        <v/>
      </c>
      <c r="F33" s="10">
        <f>IF($B33="","",IFERROR(VLOOKUP(MIN(20,MAX(1,ROUND($E33,0))),Kargo!$A:$B,2,FALSE),99.46))</f>
        <v/>
      </c>
      <c r="G33" s="10">
        <f>IF($B33="","",IF(IF(N('Komisyon Tarifeleri'!AA33)&gt;='Komisyon Tarifeleri'!I33,'Komisyon Tarifeleri'!AA33,'Komisyon Tarifeleri'!I33)="","",IF(N('Komisyon Tarifeleri'!AA33)&gt;='Komisyon Tarifeleri'!I33,'Komisyon Tarifeleri'!AA33,'Komisyon Tarifeleri'!I33)))</f>
        <v/>
      </c>
      <c r="H33" s="11">
        <f>IF(G33="","",IF($AM$1=2,'Komisyon Tarifeleri'!U33,'Komisyon Tarifeleri'!P33))</f>
        <v/>
      </c>
      <c r="I33" s="10">
        <f>IF(OR(G33="",$D33=""),"",G33*(1-H33/100)-$D33-IF(G33&lt;=199.99,Kargo!$E$2,IF(G33&lt;=399.99,Kargo!$E$3,$F33)))</f>
        <v/>
      </c>
      <c r="J33" s="12">
        <f>IF(I33="","",I33/G33)</f>
        <v/>
      </c>
      <c r="K33" s="10">
        <f>IF($B33="","",IF('Komisyon Tarifeleri'!J33="","",'Komisyon Tarifeleri'!J33))</f>
        <v/>
      </c>
      <c r="L33" s="11">
        <f>IF(K33="","",IF($AM$1=2,'Komisyon Tarifeleri'!V33,'Komisyon Tarifeleri'!Q33))</f>
        <v/>
      </c>
      <c r="M33" s="10">
        <f>IF(OR(K33="",$D33=""),"",K33*(1-L33/100)-$D33-IF(K33&lt;=199.99,Kargo!$E$2,IF(K33&lt;=399.99,Kargo!$E$3,$F33)))</f>
        <v/>
      </c>
      <c r="N33" s="12">
        <f>IF(M33="","",M33/K33)</f>
        <v/>
      </c>
      <c r="O33" s="10">
        <f>IF($B33="","",IF('Komisyon Tarifeleri'!L33="","",'Komisyon Tarifeleri'!L33))</f>
        <v/>
      </c>
      <c r="P33" s="11">
        <f>IF(O33="","",IF($AM$1=2,'Komisyon Tarifeleri'!W33,'Komisyon Tarifeleri'!R33))</f>
        <v/>
      </c>
      <c r="Q33" s="10">
        <f>IF(OR(O33="",$D33=""),"",O33*(1-P33/100)-$D33-IF(O33&lt;=199.99,Kargo!$E$2,IF(O33&lt;=399.99,Kargo!$E$3,$F33)))</f>
        <v/>
      </c>
      <c r="R33" s="12">
        <f>IF(Q33="","",Q33/O33)</f>
        <v/>
      </c>
      <c r="S33" s="10">
        <f>IF($B33="","",IF('Komisyon Tarifeleri'!N33="","",'Komisyon Tarifeleri'!N33))</f>
        <v/>
      </c>
      <c r="T33" s="11">
        <f>IF(S33="","",IF($AM$1=2,'Komisyon Tarifeleri'!X33,'Komisyon Tarifeleri'!S33))</f>
        <v/>
      </c>
      <c r="U33" s="10">
        <f>IF(OR(S33="",$D33=""),"",S33*(1-T33/100)-$D33-IF(S33&lt;=199.99,Kargo!$E$2,IF(S33&lt;=399.99,Kargo!$E$3,$F33)))</f>
        <v/>
      </c>
      <c r="V33" s="12">
        <f>IF(U33="","",U33/S33)</f>
        <v/>
      </c>
      <c r="W33" s="12">
        <f>IF($B33="","",IFERROR(VLOOKUP($C33,Hedefler!$A:$C,2,FALSE),0.04))</f>
        <v/>
      </c>
      <c r="X33" s="12">
        <f>IF($B33="","",IFERROR(VLOOKUP($C33,Hedefler!$A:$C,3,FALSE),0.1))</f>
        <v/>
      </c>
      <c r="Y33" s="13">
        <f>IF($B33="","",IFERROR(VLOOKUP($B33,Maliyetler!$A:$E,5,FALSE),""))</f>
        <v/>
      </c>
      <c r="Z33" s="13">
        <f>IF(OR(Y33="",Y33=0),"",Y33-1)</f>
        <v/>
      </c>
      <c r="AA33" s="14">
        <f>IF(Z33="","",IF(Z33&gt;='Komisyon Tarifeleri'!I33,IF($AM$1=2,'Komisyon Tarifeleri'!U33,'Komisyon Tarifeleri'!P33),IF(Z33&gt;='Komisyon Tarifeleri'!K33,IF($AM$1=2,'Komisyon Tarifeleri'!V33,'Komisyon Tarifeleri'!Q33),IF(Z33&gt;='Komisyon Tarifeleri'!M33,IF($AM$1=2,'Komisyon Tarifeleri'!W33,'Komisyon Tarifeleri'!R33),IF($AM$1=2,'Komisyon Tarifeleri'!X33,'Komisyon Tarifeleri'!S33)))))</f>
        <v/>
      </c>
      <c r="AB33" s="13">
        <f>IF(OR(AA33="",$D33=""),"",Z33*(1-AA33/100)-$D33-IF(Z33&lt;=199.99,Kargo!$E$2,IF(Z33&lt;=399.99,Kargo!$E$3,$F33)))</f>
        <v/>
      </c>
      <c r="AC33" s="15">
        <f>IF(AB33="","",AB33/Z33)</f>
        <v/>
      </c>
      <c r="AD33" s="10">
        <f>IF(OR($D33="",$B33=""),"",IF(AND((1-T33/100-W33)&gt;0,CEILING(($D33+$F33)/(1-T33/100-W33),1)&lt;='Komisyon Tarifeleri'!N33),CEILING(($D33+$F33)/(1-T33/100-W33),1),IF(AND((1-P33/100-W33)&gt;0,CEILING(MAX('Komisyon Tarifeleri'!M33,($D33+$F33)/(1-P33/100-W33)),1)&lt;='Komisyon Tarifeleri'!L33),CEILING(MAX('Komisyon Tarifeleri'!M33,($D33+$F33)/(1-P33/100-W33)),1),IF(AND((1-L33/100-W33)&gt;0,CEILING(MAX('Komisyon Tarifeleri'!K33,($D33+$F33)/(1-L33/100-W33)),1)&lt;='Komisyon Tarifeleri'!J33),CEILING(MAX('Komisyon Tarifeleri'!K33,($D33+$F33)/(1-L33/100-W33)),1),IF((1-H33/100-W33)&gt;0,CEILING(MAX('Komisyon Tarifeleri'!I33,($D33+$F33)/(1-H33/100-W33)),1),"İMKÂNSIZ")))))</f>
        <v/>
      </c>
      <c r="AE33" s="10">
        <f>IF(OR($D33="",$B33=""),"",IF(AND((1-T33/100-X33)&gt;0,CEILING(($D33+$F33)/(1-T33/100-X33),1)&lt;='Komisyon Tarifeleri'!N33),CEILING(($D33+$F33)/(1-T33/100-X33),1),IF(AND((1-P33/100-X33)&gt;0,CEILING(MAX('Komisyon Tarifeleri'!M33,($D33+$F33)/(1-P33/100-X33)),1)&lt;='Komisyon Tarifeleri'!L33),CEILING(MAX('Komisyon Tarifeleri'!M33,($D33+$F33)/(1-P33/100-X33)),1),IF(AND((1-L33/100-X33)&gt;0,CEILING(MAX('Komisyon Tarifeleri'!K33,($D33+$F33)/(1-L33/100-X33)),1)&lt;='Komisyon Tarifeleri'!J33),CEILING(MAX('Komisyon Tarifeleri'!K33,($D33+$F33)/(1-L33/100-X33)),1),IF((1-H33/100-X33)&gt;0,CEILING(MAX('Komisyon Tarifeleri'!I33,($D33+$F33)/(1-H33/100-X33)),1),"İMKÂNSIZ")))))</f>
        <v/>
      </c>
      <c r="AF33" s="16">
        <f>IF($D33="","",IF(AND(Y33&lt;&gt;"",AC33&lt;&gt;"",AC33&gt;=W33),Z33,IF(Y33&lt;&gt;"",AD33,AE33)))</f>
        <v/>
      </c>
      <c r="AG33" s="16">
        <f>IF(OR(AF33="",AF33="İMKÂNSIZ"),"",AF33*(1-IF(AF33&gt;='Komisyon Tarifeleri'!I33,IF($AM$1=2,'Komisyon Tarifeleri'!U33,'Komisyon Tarifeleri'!P33),IF(AF33&gt;='Komisyon Tarifeleri'!K33,IF($AM$1=2,'Komisyon Tarifeleri'!V33,'Komisyon Tarifeleri'!Q33),IF(AF33&gt;='Komisyon Tarifeleri'!M33,IF($AM$1=2,'Komisyon Tarifeleri'!W33,'Komisyon Tarifeleri'!R33),IF($AM$1=2,'Komisyon Tarifeleri'!X33,'Komisyon Tarifeleri'!S33))))/100)-$D33-IF(AF33&lt;=199.99,Kargo!$E$2,IF(AF33&lt;=399.99,Kargo!$E$3,$F33)))</f>
        <v/>
      </c>
      <c r="AH33" s="17">
        <f>IF(AG33="","",AG33/AF33)</f>
        <v/>
      </c>
      <c r="AI33" s="18">
        <f>IF($D33="","",IF(Y33="","BUYBOX YOK → hedef kârla min fiyat",IF(AC33&gt;=W33,"✓ BUYBOX ALTINA GİR","BUYBOX ALTI KÂRSIZ → min kârlı fiyat")))</f>
        <v/>
      </c>
      <c r="AJ33" s="10">
        <f>IF($B33="","",IFERROR(VLOOKUP($B33,Maliyetler!$A:$G,6,FALSE),""))</f>
        <v/>
      </c>
      <c r="AK33">
        <f>IF($B33="","",IFERROR(VLOOKUP($B33,Maliyetler!$A:$G,7,FALSE),""))</f>
        <v/>
      </c>
      <c r="AO33" s="21">
        <f>IF($B33="","",IFERROR(VLOOKUP($B33&amp;"",'Plus Tarifeleri'!$C:$Q,11,FALSE),""))</f>
        <v/>
      </c>
      <c r="AP33" s="22">
        <f>IF(AO33="","",IFERROR(IF($AM$1=2,VLOOKUP($B33&amp;"",'Plus Tarifeleri'!$C:$Q,15,FALSE),VLOOKUP($B33&amp;"",'Plus Tarifeleri'!$C:$Q,13,FALSE)),""))</f>
        <v/>
      </c>
      <c r="AQ33" s="21">
        <f>IF(OR(AO33="",AP33="",$D33=""),"",AO33*(1-AP33/100)-$D33-IF(AO33&lt;=199.99,Kargo!$E$2,IF(AO33&lt;=399.99,Kargo!$E$3,$F33)))</f>
        <v/>
      </c>
      <c r="AR33" s="23">
        <f>IF(AQ33="","",AQ33/AO33)</f>
        <v/>
      </c>
      <c r="AS33" s="24">
        <f>IF(OR(AQ33="",AG33=""),"",AQ33-AG33)</f>
        <v/>
      </c>
    </row>
    <row r="34">
      <c r="A34">
        <f>IF('Komisyon Tarifeleri'!A34="","",'Komisyon Tarifeleri'!A34)</f>
        <v/>
      </c>
      <c r="B34">
        <f>IF('Komisyon Tarifeleri'!B34="","",'Komisyon Tarifeleri'!B34&amp;"")</f>
        <v/>
      </c>
      <c r="C34">
        <f>IF($B34="","",'Komisyon Tarifeleri'!F34)</f>
        <v/>
      </c>
      <c r="D34" s="10">
        <f>IF($B34="","",IFERROR(VLOOKUP($B34,Maliyetler!$A:$E,3,FALSE),""))</f>
        <v/>
      </c>
      <c r="E34">
        <f>IF($B34="","",IFERROR(VLOOKUP($B34,Maliyetler!$A:$E,4,FALSE),1))</f>
        <v/>
      </c>
      <c r="F34" s="10">
        <f>IF($B34="","",IFERROR(VLOOKUP(MIN(20,MAX(1,ROUND($E34,0))),Kargo!$A:$B,2,FALSE),99.46))</f>
        <v/>
      </c>
      <c r="G34" s="10">
        <f>IF($B34="","",IF(IF(N('Komisyon Tarifeleri'!AA34)&gt;='Komisyon Tarifeleri'!I34,'Komisyon Tarifeleri'!AA34,'Komisyon Tarifeleri'!I34)="","",IF(N('Komisyon Tarifeleri'!AA34)&gt;='Komisyon Tarifeleri'!I34,'Komisyon Tarifeleri'!AA34,'Komisyon Tarifeleri'!I34)))</f>
        <v/>
      </c>
      <c r="H34" s="11">
        <f>IF(G34="","",IF($AM$1=2,'Komisyon Tarifeleri'!U34,'Komisyon Tarifeleri'!P34))</f>
        <v/>
      </c>
      <c r="I34" s="10">
        <f>IF(OR(G34="",$D34=""),"",G34*(1-H34/100)-$D34-IF(G34&lt;=199.99,Kargo!$E$2,IF(G34&lt;=399.99,Kargo!$E$3,$F34)))</f>
        <v/>
      </c>
      <c r="J34" s="12">
        <f>IF(I34="","",I34/G34)</f>
        <v/>
      </c>
      <c r="K34" s="10">
        <f>IF($B34="","",IF('Komisyon Tarifeleri'!J34="","",'Komisyon Tarifeleri'!J34))</f>
        <v/>
      </c>
      <c r="L34" s="11">
        <f>IF(K34="","",IF($AM$1=2,'Komisyon Tarifeleri'!V34,'Komisyon Tarifeleri'!Q34))</f>
        <v/>
      </c>
      <c r="M34" s="10">
        <f>IF(OR(K34="",$D34=""),"",K34*(1-L34/100)-$D34-IF(K34&lt;=199.99,Kargo!$E$2,IF(K34&lt;=399.99,Kargo!$E$3,$F34)))</f>
        <v/>
      </c>
      <c r="N34" s="12">
        <f>IF(M34="","",M34/K34)</f>
        <v/>
      </c>
      <c r="O34" s="10">
        <f>IF($B34="","",IF('Komisyon Tarifeleri'!L34="","",'Komisyon Tarifeleri'!L34))</f>
        <v/>
      </c>
      <c r="P34" s="11">
        <f>IF(O34="","",IF($AM$1=2,'Komisyon Tarifeleri'!W34,'Komisyon Tarifeleri'!R34))</f>
        <v/>
      </c>
      <c r="Q34" s="10">
        <f>IF(OR(O34="",$D34=""),"",O34*(1-P34/100)-$D34-IF(O34&lt;=199.99,Kargo!$E$2,IF(O34&lt;=399.99,Kargo!$E$3,$F34)))</f>
        <v/>
      </c>
      <c r="R34" s="12">
        <f>IF(Q34="","",Q34/O34)</f>
        <v/>
      </c>
      <c r="S34" s="10">
        <f>IF($B34="","",IF('Komisyon Tarifeleri'!N34="","",'Komisyon Tarifeleri'!N34))</f>
        <v/>
      </c>
      <c r="T34" s="11">
        <f>IF(S34="","",IF($AM$1=2,'Komisyon Tarifeleri'!X34,'Komisyon Tarifeleri'!S34))</f>
        <v/>
      </c>
      <c r="U34" s="10">
        <f>IF(OR(S34="",$D34=""),"",S34*(1-T34/100)-$D34-IF(S34&lt;=199.99,Kargo!$E$2,IF(S34&lt;=399.99,Kargo!$E$3,$F34)))</f>
        <v/>
      </c>
      <c r="V34" s="12">
        <f>IF(U34="","",U34/S34)</f>
        <v/>
      </c>
      <c r="W34" s="12">
        <f>IF($B34="","",IFERROR(VLOOKUP($C34,Hedefler!$A:$C,2,FALSE),0.04))</f>
        <v/>
      </c>
      <c r="X34" s="12">
        <f>IF($B34="","",IFERROR(VLOOKUP($C34,Hedefler!$A:$C,3,FALSE),0.1))</f>
        <v/>
      </c>
      <c r="Y34" s="13">
        <f>IF($B34="","",IFERROR(VLOOKUP($B34,Maliyetler!$A:$E,5,FALSE),""))</f>
        <v/>
      </c>
      <c r="Z34" s="13">
        <f>IF(OR(Y34="",Y34=0),"",Y34-1)</f>
        <v/>
      </c>
      <c r="AA34" s="14">
        <f>IF(Z34="","",IF(Z34&gt;='Komisyon Tarifeleri'!I34,IF($AM$1=2,'Komisyon Tarifeleri'!U34,'Komisyon Tarifeleri'!P34),IF(Z34&gt;='Komisyon Tarifeleri'!K34,IF($AM$1=2,'Komisyon Tarifeleri'!V34,'Komisyon Tarifeleri'!Q34),IF(Z34&gt;='Komisyon Tarifeleri'!M34,IF($AM$1=2,'Komisyon Tarifeleri'!W34,'Komisyon Tarifeleri'!R34),IF($AM$1=2,'Komisyon Tarifeleri'!X34,'Komisyon Tarifeleri'!S34)))))</f>
        <v/>
      </c>
      <c r="AB34" s="13">
        <f>IF(OR(AA34="",$D34=""),"",Z34*(1-AA34/100)-$D34-IF(Z34&lt;=199.99,Kargo!$E$2,IF(Z34&lt;=399.99,Kargo!$E$3,$F34)))</f>
        <v/>
      </c>
      <c r="AC34" s="15">
        <f>IF(AB34="","",AB34/Z34)</f>
        <v/>
      </c>
      <c r="AD34" s="10">
        <f>IF(OR($D34="",$B34=""),"",IF(AND((1-T34/100-W34)&gt;0,CEILING(($D34+$F34)/(1-T34/100-W34),1)&lt;='Komisyon Tarifeleri'!N34),CEILING(($D34+$F34)/(1-T34/100-W34),1),IF(AND((1-P34/100-W34)&gt;0,CEILING(MAX('Komisyon Tarifeleri'!M34,($D34+$F34)/(1-P34/100-W34)),1)&lt;='Komisyon Tarifeleri'!L34),CEILING(MAX('Komisyon Tarifeleri'!M34,($D34+$F34)/(1-P34/100-W34)),1),IF(AND((1-L34/100-W34)&gt;0,CEILING(MAX('Komisyon Tarifeleri'!K34,($D34+$F34)/(1-L34/100-W34)),1)&lt;='Komisyon Tarifeleri'!J34),CEILING(MAX('Komisyon Tarifeleri'!K34,($D34+$F34)/(1-L34/100-W34)),1),IF((1-H34/100-W34)&gt;0,CEILING(MAX('Komisyon Tarifeleri'!I34,($D34+$F34)/(1-H34/100-W34)),1),"İMKÂNSIZ")))))</f>
        <v/>
      </c>
      <c r="AE34" s="10">
        <f>IF(OR($D34="",$B34=""),"",IF(AND((1-T34/100-X34)&gt;0,CEILING(($D34+$F34)/(1-T34/100-X34),1)&lt;='Komisyon Tarifeleri'!N34),CEILING(($D34+$F34)/(1-T34/100-X34),1),IF(AND((1-P34/100-X34)&gt;0,CEILING(MAX('Komisyon Tarifeleri'!M34,($D34+$F34)/(1-P34/100-X34)),1)&lt;='Komisyon Tarifeleri'!L34),CEILING(MAX('Komisyon Tarifeleri'!M34,($D34+$F34)/(1-P34/100-X34)),1),IF(AND((1-L34/100-X34)&gt;0,CEILING(MAX('Komisyon Tarifeleri'!K34,($D34+$F34)/(1-L34/100-X34)),1)&lt;='Komisyon Tarifeleri'!J34),CEILING(MAX('Komisyon Tarifeleri'!K34,($D34+$F34)/(1-L34/100-X34)),1),IF((1-H34/100-X34)&gt;0,CEILING(MAX('Komisyon Tarifeleri'!I34,($D34+$F34)/(1-H34/100-X34)),1),"İMKÂNSIZ")))))</f>
        <v/>
      </c>
      <c r="AF34" s="16">
        <f>IF($D34="","",IF(AND(Y34&lt;&gt;"",AC34&lt;&gt;"",AC34&gt;=W34),Z34,IF(Y34&lt;&gt;"",AD34,AE34)))</f>
        <v/>
      </c>
      <c r="AG34" s="16">
        <f>IF(OR(AF34="",AF34="İMKÂNSIZ"),"",AF34*(1-IF(AF34&gt;='Komisyon Tarifeleri'!I34,IF($AM$1=2,'Komisyon Tarifeleri'!U34,'Komisyon Tarifeleri'!P34),IF(AF34&gt;='Komisyon Tarifeleri'!K34,IF($AM$1=2,'Komisyon Tarifeleri'!V34,'Komisyon Tarifeleri'!Q34),IF(AF34&gt;='Komisyon Tarifeleri'!M34,IF($AM$1=2,'Komisyon Tarifeleri'!W34,'Komisyon Tarifeleri'!R34),IF($AM$1=2,'Komisyon Tarifeleri'!X34,'Komisyon Tarifeleri'!S34))))/100)-$D34-IF(AF34&lt;=199.99,Kargo!$E$2,IF(AF34&lt;=399.99,Kargo!$E$3,$F34)))</f>
        <v/>
      </c>
      <c r="AH34" s="17">
        <f>IF(AG34="","",AG34/AF34)</f>
        <v/>
      </c>
      <c r="AI34" s="18">
        <f>IF($D34="","",IF(Y34="","BUYBOX YOK → hedef kârla min fiyat",IF(AC34&gt;=W34,"✓ BUYBOX ALTINA GİR","BUYBOX ALTI KÂRSIZ → min kârlı fiyat")))</f>
        <v/>
      </c>
      <c r="AJ34" s="10">
        <f>IF($B34="","",IFERROR(VLOOKUP($B34,Maliyetler!$A:$G,6,FALSE),""))</f>
        <v/>
      </c>
      <c r="AK34">
        <f>IF($B34="","",IFERROR(VLOOKUP($B34,Maliyetler!$A:$G,7,FALSE),""))</f>
        <v/>
      </c>
      <c r="AO34" s="21">
        <f>IF($B34="","",IFERROR(VLOOKUP($B34&amp;"",'Plus Tarifeleri'!$C:$Q,11,FALSE),""))</f>
        <v/>
      </c>
      <c r="AP34" s="22">
        <f>IF(AO34="","",IFERROR(IF($AM$1=2,VLOOKUP($B34&amp;"",'Plus Tarifeleri'!$C:$Q,15,FALSE),VLOOKUP($B34&amp;"",'Plus Tarifeleri'!$C:$Q,13,FALSE)),""))</f>
        <v/>
      </c>
      <c r="AQ34" s="21">
        <f>IF(OR(AO34="",AP34="",$D34=""),"",AO34*(1-AP34/100)-$D34-IF(AO34&lt;=199.99,Kargo!$E$2,IF(AO34&lt;=399.99,Kargo!$E$3,$F34)))</f>
        <v/>
      </c>
      <c r="AR34" s="23">
        <f>IF(AQ34="","",AQ34/AO34)</f>
        <v/>
      </c>
      <c r="AS34" s="24">
        <f>IF(OR(AQ34="",AG34=""),"",AQ34-AG34)</f>
        <v/>
      </c>
    </row>
    <row r="35">
      <c r="A35">
        <f>IF('Komisyon Tarifeleri'!A35="","",'Komisyon Tarifeleri'!A35)</f>
        <v/>
      </c>
      <c r="B35">
        <f>IF('Komisyon Tarifeleri'!B35="","",'Komisyon Tarifeleri'!B35&amp;"")</f>
        <v/>
      </c>
      <c r="C35">
        <f>IF($B35="","",'Komisyon Tarifeleri'!F35)</f>
        <v/>
      </c>
      <c r="D35" s="10">
        <f>IF($B35="","",IFERROR(VLOOKUP($B35,Maliyetler!$A:$E,3,FALSE),""))</f>
        <v/>
      </c>
      <c r="E35">
        <f>IF($B35="","",IFERROR(VLOOKUP($B35,Maliyetler!$A:$E,4,FALSE),1))</f>
        <v/>
      </c>
      <c r="F35" s="10">
        <f>IF($B35="","",IFERROR(VLOOKUP(MIN(20,MAX(1,ROUND($E35,0))),Kargo!$A:$B,2,FALSE),99.46))</f>
        <v/>
      </c>
      <c r="G35" s="10">
        <f>IF($B35="","",IF(IF(N('Komisyon Tarifeleri'!AA35)&gt;='Komisyon Tarifeleri'!I35,'Komisyon Tarifeleri'!AA35,'Komisyon Tarifeleri'!I35)="","",IF(N('Komisyon Tarifeleri'!AA35)&gt;='Komisyon Tarifeleri'!I35,'Komisyon Tarifeleri'!AA35,'Komisyon Tarifeleri'!I35)))</f>
        <v/>
      </c>
      <c r="H35" s="11">
        <f>IF(G35="","",IF($AM$1=2,'Komisyon Tarifeleri'!U35,'Komisyon Tarifeleri'!P35))</f>
        <v/>
      </c>
      <c r="I35" s="10">
        <f>IF(OR(G35="",$D35=""),"",G35*(1-H35/100)-$D35-IF(G35&lt;=199.99,Kargo!$E$2,IF(G35&lt;=399.99,Kargo!$E$3,$F35)))</f>
        <v/>
      </c>
      <c r="J35" s="12">
        <f>IF(I35="","",I35/G35)</f>
        <v/>
      </c>
      <c r="K35" s="10">
        <f>IF($B35="","",IF('Komisyon Tarifeleri'!J35="","",'Komisyon Tarifeleri'!J35))</f>
        <v/>
      </c>
      <c r="L35" s="11">
        <f>IF(K35="","",IF($AM$1=2,'Komisyon Tarifeleri'!V35,'Komisyon Tarifeleri'!Q35))</f>
        <v/>
      </c>
      <c r="M35" s="10">
        <f>IF(OR(K35="",$D35=""),"",K35*(1-L35/100)-$D35-IF(K35&lt;=199.99,Kargo!$E$2,IF(K35&lt;=399.99,Kargo!$E$3,$F35)))</f>
        <v/>
      </c>
      <c r="N35" s="12">
        <f>IF(M35="","",M35/K35)</f>
        <v/>
      </c>
      <c r="O35" s="10">
        <f>IF($B35="","",IF('Komisyon Tarifeleri'!L35="","",'Komisyon Tarifeleri'!L35))</f>
        <v/>
      </c>
      <c r="P35" s="11">
        <f>IF(O35="","",IF($AM$1=2,'Komisyon Tarifeleri'!W35,'Komisyon Tarifeleri'!R35))</f>
        <v/>
      </c>
      <c r="Q35" s="10">
        <f>IF(OR(O35="",$D35=""),"",O35*(1-P35/100)-$D35-IF(O35&lt;=199.99,Kargo!$E$2,IF(O35&lt;=399.99,Kargo!$E$3,$F35)))</f>
        <v/>
      </c>
      <c r="R35" s="12">
        <f>IF(Q35="","",Q35/O35)</f>
        <v/>
      </c>
      <c r="S35" s="10">
        <f>IF($B35="","",IF('Komisyon Tarifeleri'!N35="","",'Komisyon Tarifeleri'!N35))</f>
        <v/>
      </c>
      <c r="T35" s="11">
        <f>IF(S35="","",IF($AM$1=2,'Komisyon Tarifeleri'!X35,'Komisyon Tarifeleri'!S35))</f>
        <v/>
      </c>
      <c r="U35" s="10">
        <f>IF(OR(S35="",$D35=""),"",S35*(1-T35/100)-$D35-IF(S35&lt;=199.99,Kargo!$E$2,IF(S35&lt;=399.99,Kargo!$E$3,$F35)))</f>
        <v/>
      </c>
      <c r="V35" s="12">
        <f>IF(U35="","",U35/S35)</f>
        <v/>
      </c>
      <c r="W35" s="12">
        <f>IF($B35="","",IFERROR(VLOOKUP($C35,Hedefler!$A:$C,2,FALSE),0.04))</f>
        <v/>
      </c>
      <c r="X35" s="12">
        <f>IF($B35="","",IFERROR(VLOOKUP($C35,Hedefler!$A:$C,3,FALSE),0.1))</f>
        <v/>
      </c>
      <c r="Y35" s="13">
        <f>IF($B35="","",IFERROR(VLOOKUP($B35,Maliyetler!$A:$E,5,FALSE),""))</f>
        <v/>
      </c>
      <c r="Z35" s="13">
        <f>IF(OR(Y35="",Y35=0),"",Y35-1)</f>
        <v/>
      </c>
      <c r="AA35" s="14">
        <f>IF(Z35="","",IF(Z35&gt;='Komisyon Tarifeleri'!I35,IF($AM$1=2,'Komisyon Tarifeleri'!U35,'Komisyon Tarifeleri'!P35),IF(Z35&gt;='Komisyon Tarifeleri'!K35,IF($AM$1=2,'Komisyon Tarifeleri'!V35,'Komisyon Tarifeleri'!Q35),IF(Z35&gt;='Komisyon Tarifeleri'!M35,IF($AM$1=2,'Komisyon Tarifeleri'!W35,'Komisyon Tarifeleri'!R35),IF($AM$1=2,'Komisyon Tarifeleri'!X35,'Komisyon Tarifeleri'!S35)))))</f>
        <v/>
      </c>
      <c r="AB35" s="13">
        <f>IF(OR(AA35="",$D35=""),"",Z35*(1-AA35/100)-$D35-IF(Z35&lt;=199.99,Kargo!$E$2,IF(Z35&lt;=399.99,Kargo!$E$3,$F35)))</f>
        <v/>
      </c>
      <c r="AC35" s="15">
        <f>IF(AB35="","",AB35/Z35)</f>
        <v/>
      </c>
      <c r="AD35" s="10">
        <f>IF(OR($D35="",$B35=""),"",IF(AND((1-T35/100-W35)&gt;0,CEILING(($D35+$F35)/(1-T35/100-W35),1)&lt;='Komisyon Tarifeleri'!N35),CEILING(($D35+$F35)/(1-T35/100-W35),1),IF(AND((1-P35/100-W35)&gt;0,CEILING(MAX('Komisyon Tarifeleri'!M35,($D35+$F35)/(1-P35/100-W35)),1)&lt;='Komisyon Tarifeleri'!L35),CEILING(MAX('Komisyon Tarifeleri'!M35,($D35+$F35)/(1-P35/100-W35)),1),IF(AND((1-L35/100-W35)&gt;0,CEILING(MAX('Komisyon Tarifeleri'!K35,($D35+$F35)/(1-L35/100-W35)),1)&lt;='Komisyon Tarifeleri'!J35),CEILING(MAX('Komisyon Tarifeleri'!K35,($D35+$F35)/(1-L35/100-W35)),1),IF((1-H35/100-W35)&gt;0,CEILING(MAX('Komisyon Tarifeleri'!I35,($D35+$F35)/(1-H35/100-W35)),1),"İMKÂNSIZ")))))</f>
        <v/>
      </c>
      <c r="AE35" s="10">
        <f>IF(OR($D35="",$B35=""),"",IF(AND((1-T35/100-X35)&gt;0,CEILING(($D35+$F35)/(1-T35/100-X35),1)&lt;='Komisyon Tarifeleri'!N35),CEILING(($D35+$F35)/(1-T35/100-X35),1),IF(AND((1-P35/100-X35)&gt;0,CEILING(MAX('Komisyon Tarifeleri'!M35,($D35+$F35)/(1-P35/100-X35)),1)&lt;='Komisyon Tarifeleri'!L35),CEILING(MAX('Komisyon Tarifeleri'!M35,($D35+$F35)/(1-P35/100-X35)),1),IF(AND((1-L35/100-X35)&gt;0,CEILING(MAX('Komisyon Tarifeleri'!K35,($D35+$F35)/(1-L35/100-X35)),1)&lt;='Komisyon Tarifeleri'!J35),CEILING(MAX('Komisyon Tarifeleri'!K35,($D35+$F35)/(1-L35/100-X35)),1),IF((1-H35/100-X35)&gt;0,CEILING(MAX('Komisyon Tarifeleri'!I35,($D35+$F35)/(1-H35/100-X35)),1),"İMKÂNSIZ")))))</f>
        <v/>
      </c>
      <c r="AF35" s="16">
        <f>IF($D35="","",IF(AND(Y35&lt;&gt;"",AC35&lt;&gt;"",AC35&gt;=W35),Z35,IF(Y35&lt;&gt;"",AD35,AE35)))</f>
        <v/>
      </c>
      <c r="AG35" s="16">
        <f>IF(OR(AF35="",AF35="İMKÂNSIZ"),"",AF35*(1-IF(AF35&gt;='Komisyon Tarifeleri'!I35,IF($AM$1=2,'Komisyon Tarifeleri'!U35,'Komisyon Tarifeleri'!P35),IF(AF35&gt;='Komisyon Tarifeleri'!K35,IF($AM$1=2,'Komisyon Tarifeleri'!V35,'Komisyon Tarifeleri'!Q35),IF(AF35&gt;='Komisyon Tarifeleri'!M35,IF($AM$1=2,'Komisyon Tarifeleri'!W35,'Komisyon Tarifeleri'!R35),IF($AM$1=2,'Komisyon Tarifeleri'!X35,'Komisyon Tarifeleri'!S35))))/100)-$D35-IF(AF35&lt;=199.99,Kargo!$E$2,IF(AF35&lt;=399.99,Kargo!$E$3,$F35)))</f>
        <v/>
      </c>
      <c r="AH35" s="17">
        <f>IF(AG35="","",AG35/AF35)</f>
        <v/>
      </c>
      <c r="AI35" s="18">
        <f>IF($D35="","",IF(Y35="","BUYBOX YOK → hedef kârla min fiyat",IF(AC35&gt;=W35,"✓ BUYBOX ALTINA GİR","BUYBOX ALTI KÂRSIZ → min kârlı fiyat")))</f>
        <v/>
      </c>
      <c r="AJ35" s="10">
        <f>IF($B35="","",IFERROR(VLOOKUP($B35,Maliyetler!$A:$G,6,FALSE),""))</f>
        <v/>
      </c>
      <c r="AK35">
        <f>IF($B35="","",IFERROR(VLOOKUP($B35,Maliyetler!$A:$G,7,FALSE),""))</f>
        <v/>
      </c>
      <c r="AO35" s="21">
        <f>IF($B35="","",IFERROR(VLOOKUP($B35&amp;"",'Plus Tarifeleri'!$C:$Q,11,FALSE),""))</f>
        <v/>
      </c>
      <c r="AP35" s="22">
        <f>IF(AO35="","",IFERROR(IF($AM$1=2,VLOOKUP($B35&amp;"",'Plus Tarifeleri'!$C:$Q,15,FALSE),VLOOKUP($B35&amp;"",'Plus Tarifeleri'!$C:$Q,13,FALSE)),""))</f>
        <v/>
      </c>
      <c r="AQ35" s="21">
        <f>IF(OR(AO35="",AP35="",$D35=""),"",AO35*(1-AP35/100)-$D35-IF(AO35&lt;=199.99,Kargo!$E$2,IF(AO35&lt;=399.99,Kargo!$E$3,$F35)))</f>
        <v/>
      </c>
      <c r="AR35" s="23">
        <f>IF(AQ35="","",AQ35/AO35)</f>
        <v/>
      </c>
      <c r="AS35" s="24">
        <f>IF(OR(AQ35="",AG35=""),"",AQ35-AG35)</f>
        <v/>
      </c>
    </row>
    <row r="36">
      <c r="A36">
        <f>IF('Komisyon Tarifeleri'!A36="","",'Komisyon Tarifeleri'!A36)</f>
        <v/>
      </c>
      <c r="B36">
        <f>IF('Komisyon Tarifeleri'!B36="","",'Komisyon Tarifeleri'!B36&amp;"")</f>
        <v/>
      </c>
      <c r="C36">
        <f>IF($B36="","",'Komisyon Tarifeleri'!F36)</f>
        <v/>
      </c>
      <c r="D36" s="10">
        <f>IF($B36="","",IFERROR(VLOOKUP($B36,Maliyetler!$A:$E,3,FALSE),""))</f>
        <v/>
      </c>
      <c r="E36">
        <f>IF($B36="","",IFERROR(VLOOKUP($B36,Maliyetler!$A:$E,4,FALSE),1))</f>
        <v/>
      </c>
      <c r="F36" s="10">
        <f>IF($B36="","",IFERROR(VLOOKUP(MIN(20,MAX(1,ROUND($E36,0))),Kargo!$A:$B,2,FALSE),99.46))</f>
        <v/>
      </c>
      <c r="G36" s="10">
        <f>IF($B36="","",IF(IF(N('Komisyon Tarifeleri'!AA36)&gt;='Komisyon Tarifeleri'!I36,'Komisyon Tarifeleri'!AA36,'Komisyon Tarifeleri'!I36)="","",IF(N('Komisyon Tarifeleri'!AA36)&gt;='Komisyon Tarifeleri'!I36,'Komisyon Tarifeleri'!AA36,'Komisyon Tarifeleri'!I36)))</f>
        <v/>
      </c>
      <c r="H36" s="11">
        <f>IF(G36="","",IF($AM$1=2,'Komisyon Tarifeleri'!U36,'Komisyon Tarifeleri'!P36))</f>
        <v/>
      </c>
      <c r="I36" s="10">
        <f>IF(OR(G36="",$D36=""),"",G36*(1-H36/100)-$D36-IF(G36&lt;=199.99,Kargo!$E$2,IF(G36&lt;=399.99,Kargo!$E$3,$F36)))</f>
        <v/>
      </c>
      <c r="J36" s="12">
        <f>IF(I36="","",I36/G36)</f>
        <v/>
      </c>
      <c r="K36" s="10">
        <f>IF($B36="","",IF('Komisyon Tarifeleri'!J36="","",'Komisyon Tarifeleri'!J36))</f>
        <v/>
      </c>
      <c r="L36" s="11">
        <f>IF(K36="","",IF($AM$1=2,'Komisyon Tarifeleri'!V36,'Komisyon Tarifeleri'!Q36))</f>
        <v/>
      </c>
      <c r="M36" s="10">
        <f>IF(OR(K36="",$D36=""),"",K36*(1-L36/100)-$D36-IF(K36&lt;=199.99,Kargo!$E$2,IF(K36&lt;=399.99,Kargo!$E$3,$F36)))</f>
        <v/>
      </c>
      <c r="N36" s="12">
        <f>IF(M36="","",M36/K36)</f>
        <v/>
      </c>
      <c r="O36" s="10">
        <f>IF($B36="","",IF('Komisyon Tarifeleri'!L36="","",'Komisyon Tarifeleri'!L36))</f>
        <v/>
      </c>
      <c r="P36" s="11">
        <f>IF(O36="","",IF($AM$1=2,'Komisyon Tarifeleri'!W36,'Komisyon Tarifeleri'!R36))</f>
        <v/>
      </c>
      <c r="Q36" s="10">
        <f>IF(OR(O36="",$D36=""),"",O36*(1-P36/100)-$D36-IF(O36&lt;=199.99,Kargo!$E$2,IF(O36&lt;=399.99,Kargo!$E$3,$F36)))</f>
        <v/>
      </c>
      <c r="R36" s="12">
        <f>IF(Q36="","",Q36/O36)</f>
        <v/>
      </c>
      <c r="S36" s="10">
        <f>IF($B36="","",IF('Komisyon Tarifeleri'!N36="","",'Komisyon Tarifeleri'!N36))</f>
        <v/>
      </c>
      <c r="T36" s="11">
        <f>IF(S36="","",IF($AM$1=2,'Komisyon Tarifeleri'!X36,'Komisyon Tarifeleri'!S36))</f>
        <v/>
      </c>
      <c r="U36" s="10">
        <f>IF(OR(S36="",$D36=""),"",S36*(1-T36/100)-$D36-IF(S36&lt;=199.99,Kargo!$E$2,IF(S36&lt;=399.99,Kargo!$E$3,$F36)))</f>
        <v/>
      </c>
      <c r="V36" s="12">
        <f>IF(U36="","",U36/S36)</f>
        <v/>
      </c>
      <c r="W36" s="12">
        <f>IF($B36="","",IFERROR(VLOOKUP($C36,Hedefler!$A:$C,2,FALSE),0.04))</f>
        <v/>
      </c>
      <c r="X36" s="12">
        <f>IF($B36="","",IFERROR(VLOOKUP($C36,Hedefler!$A:$C,3,FALSE),0.1))</f>
        <v/>
      </c>
      <c r="Y36" s="13">
        <f>IF($B36="","",IFERROR(VLOOKUP($B36,Maliyetler!$A:$E,5,FALSE),""))</f>
        <v/>
      </c>
      <c r="Z36" s="13">
        <f>IF(OR(Y36="",Y36=0),"",Y36-1)</f>
        <v/>
      </c>
      <c r="AA36" s="14">
        <f>IF(Z36="","",IF(Z36&gt;='Komisyon Tarifeleri'!I36,IF($AM$1=2,'Komisyon Tarifeleri'!U36,'Komisyon Tarifeleri'!P36),IF(Z36&gt;='Komisyon Tarifeleri'!K36,IF($AM$1=2,'Komisyon Tarifeleri'!V36,'Komisyon Tarifeleri'!Q36),IF(Z36&gt;='Komisyon Tarifeleri'!M36,IF($AM$1=2,'Komisyon Tarifeleri'!W36,'Komisyon Tarifeleri'!R36),IF($AM$1=2,'Komisyon Tarifeleri'!X36,'Komisyon Tarifeleri'!S36)))))</f>
        <v/>
      </c>
      <c r="AB36" s="13">
        <f>IF(OR(AA36="",$D36=""),"",Z36*(1-AA36/100)-$D36-IF(Z36&lt;=199.99,Kargo!$E$2,IF(Z36&lt;=399.99,Kargo!$E$3,$F36)))</f>
        <v/>
      </c>
      <c r="AC36" s="15">
        <f>IF(AB36="","",AB36/Z36)</f>
        <v/>
      </c>
      <c r="AD36" s="10">
        <f>IF(OR($D36="",$B36=""),"",IF(AND((1-T36/100-W36)&gt;0,CEILING(($D36+$F36)/(1-T36/100-W36),1)&lt;='Komisyon Tarifeleri'!N36),CEILING(($D36+$F36)/(1-T36/100-W36),1),IF(AND((1-P36/100-W36)&gt;0,CEILING(MAX('Komisyon Tarifeleri'!M36,($D36+$F36)/(1-P36/100-W36)),1)&lt;='Komisyon Tarifeleri'!L36),CEILING(MAX('Komisyon Tarifeleri'!M36,($D36+$F36)/(1-P36/100-W36)),1),IF(AND((1-L36/100-W36)&gt;0,CEILING(MAX('Komisyon Tarifeleri'!K36,($D36+$F36)/(1-L36/100-W36)),1)&lt;='Komisyon Tarifeleri'!J36),CEILING(MAX('Komisyon Tarifeleri'!K36,($D36+$F36)/(1-L36/100-W36)),1),IF((1-H36/100-W36)&gt;0,CEILING(MAX('Komisyon Tarifeleri'!I36,($D36+$F36)/(1-H36/100-W36)),1),"İMKÂNSIZ")))))</f>
        <v/>
      </c>
      <c r="AE36" s="10">
        <f>IF(OR($D36="",$B36=""),"",IF(AND((1-T36/100-X36)&gt;0,CEILING(($D36+$F36)/(1-T36/100-X36),1)&lt;='Komisyon Tarifeleri'!N36),CEILING(($D36+$F36)/(1-T36/100-X36),1),IF(AND((1-P36/100-X36)&gt;0,CEILING(MAX('Komisyon Tarifeleri'!M36,($D36+$F36)/(1-P36/100-X36)),1)&lt;='Komisyon Tarifeleri'!L36),CEILING(MAX('Komisyon Tarifeleri'!M36,($D36+$F36)/(1-P36/100-X36)),1),IF(AND((1-L36/100-X36)&gt;0,CEILING(MAX('Komisyon Tarifeleri'!K36,($D36+$F36)/(1-L36/100-X36)),1)&lt;='Komisyon Tarifeleri'!J36),CEILING(MAX('Komisyon Tarifeleri'!K36,($D36+$F36)/(1-L36/100-X36)),1),IF((1-H36/100-X36)&gt;0,CEILING(MAX('Komisyon Tarifeleri'!I36,($D36+$F36)/(1-H36/100-X36)),1),"İMKÂNSIZ")))))</f>
        <v/>
      </c>
      <c r="AF36" s="16">
        <f>IF($D36="","",IF(AND(Y36&lt;&gt;"",AC36&lt;&gt;"",AC36&gt;=W36),Z36,IF(Y36&lt;&gt;"",AD36,AE36)))</f>
        <v/>
      </c>
      <c r="AG36" s="16">
        <f>IF(OR(AF36="",AF36="İMKÂNSIZ"),"",AF36*(1-IF(AF36&gt;='Komisyon Tarifeleri'!I36,IF($AM$1=2,'Komisyon Tarifeleri'!U36,'Komisyon Tarifeleri'!P36),IF(AF36&gt;='Komisyon Tarifeleri'!K36,IF($AM$1=2,'Komisyon Tarifeleri'!V36,'Komisyon Tarifeleri'!Q36),IF(AF36&gt;='Komisyon Tarifeleri'!M36,IF($AM$1=2,'Komisyon Tarifeleri'!W36,'Komisyon Tarifeleri'!R36),IF($AM$1=2,'Komisyon Tarifeleri'!X36,'Komisyon Tarifeleri'!S36))))/100)-$D36-IF(AF36&lt;=199.99,Kargo!$E$2,IF(AF36&lt;=399.99,Kargo!$E$3,$F36)))</f>
        <v/>
      </c>
      <c r="AH36" s="17">
        <f>IF(AG36="","",AG36/AF36)</f>
        <v/>
      </c>
      <c r="AI36" s="18">
        <f>IF($D36="","",IF(Y36="","BUYBOX YOK → hedef kârla min fiyat",IF(AC36&gt;=W36,"✓ BUYBOX ALTINA GİR","BUYBOX ALTI KÂRSIZ → min kârlı fiyat")))</f>
        <v/>
      </c>
      <c r="AJ36" s="10">
        <f>IF($B36="","",IFERROR(VLOOKUP($B36,Maliyetler!$A:$G,6,FALSE),""))</f>
        <v/>
      </c>
      <c r="AK36">
        <f>IF($B36="","",IFERROR(VLOOKUP($B36,Maliyetler!$A:$G,7,FALSE),""))</f>
        <v/>
      </c>
      <c r="AO36" s="21">
        <f>IF($B36="","",IFERROR(VLOOKUP($B36&amp;"",'Plus Tarifeleri'!$C:$Q,11,FALSE),""))</f>
        <v/>
      </c>
      <c r="AP36" s="22">
        <f>IF(AO36="","",IFERROR(IF($AM$1=2,VLOOKUP($B36&amp;"",'Plus Tarifeleri'!$C:$Q,15,FALSE),VLOOKUP($B36&amp;"",'Plus Tarifeleri'!$C:$Q,13,FALSE)),""))</f>
        <v/>
      </c>
      <c r="AQ36" s="21">
        <f>IF(OR(AO36="",AP36="",$D36=""),"",AO36*(1-AP36/100)-$D36-IF(AO36&lt;=199.99,Kargo!$E$2,IF(AO36&lt;=399.99,Kargo!$E$3,$F36)))</f>
        <v/>
      </c>
      <c r="AR36" s="23">
        <f>IF(AQ36="","",AQ36/AO36)</f>
        <v/>
      </c>
      <c r="AS36" s="24">
        <f>IF(OR(AQ36="",AG36=""),"",AQ36-AG36)</f>
        <v/>
      </c>
    </row>
    <row r="37">
      <c r="A37">
        <f>IF('Komisyon Tarifeleri'!A37="","",'Komisyon Tarifeleri'!A37)</f>
        <v/>
      </c>
      <c r="B37">
        <f>IF('Komisyon Tarifeleri'!B37="","",'Komisyon Tarifeleri'!B37&amp;"")</f>
        <v/>
      </c>
      <c r="C37">
        <f>IF($B37="","",'Komisyon Tarifeleri'!F37)</f>
        <v/>
      </c>
      <c r="D37" s="10">
        <f>IF($B37="","",IFERROR(VLOOKUP($B37,Maliyetler!$A:$E,3,FALSE),""))</f>
        <v/>
      </c>
      <c r="E37">
        <f>IF($B37="","",IFERROR(VLOOKUP($B37,Maliyetler!$A:$E,4,FALSE),1))</f>
        <v/>
      </c>
      <c r="F37" s="10">
        <f>IF($B37="","",IFERROR(VLOOKUP(MIN(20,MAX(1,ROUND($E37,0))),Kargo!$A:$B,2,FALSE),99.46))</f>
        <v/>
      </c>
      <c r="G37" s="10">
        <f>IF($B37="","",IF(IF(N('Komisyon Tarifeleri'!AA37)&gt;='Komisyon Tarifeleri'!I37,'Komisyon Tarifeleri'!AA37,'Komisyon Tarifeleri'!I37)="","",IF(N('Komisyon Tarifeleri'!AA37)&gt;='Komisyon Tarifeleri'!I37,'Komisyon Tarifeleri'!AA37,'Komisyon Tarifeleri'!I37)))</f>
        <v/>
      </c>
      <c r="H37" s="11">
        <f>IF(G37="","",IF($AM$1=2,'Komisyon Tarifeleri'!U37,'Komisyon Tarifeleri'!P37))</f>
        <v/>
      </c>
      <c r="I37" s="10">
        <f>IF(OR(G37="",$D37=""),"",G37*(1-H37/100)-$D37-IF(G37&lt;=199.99,Kargo!$E$2,IF(G37&lt;=399.99,Kargo!$E$3,$F37)))</f>
        <v/>
      </c>
      <c r="J37" s="12">
        <f>IF(I37="","",I37/G37)</f>
        <v/>
      </c>
      <c r="K37" s="10">
        <f>IF($B37="","",IF('Komisyon Tarifeleri'!J37="","",'Komisyon Tarifeleri'!J37))</f>
        <v/>
      </c>
      <c r="L37" s="11">
        <f>IF(K37="","",IF($AM$1=2,'Komisyon Tarifeleri'!V37,'Komisyon Tarifeleri'!Q37))</f>
        <v/>
      </c>
      <c r="M37" s="10">
        <f>IF(OR(K37="",$D37=""),"",K37*(1-L37/100)-$D37-IF(K37&lt;=199.99,Kargo!$E$2,IF(K37&lt;=399.99,Kargo!$E$3,$F37)))</f>
        <v/>
      </c>
      <c r="N37" s="12">
        <f>IF(M37="","",M37/K37)</f>
        <v/>
      </c>
      <c r="O37" s="10">
        <f>IF($B37="","",IF('Komisyon Tarifeleri'!L37="","",'Komisyon Tarifeleri'!L37))</f>
        <v/>
      </c>
      <c r="P37" s="11">
        <f>IF(O37="","",IF($AM$1=2,'Komisyon Tarifeleri'!W37,'Komisyon Tarifeleri'!R37))</f>
        <v/>
      </c>
      <c r="Q37" s="10">
        <f>IF(OR(O37="",$D37=""),"",O37*(1-P37/100)-$D37-IF(O37&lt;=199.99,Kargo!$E$2,IF(O37&lt;=399.99,Kargo!$E$3,$F37)))</f>
        <v/>
      </c>
      <c r="R37" s="12">
        <f>IF(Q37="","",Q37/O37)</f>
        <v/>
      </c>
      <c r="S37" s="10">
        <f>IF($B37="","",IF('Komisyon Tarifeleri'!N37="","",'Komisyon Tarifeleri'!N37))</f>
        <v/>
      </c>
      <c r="T37" s="11">
        <f>IF(S37="","",IF($AM$1=2,'Komisyon Tarifeleri'!X37,'Komisyon Tarifeleri'!S37))</f>
        <v/>
      </c>
      <c r="U37" s="10">
        <f>IF(OR(S37="",$D37=""),"",S37*(1-T37/100)-$D37-IF(S37&lt;=199.99,Kargo!$E$2,IF(S37&lt;=399.99,Kargo!$E$3,$F37)))</f>
        <v/>
      </c>
      <c r="V37" s="12">
        <f>IF(U37="","",U37/S37)</f>
        <v/>
      </c>
      <c r="W37" s="12">
        <f>IF($B37="","",IFERROR(VLOOKUP($C37,Hedefler!$A:$C,2,FALSE),0.04))</f>
        <v/>
      </c>
      <c r="X37" s="12">
        <f>IF($B37="","",IFERROR(VLOOKUP($C37,Hedefler!$A:$C,3,FALSE),0.1))</f>
        <v/>
      </c>
      <c r="Y37" s="13">
        <f>IF($B37="","",IFERROR(VLOOKUP($B37,Maliyetler!$A:$E,5,FALSE),""))</f>
        <v/>
      </c>
      <c r="Z37" s="13">
        <f>IF(OR(Y37="",Y37=0),"",Y37-1)</f>
        <v/>
      </c>
      <c r="AA37" s="14">
        <f>IF(Z37="","",IF(Z37&gt;='Komisyon Tarifeleri'!I37,IF($AM$1=2,'Komisyon Tarifeleri'!U37,'Komisyon Tarifeleri'!P37),IF(Z37&gt;='Komisyon Tarifeleri'!K37,IF($AM$1=2,'Komisyon Tarifeleri'!V37,'Komisyon Tarifeleri'!Q37),IF(Z37&gt;='Komisyon Tarifeleri'!M37,IF($AM$1=2,'Komisyon Tarifeleri'!W37,'Komisyon Tarifeleri'!R37),IF($AM$1=2,'Komisyon Tarifeleri'!X37,'Komisyon Tarifeleri'!S37)))))</f>
        <v/>
      </c>
      <c r="AB37" s="13">
        <f>IF(OR(AA37="",$D37=""),"",Z37*(1-AA37/100)-$D37-IF(Z37&lt;=199.99,Kargo!$E$2,IF(Z37&lt;=399.99,Kargo!$E$3,$F37)))</f>
        <v/>
      </c>
      <c r="AC37" s="15">
        <f>IF(AB37="","",AB37/Z37)</f>
        <v/>
      </c>
      <c r="AD37" s="10">
        <f>IF(OR($D37="",$B37=""),"",IF(AND((1-T37/100-W37)&gt;0,CEILING(($D37+$F37)/(1-T37/100-W37),1)&lt;='Komisyon Tarifeleri'!N37),CEILING(($D37+$F37)/(1-T37/100-W37),1),IF(AND((1-P37/100-W37)&gt;0,CEILING(MAX('Komisyon Tarifeleri'!M37,($D37+$F37)/(1-P37/100-W37)),1)&lt;='Komisyon Tarifeleri'!L37),CEILING(MAX('Komisyon Tarifeleri'!M37,($D37+$F37)/(1-P37/100-W37)),1),IF(AND((1-L37/100-W37)&gt;0,CEILING(MAX('Komisyon Tarifeleri'!K37,($D37+$F37)/(1-L37/100-W37)),1)&lt;='Komisyon Tarifeleri'!J37),CEILING(MAX('Komisyon Tarifeleri'!K37,($D37+$F37)/(1-L37/100-W37)),1),IF((1-H37/100-W37)&gt;0,CEILING(MAX('Komisyon Tarifeleri'!I37,($D37+$F37)/(1-H37/100-W37)),1),"İMKÂNSIZ")))))</f>
        <v/>
      </c>
      <c r="AE37" s="10">
        <f>IF(OR($D37="",$B37=""),"",IF(AND((1-T37/100-X37)&gt;0,CEILING(($D37+$F37)/(1-T37/100-X37),1)&lt;='Komisyon Tarifeleri'!N37),CEILING(($D37+$F37)/(1-T37/100-X37),1),IF(AND((1-P37/100-X37)&gt;0,CEILING(MAX('Komisyon Tarifeleri'!M37,($D37+$F37)/(1-P37/100-X37)),1)&lt;='Komisyon Tarifeleri'!L37),CEILING(MAX('Komisyon Tarifeleri'!M37,($D37+$F37)/(1-P37/100-X37)),1),IF(AND((1-L37/100-X37)&gt;0,CEILING(MAX('Komisyon Tarifeleri'!K37,($D37+$F37)/(1-L37/100-X37)),1)&lt;='Komisyon Tarifeleri'!J37),CEILING(MAX('Komisyon Tarifeleri'!K37,($D37+$F37)/(1-L37/100-X37)),1),IF((1-H37/100-X37)&gt;0,CEILING(MAX('Komisyon Tarifeleri'!I37,($D37+$F37)/(1-H37/100-X37)),1),"İMKÂNSIZ")))))</f>
        <v/>
      </c>
      <c r="AF37" s="16">
        <f>IF($D37="","",IF(AND(Y37&lt;&gt;"",AC37&lt;&gt;"",AC37&gt;=W37),Z37,IF(Y37&lt;&gt;"",AD37,AE37)))</f>
        <v/>
      </c>
      <c r="AG37" s="16">
        <f>IF(OR(AF37="",AF37="İMKÂNSIZ"),"",AF37*(1-IF(AF37&gt;='Komisyon Tarifeleri'!I37,IF($AM$1=2,'Komisyon Tarifeleri'!U37,'Komisyon Tarifeleri'!P37),IF(AF37&gt;='Komisyon Tarifeleri'!K37,IF($AM$1=2,'Komisyon Tarifeleri'!V37,'Komisyon Tarifeleri'!Q37),IF(AF37&gt;='Komisyon Tarifeleri'!M37,IF($AM$1=2,'Komisyon Tarifeleri'!W37,'Komisyon Tarifeleri'!R37),IF($AM$1=2,'Komisyon Tarifeleri'!X37,'Komisyon Tarifeleri'!S37))))/100)-$D37-IF(AF37&lt;=199.99,Kargo!$E$2,IF(AF37&lt;=399.99,Kargo!$E$3,$F37)))</f>
        <v/>
      </c>
      <c r="AH37" s="17">
        <f>IF(AG37="","",AG37/AF37)</f>
        <v/>
      </c>
      <c r="AI37" s="18">
        <f>IF($D37="","",IF(Y37="","BUYBOX YOK → hedef kârla min fiyat",IF(AC37&gt;=W37,"✓ BUYBOX ALTINA GİR","BUYBOX ALTI KÂRSIZ → min kârlı fiyat")))</f>
        <v/>
      </c>
      <c r="AJ37" s="10">
        <f>IF($B37="","",IFERROR(VLOOKUP($B37,Maliyetler!$A:$G,6,FALSE),""))</f>
        <v/>
      </c>
      <c r="AK37">
        <f>IF($B37="","",IFERROR(VLOOKUP($B37,Maliyetler!$A:$G,7,FALSE),""))</f>
        <v/>
      </c>
      <c r="AO37" s="21">
        <f>IF($B37="","",IFERROR(VLOOKUP($B37&amp;"",'Plus Tarifeleri'!$C:$Q,11,FALSE),""))</f>
        <v/>
      </c>
      <c r="AP37" s="22">
        <f>IF(AO37="","",IFERROR(IF($AM$1=2,VLOOKUP($B37&amp;"",'Plus Tarifeleri'!$C:$Q,15,FALSE),VLOOKUP($B37&amp;"",'Plus Tarifeleri'!$C:$Q,13,FALSE)),""))</f>
        <v/>
      </c>
      <c r="AQ37" s="21">
        <f>IF(OR(AO37="",AP37="",$D37=""),"",AO37*(1-AP37/100)-$D37-IF(AO37&lt;=199.99,Kargo!$E$2,IF(AO37&lt;=399.99,Kargo!$E$3,$F37)))</f>
        <v/>
      </c>
      <c r="AR37" s="23">
        <f>IF(AQ37="","",AQ37/AO37)</f>
        <v/>
      </c>
      <c r="AS37" s="24">
        <f>IF(OR(AQ37="",AG37=""),"",AQ37-AG37)</f>
        <v/>
      </c>
    </row>
    <row r="38">
      <c r="A38">
        <f>IF('Komisyon Tarifeleri'!A38="","",'Komisyon Tarifeleri'!A38)</f>
        <v/>
      </c>
      <c r="B38">
        <f>IF('Komisyon Tarifeleri'!B38="","",'Komisyon Tarifeleri'!B38&amp;"")</f>
        <v/>
      </c>
      <c r="C38">
        <f>IF($B38="","",'Komisyon Tarifeleri'!F38)</f>
        <v/>
      </c>
      <c r="D38" s="10">
        <f>IF($B38="","",IFERROR(VLOOKUP($B38,Maliyetler!$A:$E,3,FALSE),""))</f>
        <v/>
      </c>
      <c r="E38">
        <f>IF($B38="","",IFERROR(VLOOKUP($B38,Maliyetler!$A:$E,4,FALSE),1))</f>
        <v/>
      </c>
      <c r="F38" s="10">
        <f>IF($B38="","",IFERROR(VLOOKUP(MIN(20,MAX(1,ROUND($E38,0))),Kargo!$A:$B,2,FALSE),99.46))</f>
        <v/>
      </c>
      <c r="G38" s="10">
        <f>IF($B38="","",IF(IF(N('Komisyon Tarifeleri'!AA38)&gt;='Komisyon Tarifeleri'!I38,'Komisyon Tarifeleri'!AA38,'Komisyon Tarifeleri'!I38)="","",IF(N('Komisyon Tarifeleri'!AA38)&gt;='Komisyon Tarifeleri'!I38,'Komisyon Tarifeleri'!AA38,'Komisyon Tarifeleri'!I38)))</f>
        <v/>
      </c>
      <c r="H38" s="11">
        <f>IF(G38="","",IF($AM$1=2,'Komisyon Tarifeleri'!U38,'Komisyon Tarifeleri'!P38))</f>
        <v/>
      </c>
      <c r="I38" s="10">
        <f>IF(OR(G38="",$D38=""),"",G38*(1-H38/100)-$D38-IF(G38&lt;=199.99,Kargo!$E$2,IF(G38&lt;=399.99,Kargo!$E$3,$F38)))</f>
        <v/>
      </c>
      <c r="J38" s="12">
        <f>IF(I38="","",I38/G38)</f>
        <v/>
      </c>
      <c r="K38" s="10">
        <f>IF($B38="","",IF('Komisyon Tarifeleri'!J38="","",'Komisyon Tarifeleri'!J38))</f>
        <v/>
      </c>
      <c r="L38" s="11">
        <f>IF(K38="","",IF($AM$1=2,'Komisyon Tarifeleri'!V38,'Komisyon Tarifeleri'!Q38))</f>
        <v/>
      </c>
      <c r="M38" s="10">
        <f>IF(OR(K38="",$D38=""),"",K38*(1-L38/100)-$D38-IF(K38&lt;=199.99,Kargo!$E$2,IF(K38&lt;=399.99,Kargo!$E$3,$F38)))</f>
        <v/>
      </c>
      <c r="N38" s="12">
        <f>IF(M38="","",M38/K38)</f>
        <v/>
      </c>
      <c r="O38" s="10">
        <f>IF($B38="","",IF('Komisyon Tarifeleri'!L38="","",'Komisyon Tarifeleri'!L38))</f>
        <v/>
      </c>
      <c r="P38" s="11">
        <f>IF(O38="","",IF($AM$1=2,'Komisyon Tarifeleri'!W38,'Komisyon Tarifeleri'!R38))</f>
        <v/>
      </c>
      <c r="Q38" s="10">
        <f>IF(OR(O38="",$D38=""),"",O38*(1-P38/100)-$D38-IF(O38&lt;=199.99,Kargo!$E$2,IF(O38&lt;=399.99,Kargo!$E$3,$F38)))</f>
        <v/>
      </c>
      <c r="R38" s="12">
        <f>IF(Q38="","",Q38/O38)</f>
        <v/>
      </c>
      <c r="S38" s="10">
        <f>IF($B38="","",IF('Komisyon Tarifeleri'!N38="","",'Komisyon Tarifeleri'!N38))</f>
        <v/>
      </c>
      <c r="T38" s="11">
        <f>IF(S38="","",IF($AM$1=2,'Komisyon Tarifeleri'!X38,'Komisyon Tarifeleri'!S38))</f>
        <v/>
      </c>
      <c r="U38" s="10">
        <f>IF(OR(S38="",$D38=""),"",S38*(1-T38/100)-$D38-IF(S38&lt;=199.99,Kargo!$E$2,IF(S38&lt;=399.99,Kargo!$E$3,$F38)))</f>
        <v/>
      </c>
      <c r="V38" s="12">
        <f>IF(U38="","",U38/S38)</f>
        <v/>
      </c>
      <c r="W38" s="12">
        <f>IF($B38="","",IFERROR(VLOOKUP($C38,Hedefler!$A:$C,2,FALSE),0.04))</f>
        <v/>
      </c>
      <c r="X38" s="12">
        <f>IF($B38="","",IFERROR(VLOOKUP($C38,Hedefler!$A:$C,3,FALSE),0.1))</f>
        <v/>
      </c>
      <c r="Y38" s="13">
        <f>IF($B38="","",IFERROR(VLOOKUP($B38,Maliyetler!$A:$E,5,FALSE),""))</f>
        <v/>
      </c>
      <c r="Z38" s="13">
        <f>IF(OR(Y38="",Y38=0),"",Y38-1)</f>
        <v/>
      </c>
      <c r="AA38" s="14">
        <f>IF(Z38="","",IF(Z38&gt;='Komisyon Tarifeleri'!I38,IF($AM$1=2,'Komisyon Tarifeleri'!U38,'Komisyon Tarifeleri'!P38),IF(Z38&gt;='Komisyon Tarifeleri'!K38,IF($AM$1=2,'Komisyon Tarifeleri'!V38,'Komisyon Tarifeleri'!Q38),IF(Z38&gt;='Komisyon Tarifeleri'!M38,IF($AM$1=2,'Komisyon Tarifeleri'!W38,'Komisyon Tarifeleri'!R38),IF($AM$1=2,'Komisyon Tarifeleri'!X38,'Komisyon Tarifeleri'!S38)))))</f>
        <v/>
      </c>
      <c r="AB38" s="13">
        <f>IF(OR(AA38="",$D38=""),"",Z38*(1-AA38/100)-$D38-IF(Z38&lt;=199.99,Kargo!$E$2,IF(Z38&lt;=399.99,Kargo!$E$3,$F38)))</f>
        <v/>
      </c>
      <c r="AC38" s="15">
        <f>IF(AB38="","",AB38/Z38)</f>
        <v/>
      </c>
      <c r="AD38" s="10">
        <f>IF(OR($D38="",$B38=""),"",IF(AND((1-T38/100-W38)&gt;0,CEILING(($D38+$F38)/(1-T38/100-W38),1)&lt;='Komisyon Tarifeleri'!N38),CEILING(($D38+$F38)/(1-T38/100-W38),1),IF(AND((1-P38/100-W38)&gt;0,CEILING(MAX('Komisyon Tarifeleri'!M38,($D38+$F38)/(1-P38/100-W38)),1)&lt;='Komisyon Tarifeleri'!L38),CEILING(MAX('Komisyon Tarifeleri'!M38,($D38+$F38)/(1-P38/100-W38)),1),IF(AND((1-L38/100-W38)&gt;0,CEILING(MAX('Komisyon Tarifeleri'!K38,($D38+$F38)/(1-L38/100-W38)),1)&lt;='Komisyon Tarifeleri'!J38),CEILING(MAX('Komisyon Tarifeleri'!K38,($D38+$F38)/(1-L38/100-W38)),1),IF((1-H38/100-W38)&gt;0,CEILING(MAX('Komisyon Tarifeleri'!I38,($D38+$F38)/(1-H38/100-W38)),1),"İMKÂNSIZ")))))</f>
        <v/>
      </c>
      <c r="AE38" s="10">
        <f>IF(OR($D38="",$B38=""),"",IF(AND((1-T38/100-X38)&gt;0,CEILING(($D38+$F38)/(1-T38/100-X38),1)&lt;='Komisyon Tarifeleri'!N38),CEILING(($D38+$F38)/(1-T38/100-X38),1),IF(AND((1-P38/100-X38)&gt;0,CEILING(MAX('Komisyon Tarifeleri'!M38,($D38+$F38)/(1-P38/100-X38)),1)&lt;='Komisyon Tarifeleri'!L38),CEILING(MAX('Komisyon Tarifeleri'!M38,($D38+$F38)/(1-P38/100-X38)),1),IF(AND((1-L38/100-X38)&gt;0,CEILING(MAX('Komisyon Tarifeleri'!K38,($D38+$F38)/(1-L38/100-X38)),1)&lt;='Komisyon Tarifeleri'!J38),CEILING(MAX('Komisyon Tarifeleri'!K38,($D38+$F38)/(1-L38/100-X38)),1),IF((1-H38/100-X38)&gt;0,CEILING(MAX('Komisyon Tarifeleri'!I38,($D38+$F38)/(1-H38/100-X38)),1),"İMKÂNSIZ")))))</f>
        <v/>
      </c>
      <c r="AF38" s="16">
        <f>IF($D38="","",IF(AND(Y38&lt;&gt;"",AC38&lt;&gt;"",AC38&gt;=W38),Z38,IF(Y38&lt;&gt;"",AD38,AE38)))</f>
        <v/>
      </c>
      <c r="AG38" s="16">
        <f>IF(OR(AF38="",AF38="İMKÂNSIZ"),"",AF38*(1-IF(AF38&gt;='Komisyon Tarifeleri'!I38,IF($AM$1=2,'Komisyon Tarifeleri'!U38,'Komisyon Tarifeleri'!P38),IF(AF38&gt;='Komisyon Tarifeleri'!K38,IF($AM$1=2,'Komisyon Tarifeleri'!V38,'Komisyon Tarifeleri'!Q38),IF(AF38&gt;='Komisyon Tarifeleri'!M38,IF($AM$1=2,'Komisyon Tarifeleri'!W38,'Komisyon Tarifeleri'!R38),IF($AM$1=2,'Komisyon Tarifeleri'!X38,'Komisyon Tarifeleri'!S38))))/100)-$D38-IF(AF38&lt;=199.99,Kargo!$E$2,IF(AF38&lt;=399.99,Kargo!$E$3,$F38)))</f>
        <v/>
      </c>
      <c r="AH38" s="17">
        <f>IF(AG38="","",AG38/AF38)</f>
        <v/>
      </c>
      <c r="AI38" s="18">
        <f>IF($D38="","",IF(Y38="","BUYBOX YOK → hedef kârla min fiyat",IF(AC38&gt;=W38,"✓ BUYBOX ALTINA GİR","BUYBOX ALTI KÂRSIZ → min kârlı fiyat")))</f>
        <v/>
      </c>
      <c r="AJ38" s="10">
        <f>IF($B38="","",IFERROR(VLOOKUP($B38,Maliyetler!$A:$G,6,FALSE),""))</f>
        <v/>
      </c>
      <c r="AK38">
        <f>IF($B38="","",IFERROR(VLOOKUP($B38,Maliyetler!$A:$G,7,FALSE),""))</f>
        <v/>
      </c>
      <c r="AO38" s="21">
        <f>IF($B38="","",IFERROR(VLOOKUP($B38&amp;"",'Plus Tarifeleri'!$C:$Q,11,FALSE),""))</f>
        <v/>
      </c>
      <c r="AP38" s="22">
        <f>IF(AO38="","",IFERROR(IF($AM$1=2,VLOOKUP($B38&amp;"",'Plus Tarifeleri'!$C:$Q,15,FALSE),VLOOKUP($B38&amp;"",'Plus Tarifeleri'!$C:$Q,13,FALSE)),""))</f>
        <v/>
      </c>
      <c r="AQ38" s="21">
        <f>IF(OR(AO38="",AP38="",$D38=""),"",AO38*(1-AP38/100)-$D38-IF(AO38&lt;=199.99,Kargo!$E$2,IF(AO38&lt;=399.99,Kargo!$E$3,$F38)))</f>
        <v/>
      </c>
      <c r="AR38" s="23">
        <f>IF(AQ38="","",AQ38/AO38)</f>
        <v/>
      </c>
      <c r="AS38" s="24">
        <f>IF(OR(AQ38="",AG38=""),"",AQ38-AG38)</f>
        <v/>
      </c>
    </row>
    <row r="39">
      <c r="A39">
        <f>IF('Komisyon Tarifeleri'!A39="","",'Komisyon Tarifeleri'!A39)</f>
        <v/>
      </c>
      <c r="B39">
        <f>IF('Komisyon Tarifeleri'!B39="","",'Komisyon Tarifeleri'!B39&amp;"")</f>
        <v/>
      </c>
      <c r="C39">
        <f>IF($B39="","",'Komisyon Tarifeleri'!F39)</f>
        <v/>
      </c>
      <c r="D39" s="10">
        <f>IF($B39="","",IFERROR(VLOOKUP($B39,Maliyetler!$A:$E,3,FALSE),""))</f>
        <v/>
      </c>
      <c r="E39">
        <f>IF($B39="","",IFERROR(VLOOKUP($B39,Maliyetler!$A:$E,4,FALSE),1))</f>
        <v/>
      </c>
      <c r="F39" s="10">
        <f>IF($B39="","",IFERROR(VLOOKUP(MIN(20,MAX(1,ROUND($E39,0))),Kargo!$A:$B,2,FALSE),99.46))</f>
        <v/>
      </c>
      <c r="G39" s="10">
        <f>IF($B39="","",IF(IF(N('Komisyon Tarifeleri'!AA39)&gt;='Komisyon Tarifeleri'!I39,'Komisyon Tarifeleri'!AA39,'Komisyon Tarifeleri'!I39)="","",IF(N('Komisyon Tarifeleri'!AA39)&gt;='Komisyon Tarifeleri'!I39,'Komisyon Tarifeleri'!AA39,'Komisyon Tarifeleri'!I39)))</f>
        <v/>
      </c>
      <c r="H39" s="11">
        <f>IF(G39="","",IF($AM$1=2,'Komisyon Tarifeleri'!U39,'Komisyon Tarifeleri'!P39))</f>
        <v/>
      </c>
      <c r="I39" s="10">
        <f>IF(OR(G39="",$D39=""),"",G39*(1-H39/100)-$D39-IF(G39&lt;=199.99,Kargo!$E$2,IF(G39&lt;=399.99,Kargo!$E$3,$F39)))</f>
        <v/>
      </c>
      <c r="J39" s="12">
        <f>IF(I39="","",I39/G39)</f>
        <v/>
      </c>
      <c r="K39" s="10">
        <f>IF($B39="","",IF('Komisyon Tarifeleri'!J39="","",'Komisyon Tarifeleri'!J39))</f>
        <v/>
      </c>
      <c r="L39" s="11">
        <f>IF(K39="","",IF($AM$1=2,'Komisyon Tarifeleri'!V39,'Komisyon Tarifeleri'!Q39))</f>
        <v/>
      </c>
      <c r="M39" s="10">
        <f>IF(OR(K39="",$D39=""),"",K39*(1-L39/100)-$D39-IF(K39&lt;=199.99,Kargo!$E$2,IF(K39&lt;=399.99,Kargo!$E$3,$F39)))</f>
        <v/>
      </c>
      <c r="N39" s="12">
        <f>IF(M39="","",M39/K39)</f>
        <v/>
      </c>
      <c r="O39" s="10">
        <f>IF($B39="","",IF('Komisyon Tarifeleri'!L39="","",'Komisyon Tarifeleri'!L39))</f>
        <v/>
      </c>
      <c r="P39" s="11">
        <f>IF(O39="","",IF($AM$1=2,'Komisyon Tarifeleri'!W39,'Komisyon Tarifeleri'!R39))</f>
        <v/>
      </c>
      <c r="Q39" s="10">
        <f>IF(OR(O39="",$D39=""),"",O39*(1-P39/100)-$D39-IF(O39&lt;=199.99,Kargo!$E$2,IF(O39&lt;=399.99,Kargo!$E$3,$F39)))</f>
        <v/>
      </c>
      <c r="R39" s="12">
        <f>IF(Q39="","",Q39/O39)</f>
        <v/>
      </c>
      <c r="S39" s="10">
        <f>IF($B39="","",IF('Komisyon Tarifeleri'!N39="","",'Komisyon Tarifeleri'!N39))</f>
        <v/>
      </c>
      <c r="T39" s="11">
        <f>IF(S39="","",IF($AM$1=2,'Komisyon Tarifeleri'!X39,'Komisyon Tarifeleri'!S39))</f>
        <v/>
      </c>
      <c r="U39" s="10">
        <f>IF(OR(S39="",$D39=""),"",S39*(1-T39/100)-$D39-IF(S39&lt;=199.99,Kargo!$E$2,IF(S39&lt;=399.99,Kargo!$E$3,$F39)))</f>
        <v/>
      </c>
      <c r="V39" s="12">
        <f>IF(U39="","",U39/S39)</f>
        <v/>
      </c>
      <c r="W39" s="12">
        <f>IF($B39="","",IFERROR(VLOOKUP($C39,Hedefler!$A:$C,2,FALSE),0.04))</f>
        <v/>
      </c>
      <c r="X39" s="12">
        <f>IF($B39="","",IFERROR(VLOOKUP($C39,Hedefler!$A:$C,3,FALSE),0.1))</f>
        <v/>
      </c>
      <c r="Y39" s="13">
        <f>IF($B39="","",IFERROR(VLOOKUP($B39,Maliyetler!$A:$E,5,FALSE),""))</f>
        <v/>
      </c>
      <c r="Z39" s="13">
        <f>IF(OR(Y39="",Y39=0),"",Y39-1)</f>
        <v/>
      </c>
      <c r="AA39" s="14">
        <f>IF(Z39="","",IF(Z39&gt;='Komisyon Tarifeleri'!I39,IF($AM$1=2,'Komisyon Tarifeleri'!U39,'Komisyon Tarifeleri'!P39),IF(Z39&gt;='Komisyon Tarifeleri'!K39,IF($AM$1=2,'Komisyon Tarifeleri'!V39,'Komisyon Tarifeleri'!Q39),IF(Z39&gt;='Komisyon Tarifeleri'!M39,IF($AM$1=2,'Komisyon Tarifeleri'!W39,'Komisyon Tarifeleri'!R39),IF($AM$1=2,'Komisyon Tarifeleri'!X39,'Komisyon Tarifeleri'!S39)))))</f>
        <v/>
      </c>
      <c r="AB39" s="13">
        <f>IF(OR(AA39="",$D39=""),"",Z39*(1-AA39/100)-$D39-IF(Z39&lt;=199.99,Kargo!$E$2,IF(Z39&lt;=399.99,Kargo!$E$3,$F39)))</f>
        <v/>
      </c>
      <c r="AC39" s="15">
        <f>IF(AB39="","",AB39/Z39)</f>
        <v/>
      </c>
      <c r="AD39" s="10">
        <f>IF(OR($D39="",$B39=""),"",IF(AND((1-T39/100-W39)&gt;0,CEILING(($D39+$F39)/(1-T39/100-W39),1)&lt;='Komisyon Tarifeleri'!N39),CEILING(($D39+$F39)/(1-T39/100-W39),1),IF(AND((1-P39/100-W39)&gt;0,CEILING(MAX('Komisyon Tarifeleri'!M39,($D39+$F39)/(1-P39/100-W39)),1)&lt;='Komisyon Tarifeleri'!L39),CEILING(MAX('Komisyon Tarifeleri'!M39,($D39+$F39)/(1-P39/100-W39)),1),IF(AND((1-L39/100-W39)&gt;0,CEILING(MAX('Komisyon Tarifeleri'!K39,($D39+$F39)/(1-L39/100-W39)),1)&lt;='Komisyon Tarifeleri'!J39),CEILING(MAX('Komisyon Tarifeleri'!K39,($D39+$F39)/(1-L39/100-W39)),1),IF((1-H39/100-W39)&gt;0,CEILING(MAX('Komisyon Tarifeleri'!I39,($D39+$F39)/(1-H39/100-W39)),1),"İMKÂNSIZ")))))</f>
        <v/>
      </c>
      <c r="AE39" s="10">
        <f>IF(OR($D39="",$B39=""),"",IF(AND((1-T39/100-X39)&gt;0,CEILING(($D39+$F39)/(1-T39/100-X39),1)&lt;='Komisyon Tarifeleri'!N39),CEILING(($D39+$F39)/(1-T39/100-X39),1),IF(AND((1-P39/100-X39)&gt;0,CEILING(MAX('Komisyon Tarifeleri'!M39,($D39+$F39)/(1-P39/100-X39)),1)&lt;='Komisyon Tarifeleri'!L39),CEILING(MAX('Komisyon Tarifeleri'!M39,($D39+$F39)/(1-P39/100-X39)),1),IF(AND((1-L39/100-X39)&gt;0,CEILING(MAX('Komisyon Tarifeleri'!K39,($D39+$F39)/(1-L39/100-X39)),1)&lt;='Komisyon Tarifeleri'!J39),CEILING(MAX('Komisyon Tarifeleri'!K39,($D39+$F39)/(1-L39/100-X39)),1),IF((1-H39/100-X39)&gt;0,CEILING(MAX('Komisyon Tarifeleri'!I39,($D39+$F39)/(1-H39/100-X39)),1),"İMKÂNSIZ")))))</f>
        <v/>
      </c>
      <c r="AF39" s="16">
        <f>IF($D39="","",IF(AND(Y39&lt;&gt;"",AC39&lt;&gt;"",AC39&gt;=W39),Z39,IF(Y39&lt;&gt;"",AD39,AE39)))</f>
        <v/>
      </c>
      <c r="AG39" s="16">
        <f>IF(OR(AF39="",AF39="İMKÂNSIZ"),"",AF39*(1-IF(AF39&gt;='Komisyon Tarifeleri'!I39,IF($AM$1=2,'Komisyon Tarifeleri'!U39,'Komisyon Tarifeleri'!P39),IF(AF39&gt;='Komisyon Tarifeleri'!K39,IF($AM$1=2,'Komisyon Tarifeleri'!V39,'Komisyon Tarifeleri'!Q39),IF(AF39&gt;='Komisyon Tarifeleri'!M39,IF($AM$1=2,'Komisyon Tarifeleri'!W39,'Komisyon Tarifeleri'!R39),IF($AM$1=2,'Komisyon Tarifeleri'!X39,'Komisyon Tarifeleri'!S39))))/100)-$D39-IF(AF39&lt;=199.99,Kargo!$E$2,IF(AF39&lt;=399.99,Kargo!$E$3,$F39)))</f>
        <v/>
      </c>
      <c r="AH39" s="17">
        <f>IF(AG39="","",AG39/AF39)</f>
        <v/>
      </c>
      <c r="AI39" s="18">
        <f>IF($D39="","",IF(Y39="","BUYBOX YOK → hedef kârla min fiyat",IF(AC39&gt;=W39,"✓ BUYBOX ALTINA GİR","BUYBOX ALTI KÂRSIZ → min kârlı fiyat")))</f>
        <v/>
      </c>
      <c r="AJ39" s="10">
        <f>IF($B39="","",IFERROR(VLOOKUP($B39,Maliyetler!$A:$G,6,FALSE),""))</f>
        <v/>
      </c>
      <c r="AK39">
        <f>IF($B39="","",IFERROR(VLOOKUP($B39,Maliyetler!$A:$G,7,FALSE),""))</f>
        <v/>
      </c>
      <c r="AO39" s="21">
        <f>IF($B39="","",IFERROR(VLOOKUP($B39&amp;"",'Plus Tarifeleri'!$C:$Q,11,FALSE),""))</f>
        <v/>
      </c>
      <c r="AP39" s="22">
        <f>IF(AO39="","",IFERROR(IF($AM$1=2,VLOOKUP($B39&amp;"",'Plus Tarifeleri'!$C:$Q,15,FALSE),VLOOKUP($B39&amp;"",'Plus Tarifeleri'!$C:$Q,13,FALSE)),""))</f>
        <v/>
      </c>
      <c r="AQ39" s="21">
        <f>IF(OR(AO39="",AP39="",$D39=""),"",AO39*(1-AP39/100)-$D39-IF(AO39&lt;=199.99,Kargo!$E$2,IF(AO39&lt;=399.99,Kargo!$E$3,$F39)))</f>
        <v/>
      </c>
      <c r="AR39" s="23">
        <f>IF(AQ39="","",AQ39/AO39)</f>
        <v/>
      </c>
      <c r="AS39" s="24">
        <f>IF(OR(AQ39="",AG39=""),"",AQ39-AG39)</f>
        <v/>
      </c>
    </row>
    <row r="40">
      <c r="A40">
        <f>IF('Komisyon Tarifeleri'!A40="","",'Komisyon Tarifeleri'!A40)</f>
        <v/>
      </c>
      <c r="B40">
        <f>IF('Komisyon Tarifeleri'!B40="","",'Komisyon Tarifeleri'!B40&amp;"")</f>
        <v/>
      </c>
      <c r="C40">
        <f>IF($B40="","",'Komisyon Tarifeleri'!F40)</f>
        <v/>
      </c>
      <c r="D40" s="10">
        <f>IF($B40="","",IFERROR(VLOOKUP($B40,Maliyetler!$A:$E,3,FALSE),""))</f>
        <v/>
      </c>
      <c r="E40">
        <f>IF($B40="","",IFERROR(VLOOKUP($B40,Maliyetler!$A:$E,4,FALSE),1))</f>
        <v/>
      </c>
      <c r="F40" s="10">
        <f>IF($B40="","",IFERROR(VLOOKUP(MIN(20,MAX(1,ROUND($E40,0))),Kargo!$A:$B,2,FALSE),99.46))</f>
        <v/>
      </c>
      <c r="G40" s="10">
        <f>IF($B40="","",IF(IF(N('Komisyon Tarifeleri'!AA40)&gt;='Komisyon Tarifeleri'!I40,'Komisyon Tarifeleri'!AA40,'Komisyon Tarifeleri'!I40)="","",IF(N('Komisyon Tarifeleri'!AA40)&gt;='Komisyon Tarifeleri'!I40,'Komisyon Tarifeleri'!AA40,'Komisyon Tarifeleri'!I40)))</f>
        <v/>
      </c>
      <c r="H40" s="11">
        <f>IF(G40="","",IF($AM$1=2,'Komisyon Tarifeleri'!U40,'Komisyon Tarifeleri'!P40))</f>
        <v/>
      </c>
      <c r="I40" s="10">
        <f>IF(OR(G40="",$D40=""),"",G40*(1-H40/100)-$D40-IF(G40&lt;=199.99,Kargo!$E$2,IF(G40&lt;=399.99,Kargo!$E$3,$F40)))</f>
        <v/>
      </c>
      <c r="J40" s="12">
        <f>IF(I40="","",I40/G40)</f>
        <v/>
      </c>
      <c r="K40" s="10">
        <f>IF($B40="","",IF('Komisyon Tarifeleri'!J40="","",'Komisyon Tarifeleri'!J40))</f>
        <v/>
      </c>
      <c r="L40" s="11">
        <f>IF(K40="","",IF($AM$1=2,'Komisyon Tarifeleri'!V40,'Komisyon Tarifeleri'!Q40))</f>
        <v/>
      </c>
      <c r="M40" s="10">
        <f>IF(OR(K40="",$D40=""),"",K40*(1-L40/100)-$D40-IF(K40&lt;=199.99,Kargo!$E$2,IF(K40&lt;=399.99,Kargo!$E$3,$F40)))</f>
        <v/>
      </c>
      <c r="N40" s="12">
        <f>IF(M40="","",M40/K40)</f>
        <v/>
      </c>
      <c r="O40" s="10">
        <f>IF($B40="","",IF('Komisyon Tarifeleri'!L40="","",'Komisyon Tarifeleri'!L40))</f>
        <v/>
      </c>
      <c r="P40" s="11">
        <f>IF(O40="","",IF($AM$1=2,'Komisyon Tarifeleri'!W40,'Komisyon Tarifeleri'!R40))</f>
        <v/>
      </c>
      <c r="Q40" s="10">
        <f>IF(OR(O40="",$D40=""),"",O40*(1-P40/100)-$D40-IF(O40&lt;=199.99,Kargo!$E$2,IF(O40&lt;=399.99,Kargo!$E$3,$F40)))</f>
        <v/>
      </c>
      <c r="R40" s="12">
        <f>IF(Q40="","",Q40/O40)</f>
        <v/>
      </c>
      <c r="S40" s="10">
        <f>IF($B40="","",IF('Komisyon Tarifeleri'!N40="","",'Komisyon Tarifeleri'!N40))</f>
        <v/>
      </c>
      <c r="T40" s="11">
        <f>IF(S40="","",IF($AM$1=2,'Komisyon Tarifeleri'!X40,'Komisyon Tarifeleri'!S40))</f>
        <v/>
      </c>
      <c r="U40" s="10">
        <f>IF(OR(S40="",$D40=""),"",S40*(1-T40/100)-$D40-IF(S40&lt;=199.99,Kargo!$E$2,IF(S40&lt;=399.99,Kargo!$E$3,$F40)))</f>
        <v/>
      </c>
      <c r="V40" s="12">
        <f>IF(U40="","",U40/S40)</f>
        <v/>
      </c>
      <c r="W40" s="12">
        <f>IF($B40="","",IFERROR(VLOOKUP($C40,Hedefler!$A:$C,2,FALSE),0.04))</f>
        <v/>
      </c>
      <c r="X40" s="12">
        <f>IF($B40="","",IFERROR(VLOOKUP($C40,Hedefler!$A:$C,3,FALSE),0.1))</f>
        <v/>
      </c>
      <c r="Y40" s="13">
        <f>IF($B40="","",IFERROR(VLOOKUP($B40,Maliyetler!$A:$E,5,FALSE),""))</f>
        <v/>
      </c>
      <c r="Z40" s="13">
        <f>IF(OR(Y40="",Y40=0),"",Y40-1)</f>
        <v/>
      </c>
      <c r="AA40" s="14">
        <f>IF(Z40="","",IF(Z40&gt;='Komisyon Tarifeleri'!I40,IF($AM$1=2,'Komisyon Tarifeleri'!U40,'Komisyon Tarifeleri'!P40),IF(Z40&gt;='Komisyon Tarifeleri'!K40,IF($AM$1=2,'Komisyon Tarifeleri'!V40,'Komisyon Tarifeleri'!Q40),IF(Z40&gt;='Komisyon Tarifeleri'!M40,IF($AM$1=2,'Komisyon Tarifeleri'!W40,'Komisyon Tarifeleri'!R40),IF($AM$1=2,'Komisyon Tarifeleri'!X40,'Komisyon Tarifeleri'!S40)))))</f>
        <v/>
      </c>
      <c r="AB40" s="13">
        <f>IF(OR(AA40="",$D40=""),"",Z40*(1-AA40/100)-$D40-IF(Z40&lt;=199.99,Kargo!$E$2,IF(Z40&lt;=399.99,Kargo!$E$3,$F40)))</f>
        <v/>
      </c>
      <c r="AC40" s="15">
        <f>IF(AB40="","",AB40/Z40)</f>
        <v/>
      </c>
      <c r="AD40" s="10">
        <f>IF(OR($D40="",$B40=""),"",IF(AND((1-T40/100-W40)&gt;0,CEILING(($D40+$F40)/(1-T40/100-W40),1)&lt;='Komisyon Tarifeleri'!N40),CEILING(($D40+$F40)/(1-T40/100-W40),1),IF(AND((1-P40/100-W40)&gt;0,CEILING(MAX('Komisyon Tarifeleri'!M40,($D40+$F40)/(1-P40/100-W40)),1)&lt;='Komisyon Tarifeleri'!L40),CEILING(MAX('Komisyon Tarifeleri'!M40,($D40+$F40)/(1-P40/100-W40)),1),IF(AND((1-L40/100-W40)&gt;0,CEILING(MAX('Komisyon Tarifeleri'!K40,($D40+$F40)/(1-L40/100-W40)),1)&lt;='Komisyon Tarifeleri'!J40),CEILING(MAX('Komisyon Tarifeleri'!K40,($D40+$F40)/(1-L40/100-W40)),1),IF((1-H40/100-W40)&gt;0,CEILING(MAX('Komisyon Tarifeleri'!I40,($D40+$F40)/(1-H40/100-W40)),1),"İMKÂNSIZ")))))</f>
        <v/>
      </c>
      <c r="AE40" s="10">
        <f>IF(OR($D40="",$B40=""),"",IF(AND((1-T40/100-X40)&gt;0,CEILING(($D40+$F40)/(1-T40/100-X40),1)&lt;='Komisyon Tarifeleri'!N40),CEILING(($D40+$F40)/(1-T40/100-X40),1),IF(AND((1-P40/100-X40)&gt;0,CEILING(MAX('Komisyon Tarifeleri'!M40,($D40+$F40)/(1-P40/100-X40)),1)&lt;='Komisyon Tarifeleri'!L40),CEILING(MAX('Komisyon Tarifeleri'!M40,($D40+$F40)/(1-P40/100-X40)),1),IF(AND((1-L40/100-X40)&gt;0,CEILING(MAX('Komisyon Tarifeleri'!K40,($D40+$F40)/(1-L40/100-X40)),1)&lt;='Komisyon Tarifeleri'!J40),CEILING(MAX('Komisyon Tarifeleri'!K40,($D40+$F40)/(1-L40/100-X40)),1),IF((1-H40/100-X40)&gt;0,CEILING(MAX('Komisyon Tarifeleri'!I40,($D40+$F40)/(1-H40/100-X40)),1),"İMKÂNSIZ")))))</f>
        <v/>
      </c>
      <c r="AF40" s="16">
        <f>IF($D40="","",IF(AND(Y40&lt;&gt;"",AC40&lt;&gt;"",AC40&gt;=W40),Z40,IF(Y40&lt;&gt;"",AD40,AE40)))</f>
        <v/>
      </c>
      <c r="AG40" s="16">
        <f>IF(OR(AF40="",AF40="İMKÂNSIZ"),"",AF40*(1-IF(AF40&gt;='Komisyon Tarifeleri'!I40,IF($AM$1=2,'Komisyon Tarifeleri'!U40,'Komisyon Tarifeleri'!P40),IF(AF40&gt;='Komisyon Tarifeleri'!K40,IF($AM$1=2,'Komisyon Tarifeleri'!V40,'Komisyon Tarifeleri'!Q40),IF(AF40&gt;='Komisyon Tarifeleri'!M40,IF($AM$1=2,'Komisyon Tarifeleri'!W40,'Komisyon Tarifeleri'!R40),IF($AM$1=2,'Komisyon Tarifeleri'!X40,'Komisyon Tarifeleri'!S40))))/100)-$D40-IF(AF40&lt;=199.99,Kargo!$E$2,IF(AF40&lt;=399.99,Kargo!$E$3,$F40)))</f>
        <v/>
      </c>
      <c r="AH40" s="17">
        <f>IF(AG40="","",AG40/AF40)</f>
        <v/>
      </c>
      <c r="AI40" s="18">
        <f>IF($D40="","",IF(Y40="","BUYBOX YOK → hedef kârla min fiyat",IF(AC40&gt;=W40,"✓ BUYBOX ALTINA GİR","BUYBOX ALTI KÂRSIZ → min kârlı fiyat")))</f>
        <v/>
      </c>
      <c r="AJ40" s="10">
        <f>IF($B40="","",IFERROR(VLOOKUP($B40,Maliyetler!$A:$G,6,FALSE),""))</f>
        <v/>
      </c>
      <c r="AK40">
        <f>IF($B40="","",IFERROR(VLOOKUP($B40,Maliyetler!$A:$G,7,FALSE),""))</f>
        <v/>
      </c>
      <c r="AO40" s="21">
        <f>IF($B40="","",IFERROR(VLOOKUP($B40&amp;"",'Plus Tarifeleri'!$C:$Q,11,FALSE),""))</f>
        <v/>
      </c>
      <c r="AP40" s="22">
        <f>IF(AO40="","",IFERROR(IF($AM$1=2,VLOOKUP($B40&amp;"",'Plus Tarifeleri'!$C:$Q,15,FALSE),VLOOKUP($B40&amp;"",'Plus Tarifeleri'!$C:$Q,13,FALSE)),""))</f>
        <v/>
      </c>
      <c r="AQ40" s="21">
        <f>IF(OR(AO40="",AP40="",$D40=""),"",AO40*(1-AP40/100)-$D40-IF(AO40&lt;=199.99,Kargo!$E$2,IF(AO40&lt;=399.99,Kargo!$E$3,$F40)))</f>
        <v/>
      </c>
      <c r="AR40" s="23">
        <f>IF(AQ40="","",AQ40/AO40)</f>
        <v/>
      </c>
      <c r="AS40" s="24">
        <f>IF(OR(AQ40="",AG40=""),"",AQ40-AG40)</f>
        <v/>
      </c>
    </row>
    <row r="41">
      <c r="A41">
        <f>IF('Komisyon Tarifeleri'!A41="","",'Komisyon Tarifeleri'!A41)</f>
        <v/>
      </c>
      <c r="B41">
        <f>IF('Komisyon Tarifeleri'!B41="","",'Komisyon Tarifeleri'!B41&amp;"")</f>
        <v/>
      </c>
      <c r="C41">
        <f>IF($B41="","",'Komisyon Tarifeleri'!F41)</f>
        <v/>
      </c>
      <c r="D41" s="10">
        <f>IF($B41="","",IFERROR(VLOOKUP($B41,Maliyetler!$A:$E,3,FALSE),""))</f>
        <v/>
      </c>
      <c r="E41">
        <f>IF($B41="","",IFERROR(VLOOKUP($B41,Maliyetler!$A:$E,4,FALSE),1))</f>
        <v/>
      </c>
      <c r="F41" s="10">
        <f>IF($B41="","",IFERROR(VLOOKUP(MIN(20,MAX(1,ROUND($E41,0))),Kargo!$A:$B,2,FALSE),99.46))</f>
        <v/>
      </c>
      <c r="G41" s="10">
        <f>IF($B41="","",IF(IF(N('Komisyon Tarifeleri'!AA41)&gt;='Komisyon Tarifeleri'!I41,'Komisyon Tarifeleri'!AA41,'Komisyon Tarifeleri'!I41)="","",IF(N('Komisyon Tarifeleri'!AA41)&gt;='Komisyon Tarifeleri'!I41,'Komisyon Tarifeleri'!AA41,'Komisyon Tarifeleri'!I41)))</f>
        <v/>
      </c>
      <c r="H41" s="11">
        <f>IF(G41="","",IF($AM$1=2,'Komisyon Tarifeleri'!U41,'Komisyon Tarifeleri'!P41))</f>
        <v/>
      </c>
      <c r="I41" s="10">
        <f>IF(OR(G41="",$D41=""),"",G41*(1-H41/100)-$D41-IF(G41&lt;=199.99,Kargo!$E$2,IF(G41&lt;=399.99,Kargo!$E$3,$F41)))</f>
        <v/>
      </c>
      <c r="J41" s="12">
        <f>IF(I41="","",I41/G41)</f>
        <v/>
      </c>
      <c r="K41" s="10">
        <f>IF($B41="","",IF('Komisyon Tarifeleri'!J41="","",'Komisyon Tarifeleri'!J41))</f>
        <v/>
      </c>
      <c r="L41" s="11">
        <f>IF(K41="","",IF($AM$1=2,'Komisyon Tarifeleri'!V41,'Komisyon Tarifeleri'!Q41))</f>
        <v/>
      </c>
      <c r="M41" s="10">
        <f>IF(OR(K41="",$D41=""),"",K41*(1-L41/100)-$D41-IF(K41&lt;=199.99,Kargo!$E$2,IF(K41&lt;=399.99,Kargo!$E$3,$F41)))</f>
        <v/>
      </c>
      <c r="N41" s="12">
        <f>IF(M41="","",M41/K41)</f>
        <v/>
      </c>
      <c r="O41" s="10">
        <f>IF($B41="","",IF('Komisyon Tarifeleri'!L41="","",'Komisyon Tarifeleri'!L41))</f>
        <v/>
      </c>
      <c r="P41" s="11">
        <f>IF(O41="","",IF($AM$1=2,'Komisyon Tarifeleri'!W41,'Komisyon Tarifeleri'!R41))</f>
        <v/>
      </c>
      <c r="Q41" s="10">
        <f>IF(OR(O41="",$D41=""),"",O41*(1-P41/100)-$D41-IF(O41&lt;=199.99,Kargo!$E$2,IF(O41&lt;=399.99,Kargo!$E$3,$F41)))</f>
        <v/>
      </c>
      <c r="R41" s="12">
        <f>IF(Q41="","",Q41/O41)</f>
        <v/>
      </c>
      <c r="S41" s="10">
        <f>IF($B41="","",IF('Komisyon Tarifeleri'!N41="","",'Komisyon Tarifeleri'!N41))</f>
        <v/>
      </c>
      <c r="T41" s="11">
        <f>IF(S41="","",IF($AM$1=2,'Komisyon Tarifeleri'!X41,'Komisyon Tarifeleri'!S41))</f>
        <v/>
      </c>
      <c r="U41" s="10">
        <f>IF(OR(S41="",$D41=""),"",S41*(1-T41/100)-$D41-IF(S41&lt;=199.99,Kargo!$E$2,IF(S41&lt;=399.99,Kargo!$E$3,$F41)))</f>
        <v/>
      </c>
      <c r="V41" s="12">
        <f>IF(U41="","",U41/S41)</f>
        <v/>
      </c>
      <c r="W41" s="12">
        <f>IF($B41="","",IFERROR(VLOOKUP($C41,Hedefler!$A:$C,2,FALSE),0.04))</f>
        <v/>
      </c>
      <c r="X41" s="12">
        <f>IF($B41="","",IFERROR(VLOOKUP($C41,Hedefler!$A:$C,3,FALSE),0.1))</f>
        <v/>
      </c>
      <c r="Y41" s="13">
        <f>IF($B41="","",IFERROR(VLOOKUP($B41,Maliyetler!$A:$E,5,FALSE),""))</f>
        <v/>
      </c>
      <c r="Z41" s="13">
        <f>IF(OR(Y41="",Y41=0),"",Y41-1)</f>
        <v/>
      </c>
      <c r="AA41" s="14">
        <f>IF(Z41="","",IF(Z41&gt;='Komisyon Tarifeleri'!I41,IF($AM$1=2,'Komisyon Tarifeleri'!U41,'Komisyon Tarifeleri'!P41),IF(Z41&gt;='Komisyon Tarifeleri'!K41,IF($AM$1=2,'Komisyon Tarifeleri'!V41,'Komisyon Tarifeleri'!Q41),IF(Z41&gt;='Komisyon Tarifeleri'!M41,IF($AM$1=2,'Komisyon Tarifeleri'!W41,'Komisyon Tarifeleri'!R41),IF($AM$1=2,'Komisyon Tarifeleri'!X41,'Komisyon Tarifeleri'!S41)))))</f>
        <v/>
      </c>
      <c r="AB41" s="13">
        <f>IF(OR(AA41="",$D41=""),"",Z41*(1-AA41/100)-$D41-IF(Z41&lt;=199.99,Kargo!$E$2,IF(Z41&lt;=399.99,Kargo!$E$3,$F41)))</f>
        <v/>
      </c>
      <c r="AC41" s="15">
        <f>IF(AB41="","",AB41/Z41)</f>
        <v/>
      </c>
      <c r="AD41" s="10">
        <f>IF(OR($D41="",$B41=""),"",IF(AND((1-T41/100-W41)&gt;0,CEILING(($D41+$F41)/(1-T41/100-W41),1)&lt;='Komisyon Tarifeleri'!N41),CEILING(($D41+$F41)/(1-T41/100-W41),1),IF(AND((1-P41/100-W41)&gt;0,CEILING(MAX('Komisyon Tarifeleri'!M41,($D41+$F41)/(1-P41/100-W41)),1)&lt;='Komisyon Tarifeleri'!L41),CEILING(MAX('Komisyon Tarifeleri'!M41,($D41+$F41)/(1-P41/100-W41)),1),IF(AND((1-L41/100-W41)&gt;0,CEILING(MAX('Komisyon Tarifeleri'!K41,($D41+$F41)/(1-L41/100-W41)),1)&lt;='Komisyon Tarifeleri'!J41),CEILING(MAX('Komisyon Tarifeleri'!K41,($D41+$F41)/(1-L41/100-W41)),1),IF((1-H41/100-W41)&gt;0,CEILING(MAX('Komisyon Tarifeleri'!I41,($D41+$F41)/(1-H41/100-W41)),1),"İMKÂNSIZ")))))</f>
        <v/>
      </c>
      <c r="AE41" s="10">
        <f>IF(OR($D41="",$B41=""),"",IF(AND((1-T41/100-X41)&gt;0,CEILING(($D41+$F41)/(1-T41/100-X41),1)&lt;='Komisyon Tarifeleri'!N41),CEILING(($D41+$F41)/(1-T41/100-X41),1),IF(AND((1-P41/100-X41)&gt;0,CEILING(MAX('Komisyon Tarifeleri'!M41,($D41+$F41)/(1-P41/100-X41)),1)&lt;='Komisyon Tarifeleri'!L41),CEILING(MAX('Komisyon Tarifeleri'!M41,($D41+$F41)/(1-P41/100-X41)),1),IF(AND((1-L41/100-X41)&gt;0,CEILING(MAX('Komisyon Tarifeleri'!K41,($D41+$F41)/(1-L41/100-X41)),1)&lt;='Komisyon Tarifeleri'!J41),CEILING(MAX('Komisyon Tarifeleri'!K41,($D41+$F41)/(1-L41/100-X41)),1),IF((1-H41/100-X41)&gt;0,CEILING(MAX('Komisyon Tarifeleri'!I41,($D41+$F41)/(1-H41/100-X41)),1),"İMKÂNSIZ")))))</f>
        <v/>
      </c>
      <c r="AF41" s="16">
        <f>IF($D41="","",IF(AND(Y41&lt;&gt;"",AC41&lt;&gt;"",AC41&gt;=W41),Z41,IF(Y41&lt;&gt;"",AD41,AE41)))</f>
        <v/>
      </c>
      <c r="AG41" s="16">
        <f>IF(OR(AF41="",AF41="İMKÂNSIZ"),"",AF41*(1-IF(AF41&gt;='Komisyon Tarifeleri'!I41,IF($AM$1=2,'Komisyon Tarifeleri'!U41,'Komisyon Tarifeleri'!P41),IF(AF41&gt;='Komisyon Tarifeleri'!K41,IF($AM$1=2,'Komisyon Tarifeleri'!V41,'Komisyon Tarifeleri'!Q41),IF(AF41&gt;='Komisyon Tarifeleri'!M41,IF($AM$1=2,'Komisyon Tarifeleri'!W41,'Komisyon Tarifeleri'!R41),IF($AM$1=2,'Komisyon Tarifeleri'!X41,'Komisyon Tarifeleri'!S41))))/100)-$D41-IF(AF41&lt;=199.99,Kargo!$E$2,IF(AF41&lt;=399.99,Kargo!$E$3,$F41)))</f>
        <v/>
      </c>
      <c r="AH41" s="17">
        <f>IF(AG41="","",AG41/AF41)</f>
        <v/>
      </c>
      <c r="AI41" s="18">
        <f>IF($D41="","",IF(Y41="","BUYBOX YOK → hedef kârla min fiyat",IF(AC41&gt;=W41,"✓ BUYBOX ALTINA GİR","BUYBOX ALTI KÂRSIZ → min kârlı fiyat")))</f>
        <v/>
      </c>
      <c r="AJ41" s="10">
        <f>IF($B41="","",IFERROR(VLOOKUP($B41,Maliyetler!$A:$G,6,FALSE),""))</f>
        <v/>
      </c>
      <c r="AK41">
        <f>IF($B41="","",IFERROR(VLOOKUP($B41,Maliyetler!$A:$G,7,FALSE),""))</f>
        <v/>
      </c>
      <c r="AO41" s="21">
        <f>IF($B41="","",IFERROR(VLOOKUP($B41&amp;"",'Plus Tarifeleri'!$C:$Q,11,FALSE),""))</f>
        <v/>
      </c>
      <c r="AP41" s="22">
        <f>IF(AO41="","",IFERROR(IF($AM$1=2,VLOOKUP($B41&amp;"",'Plus Tarifeleri'!$C:$Q,15,FALSE),VLOOKUP($B41&amp;"",'Plus Tarifeleri'!$C:$Q,13,FALSE)),""))</f>
        <v/>
      </c>
      <c r="AQ41" s="21">
        <f>IF(OR(AO41="",AP41="",$D41=""),"",AO41*(1-AP41/100)-$D41-IF(AO41&lt;=199.99,Kargo!$E$2,IF(AO41&lt;=399.99,Kargo!$E$3,$F41)))</f>
        <v/>
      </c>
      <c r="AR41" s="23">
        <f>IF(AQ41="","",AQ41/AO41)</f>
        <v/>
      </c>
      <c r="AS41" s="24">
        <f>IF(OR(AQ41="",AG41=""),"",AQ41-AG41)</f>
        <v/>
      </c>
    </row>
    <row r="42">
      <c r="A42">
        <f>IF('Komisyon Tarifeleri'!A42="","",'Komisyon Tarifeleri'!A42)</f>
        <v/>
      </c>
      <c r="B42">
        <f>IF('Komisyon Tarifeleri'!B42="","",'Komisyon Tarifeleri'!B42&amp;"")</f>
        <v/>
      </c>
      <c r="C42">
        <f>IF($B42="","",'Komisyon Tarifeleri'!F42)</f>
        <v/>
      </c>
      <c r="D42" s="10">
        <f>IF($B42="","",IFERROR(VLOOKUP($B42,Maliyetler!$A:$E,3,FALSE),""))</f>
        <v/>
      </c>
      <c r="E42">
        <f>IF($B42="","",IFERROR(VLOOKUP($B42,Maliyetler!$A:$E,4,FALSE),1))</f>
        <v/>
      </c>
      <c r="F42" s="10">
        <f>IF($B42="","",IFERROR(VLOOKUP(MIN(20,MAX(1,ROUND($E42,0))),Kargo!$A:$B,2,FALSE),99.46))</f>
        <v/>
      </c>
      <c r="G42" s="10">
        <f>IF($B42="","",IF(IF(N('Komisyon Tarifeleri'!AA42)&gt;='Komisyon Tarifeleri'!I42,'Komisyon Tarifeleri'!AA42,'Komisyon Tarifeleri'!I42)="","",IF(N('Komisyon Tarifeleri'!AA42)&gt;='Komisyon Tarifeleri'!I42,'Komisyon Tarifeleri'!AA42,'Komisyon Tarifeleri'!I42)))</f>
        <v/>
      </c>
      <c r="H42" s="11">
        <f>IF(G42="","",IF($AM$1=2,'Komisyon Tarifeleri'!U42,'Komisyon Tarifeleri'!P42))</f>
        <v/>
      </c>
      <c r="I42" s="10">
        <f>IF(OR(G42="",$D42=""),"",G42*(1-H42/100)-$D42-IF(G42&lt;=199.99,Kargo!$E$2,IF(G42&lt;=399.99,Kargo!$E$3,$F42)))</f>
        <v/>
      </c>
      <c r="J42" s="12">
        <f>IF(I42="","",I42/G42)</f>
        <v/>
      </c>
      <c r="K42" s="10">
        <f>IF($B42="","",IF('Komisyon Tarifeleri'!J42="","",'Komisyon Tarifeleri'!J42))</f>
        <v/>
      </c>
      <c r="L42" s="11">
        <f>IF(K42="","",IF($AM$1=2,'Komisyon Tarifeleri'!V42,'Komisyon Tarifeleri'!Q42))</f>
        <v/>
      </c>
      <c r="M42" s="10">
        <f>IF(OR(K42="",$D42=""),"",K42*(1-L42/100)-$D42-IF(K42&lt;=199.99,Kargo!$E$2,IF(K42&lt;=399.99,Kargo!$E$3,$F42)))</f>
        <v/>
      </c>
      <c r="N42" s="12">
        <f>IF(M42="","",M42/K42)</f>
        <v/>
      </c>
      <c r="O42" s="10">
        <f>IF($B42="","",IF('Komisyon Tarifeleri'!L42="","",'Komisyon Tarifeleri'!L42))</f>
        <v/>
      </c>
      <c r="P42" s="11">
        <f>IF(O42="","",IF($AM$1=2,'Komisyon Tarifeleri'!W42,'Komisyon Tarifeleri'!R42))</f>
        <v/>
      </c>
      <c r="Q42" s="10">
        <f>IF(OR(O42="",$D42=""),"",O42*(1-P42/100)-$D42-IF(O42&lt;=199.99,Kargo!$E$2,IF(O42&lt;=399.99,Kargo!$E$3,$F42)))</f>
        <v/>
      </c>
      <c r="R42" s="12">
        <f>IF(Q42="","",Q42/O42)</f>
        <v/>
      </c>
      <c r="S42" s="10">
        <f>IF($B42="","",IF('Komisyon Tarifeleri'!N42="","",'Komisyon Tarifeleri'!N42))</f>
        <v/>
      </c>
      <c r="T42" s="11">
        <f>IF(S42="","",IF($AM$1=2,'Komisyon Tarifeleri'!X42,'Komisyon Tarifeleri'!S42))</f>
        <v/>
      </c>
      <c r="U42" s="10">
        <f>IF(OR(S42="",$D42=""),"",S42*(1-T42/100)-$D42-IF(S42&lt;=199.99,Kargo!$E$2,IF(S42&lt;=399.99,Kargo!$E$3,$F42)))</f>
        <v/>
      </c>
      <c r="V42" s="12">
        <f>IF(U42="","",U42/S42)</f>
        <v/>
      </c>
      <c r="W42" s="12">
        <f>IF($B42="","",IFERROR(VLOOKUP($C42,Hedefler!$A:$C,2,FALSE),0.04))</f>
        <v/>
      </c>
      <c r="X42" s="12">
        <f>IF($B42="","",IFERROR(VLOOKUP($C42,Hedefler!$A:$C,3,FALSE),0.1))</f>
        <v/>
      </c>
      <c r="Y42" s="13">
        <f>IF($B42="","",IFERROR(VLOOKUP($B42,Maliyetler!$A:$E,5,FALSE),""))</f>
        <v/>
      </c>
      <c r="Z42" s="13">
        <f>IF(OR(Y42="",Y42=0),"",Y42-1)</f>
        <v/>
      </c>
      <c r="AA42" s="14">
        <f>IF(Z42="","",IF(Z42&gt;='Komisyon Tarifeleri'!I42,IF($AM$1=2,'Komisyon Tarifeleri'!U42,'Komisyon Tarifeleri'!P42),IF(Z42&gt;='Komisyon Tarifeleri'!K42,IF($AM$1=2,'Komisyon Tarifeleri'!V42,'Komisyon Tarifeleri'!Q42),IF(Z42&gt;='Komisyon Tarifeleri'!M42,IF($AM$1=2,'Komisyon Tarifeleri'!W42,'Komisyon Tarifeleri'!R42),IF($AM$1=2,'Komisyon Tarifeleri'!X42,'Komisyon Tarifeleri'!S42)))))</f>
        <v/>
      </c>
      <c r="AB42" s="13">
        <f>IF(OR(AA42="",$D42=""),"",Z42*(1-AA42/100)-$D42-IF(Z42&lt;=199.99,Kargo!$E$2,IF(Z42&lt;=399.99,Kargo!$E$3,$F42)))</f>
        <v/>
      </c>
      <c r="AC42" s="15">
        <f>IF(AB42="","",AB42/Z42)</f>
        <v/>
      </c>
      <c r="AD42" s="10">
        <f>IF(OR($D42="",$B42=""),"",IF(AND((1-T42/100-W42)&gt;0,CEILING(($D42+$F42)/(1-T42/100-W42),1)&lt;='Komisyon Tarifeleri'!N42),CEILING(($D42+$F42)/(1-T42/100-W42),1),IF(AND((1-P42/100-W42)&gt;0,CEILING(MAX('Komisyon Tarifeleri'!M42,($D42+$F42)/(1-P42/100-W42)),1)&lt;='Komisyon Tarifeleri'!L42),CEILING(MAX('Komisyon Tarifeleri'!M42,($D42+$F42)/(1-P42/100-W42)),1),IF(AND((1-L42/100-W42)&gt;0,CEILING(MAX('Komisyon Tarifeleri'!K42,($D42+$F42)/(1-L42/100-W42)),1)&lt;='Komisyon Tarifeleri'!J42),CEILING(MAX('Komisyon Tarifeleri'!K42,($D42+$F42)/(1-L42/100-W42)),1),IF((1-H42/100-W42)&gt;0,CEILING(MAX('Komisyon Tarifeleri'!I42,($D42+$F42)/(1-H42/100-W42)),1),"İMKÂNSIZ")))))</f>
        <v/>
      </c>
      <c r="AE42" s="10">
        <f>IF(OR($D42="",$B42=""),"",IF(AND((1-T42/100-X42)&gt;0,CEILING(($D42+$F42)/(1-T42/100-X42),1)&lt;='Komisyon Tarifeleri'!N42),CEILING(($D42+$F42)/(1-T42/100-X42),1),IF(AND((1-P42/100-X42)&gt;0,CEILING(MAX('Komisyon Tarifeleri'!M42,($D42+$F42)/(1-P42/100-X42)),1)&lt;='Komisyon Tarifeleri'!L42),CEILING(MAX('Komisyon Tarifeleri'!M42,($D42+$F42)/(1-P42/100-X42)),1),IF(AND((1-L42/100-X42)&gt;0,CEILING(MAX('Komisyon Tarifeleri'!K42,($D42+$F42)/(1-L42/100-X42)),1)&lt;='Komisyon Tarifeleri'!J42),CEILING(MAX('Komisyon Tarifeleri'!K42,($D42+$F42)/(1-L42/100-X42)),1),IF((1-H42/100-X42)&gt;0,CEILING(MAX('Komisyon Tarifeleri'!I42,($D42+$F42)/(1-H42/100-X42)),1),"İMKÂNSIZ")))))</f>
        <v/>
      </c>
      <c r="AF42" s="16">
        <f>IF($D42="","",IF(AND(Y42&lt;&gt;"",AC42&lt;&gt;"",AC42&gt;=W42),Z42,IF(Y42&lt;&gt;"",AD42,AE42)))</f>
        <v/>
      </c>
      <c r="AG42" s="16">
        <f>IF(OR(AF42="",AF42="İMKÂNSIZ"),"",AF42*(1-IF(AF42&gt;='Komisyon Tarifeleri'!I42,IF($AM$1=2,'Komisyon Tarifeleri'!U42,'Komisyon Tarifeleri'!P42),IF(AF42&gt;='Komisyon Tarifeleri'!K42,IF($AM$1=2,'Komisyon Tarifeleri'!V42,'Komisyon Tarifeleri'!Q42),IF(AF42&gt;='Komisyon Tarifeleri'!M42,IF($AM$1=2,'Komisyon Tarifeleri'!W42,'Komisyon Tarifeleri'!R42),IF($AM$1=2,'Komisyon Tarifeleri'!X42,'Komisyon Tarifeleri'!S42))))/100)-$D42-IF(AF42&lt;=199.99,Kargo!$E$2,IF(AF42&lt;=399.99,Kargo!$E$3,$F42)))</f>
        <v/>
      </c>
      <c r="AH42" s="17">
        <f>IF(AG42="","",AG42/AF42)</f>
        <v/>
      </c>
      <c r="AI42" s="18">
        <f>IF($D42="","",IF(Y42="","BUYBOX YOK → hedef kârla min fiyat",IF(AC42&gt;=W42,"✓ BUYBOX ALTINA GİR","BUYBOX ALTI KÂRSIZ → min kârlı fiyat")))</f>
        <v/>
      </c>
      <c r="AJ42" s="10">
        <f>IF($B42="","",IFERROR(VLOOKUP($B42,Maliyetler!$A:$G,6,FALSE),""))</f>
        <v/>
      </c>
      <c r="AK42">
        <f>IF($B42="","",IFERROR(VLOOKUP($B42,Maliyetler!$A:$G,7,FALSE),""))</f>
        <v/>
      </c>
      <c r="AO42" s="21">
        <f>IF($B42="","",IFERROR(VLOOKUP($B42&amp;"",'Plus Tarifeleri'!$C:$Q,11,FALSE),""))</f>
        <v/>
      </c>
      <c r="AP42" s="22">
        <f>IF(AO42="","",IFERROR(IF($AM$1=2,VLOOKUP($B42&amp;"",'Plus Tarifeleri'!$C:$Q,15,FALSE),VLOOKUP($B42&amp;"",'Plus Tarifeleri'!$C:$Q,13,FALSE)),""))</f>
        <v/>
      </c>
      <c r="AQ42" s="21">
        <f>IF(OR(AO42="",AP42="",$D42=""),"",AO42*(1-AP42/100)-$D42-IF(AO42&lt;=199.99,Kargo!$E$2,IF(AO42&lt;=399.99,Kargo!$E$3,$F42)))</f>
        <v/>
      </c>
      <c r="AR42" s="23">
        <f>IF(AQ42="","",AQ42/AO42)</f>
        <v/>
      </c>
      <c r="AS42" s="24">
        <f>IF(OR(AQ42="",AG42=""),"",AQ42-AG42)</f>
        <v/>
      </c>
    </row>
    <row r="43">
      <c r="A43">
        <f>IF('Komisyon Tarifeleri'!A43="","",'Komisyon Tarifeleri'!A43)</f>
        <v/>
      </c>
      <c r="B43">
        <f>IF('Komisyon Tarifeleri'!B43="","",'Komisyon Tarifeleri'!B43&amp;"")</f>
        <v/>
      </c>
      <c r="C43">
        <f>IF($B43="","",'Komisyon Tarifeleri'!F43)</f>
        <v/>
      </c>
      <c r="D43" s="10">
        <f>IF($B43="","",IFERROR(VLOOKUP($B43,Maliyetler!$A:$E,3,FALSE),""))</f>
        <v/>
      </c>
      <c r="E43">
        <f>IF($B43="","",IFERROR(VLOOKUP($B43,Maliyetler!$A:$E,4,FALSE),1))</f>
        <v/>
      </c>
      <c r="F43" s="10">
        <f>IF($B43="","",IFERROR(VLOOKUP(MIN(20,MAX(1,ROUND($E43,0))),Kargo!$A:$B,2,FALSE),99.46))</f>
        <v/>
      </c>
      <c r="G43" s="10">
        <f>IF($B43="","",IF(IF(N('Komisyon Tarifeleri'!AA43)&gt;='Komisyon Tarifeleri'!I43,'Komisyon Tarifeleri'!AA43,'Komisyon Tarifeleri'!I43)="","",IF(N('Komisyon Tarifeleri'!AA43)&gt;='Komisyon Tarifeleri'!I43,'Komisyon Tarifeleri'!AA43,'Komisyon Tarifeleri'!I43)))</f>
        <v/>
      </c>
      <c r="H43" s="11">
        <f>IF(G43="","",IF($AM$1=2,'Komisyon Tarifeleri'!U43,'Komisyon Tarifeleri'!P43))</f>
        <v/>
      </c>
      <c r="I43" s="10">
        <f>IF(OR(G43="",$D43=""),"",G43*(1-H43/100)-$D43-IF(G43&lt;=199.99,Kargo!$E$2,IF(G43&lt;=399.99,Kargo!$E$3,$F43)))</f>
        <v/>
      </c>
      <c r="J43" s="12">
        <f>IF(I43="","",I43/G43)</f>
        <v/>
      </c>
      <c r="K43" s="10">
        <f>IF($B43="","",IF('Komisyon Tarifeleri'!J43="","",'Komisyon Tarifeleri'!J43))</f>
        <v/>
      </c>
      <c r="L43" s="11">
        <f>IF(K43="","",IF($AM$1=2,'Komisyon Tarifeleri'!V43,'Komisyon Tarifeleri'!Q43))</f>
        <v/>
      </c>
      <c r="M43" s="10">
        <f>IF(OR(K43="",$D43=""),"",K43*(1-L43/100)-$D43-IF(K43&lt;=199.99,Kargo!$E$2,IF(K43&lt;=399.99,Kargo!$E$3,$F43)))</f>
        <v/>
      </c>
      <c r="N43" s="12">
        <f>IF(M43="","",M43/K43)</f>
        <v/>
      </c>
      <c r="O43" s="10">
        <f>IF($B43="","",IF('Komisyon Tarifeleri'!L43="","",'Komisyon Tarifeleri'!L43))</f>
        <v/>
      </c>
      <c r="P43" s="11">
        <f>IF(O43="","",IF($AM$1=2,'Komisyon Tarifeleri'!W43,'Komisyon Tarifeleri'!R43))</f>
        <v/>
      </c>
      <c r="Q43" s="10">
        <f>IF(OR(O43="",$D43=""),"",O43*(1-P43/100)-$D43-IF(O43&lt;=199.99,Kargo!$E$2,IF(O43&lt;=399.99,Kargo!$E$3,$F43)))</f>
        <v/>
      </c>
      <c r="R43" s="12">
        <f>IF(Q43="","",Q43/O43)</f>
        <v/>
      </c>
      <c r="S43" s="10">
        <f>IF($B43="","",IF('Komisyon Tarifeleri'!N43="","",'Komisyon Tarifeleri'!N43))</f>
        <v/>
      </c>
      <c r="T43" s="11">
        <f>IF(S43="","",IF($AM$1=2,'Komisyon Tarifeleri'!X43,'Komisyon Tarifeleri'!S43))</f>
        <v/>
      </c>
      <c r="U43" s="10">
        <f>IF(OR(S43="",$D43=""),"",S43*(1-T43/100)-$D43-IF(S43&lt;=199.99,Kargo!$E$2,IF(S43&lt;=399.99,Kargo!$E$3,$F43)))</f>
        <v/>
      </c>
      <c r="V43" s="12">
        <f>IF(U43="","",U43/S43)</f>
        <v/>
      </c>
      <c r="W43" s="12">
        <f>IF($B43="","",IFERROR(VLOOKUP($C43,Hedefler!$A:$C,2,FALSE),0.04))</f>
        <v/>
      </c>
      <c r="X43" s="12">
        <f>IF($B43="","",IFERROR(VLOOKUP($C43,Hedefler!$A:$C,3,FALSE),0.1))</f>
        <v/>
      </c>
      <c r="Y43" s="13">
        <f>IF($B43="","",IFERROR(VLOOKUP($B43,Maliyetler!$A:$E,5,FALSE),""))</f>
        <v/>
      </c>
      <c r="Z43" s="13">
        <f>IF(OR(Y43="",Y43=0),"",Y43-1)</f>
        <v/>
      </c>
      <c r="AA43" s="14">
        <f>IF(Z43="","",IF(Z43&gt;='Komisyon Tarifeleri'!I43,IF($AM$1=2,'Komisyon Tarifeleri'!U43,'Komisyon Tarifeleri'!P43),IF(Z43&gt;='Komisyon Tarifeleri'!K43,IF($AM$1=2,'Komisyon Tarifeleri'!V43,'Komisyon Tarifeleri'!Q43),IF(Z43&gt;='Komisyon Tarifeleri'!M43,IF($AM$1=2,'Komisyon Tarifeleri'!W43,'Komisyon Tarifeleri'!R43),IF($AM$1=2,'Komisyon Tarifeleri'!X43,'Komisyon Tarifeleri'!S43)))))</f>
        <v/>
      </c>
      <c r="AB43" s="13">
        <f>IF(OR(AA43="",$D43=""),"",Z43*(1-AA43/100)-$D43-IF(Z43&lt;=199.99,Kargo!$E$2,IF(Z43&lt;=399.99,Kargo!$E$3,$F43)))</f>
        <v/>
      </c>
      <c r="AC43" s="15">
        <f>IF(AB43="","",AB43/Z43)</f>
        <v/>
      </c>
      <c r="AD43" s="10">
        <f>IF(OR($D43="",$B43=""),"",IF(AND((1-T43/100-W43)&gt;0,CEILING(($D43+$F43)/(1-T43/100-W43),1)&lt;='Komisyon Tarifeleri'!N43),CEILING(($D43+$F43)/(1-T43/100-W43),1),IF(AND((1-P43/100-W43)&gt;0,CEILING(MAX('Komisyon Tarifeleri'!M43,($D43+$F43)/(1-P43/100-W43)),1)&lt;='Komisyon Tarifeleri'!L43),CEILING(MAX('Komisyon Tarifeleri'!M43,($D43+$F43)/(1-P43/100-W43)),1),IF(AND((1-L43/100-W43)&gt;0,CEILING(MAX('Komisyon Tarifeleri'!K43,($D43+$F43)/(1-L43/100-W43)),1)&lt;='Komisyon Tarifeleri'!J43),CEILING(MAX('Komisyon Tarifeleri'!K43,($D43+$F43)/(1-L43/100-W43)),1),IF((1-H43/100-W43)&gt;0,CEILING(MAX('Komisyon Tarifeleri'!I43,($D43+$F43)/(1-H43/100-W43)),1),"İMKÂNSIZ")))))</f>
        <v/>
      </c>
      <c r="AE43" s="10">
        <f>IF(OR($D43="",$B43=""),"",IF(AND((1-T43/100-X43)&gt;0,CEILING(($D43+$F43)/(1-T43/100-X43),1)&lt;='Komisyon Tarifeleri'!N43),CEILING(($D43+$F43)/(1-T43/100-X43),1),IF(AND((1-P43/100-X43)&gt;0,CEILING(MAX('Komisyon Tarifeleri'!M43,($D43+$F43)/(1-P43/100-X43)),1)&lt;='Komisyon Tarifeleri'!L43),CEILING(MAX('Komisyon Tarifeleri'!M43,($D43+$F43)/(1-P43/100-X43)),1),IF(AND((1-L43/100-X43)&gt;0,CEILING(MAX('Komisyon Tarifeleri'!K43,($D43+$F43)/(1-L43/100-X43)),1)&lt;='Komisyon Tarifeleri'!J43),CEILING(MAX('Komisyon Tarifeleri'!K43,($D43+$F43)/(1-L43/100-X43)),1),IF((1-H43/100-X43)&gt;0,CEILING(MAX('Komisyon Tarifeleri'!I43,($D43+$F43)/(1-H43/100-X43)),1),"İMKÂNSIZ")))))</f>
        <v/>
      </c>
      <c r="AF43" s="16">
        <f>IF($D43="","",IF(AND(Y43&lt;&gt;"",AC43&lt;&gt;"",AC43&gt;=W43),Z43,IF(Y43&lt;&gt;"",AD43,AE43)))</f>
        <v/>
      </c>
      <c r="AG43" s="16">
        <f>IF(OR(AF43="",AF43="İMKÂNSIZ"),"",AF43*(1-IF(AF43&gt;='Komisyon Tarifeleri'!I43,IF($AM$1=2,'Komisyon Tarifeleri'!U43,'Komisyon Tarifeleri'!P43),IF(AF43&gt;='Komisyon Tarifeleri'!K43,IF($AM$1=2,'Komisyon Tarifeleri'!V43,'Komisyon Tarifeleri'!Q43),IF(AF43&gt;='Komisyon Tarifeleri'!M43,IF($AM$1=2,'Komisyon Tarifeleri'!W43,'Komisyon Tarifeleri'!R43),IF($AM$1=2,'Komisyon Tarifeleri'!X43,'Komisyon Tarifeleri'!S43))))/100)-$D43-IF(AF43&lt;=199.99,Kargo!$E$2,IF(AF43&lt;=399.99,Kargo!$E$3,$F43)))</f>
        <v/>
      </c>
      <c r="AH43" s="17">
        <f>IF(AG43="","",AG43/AF43)</f>
        <v/>
      </c>
      <c r="AI43" s="18">
        <f>IF($D43="","",IF(Y43="","BUYBOX YOK → hedef kârla min fiyat",IF(AC43&gt;=W43,"✓ BUYBOX ALTINA GİR","BUYBOX ALTI KÂRSIZ → min kârlı fiyat")))</f>
        <v/>
      </c>
      <c r="AJ43" s="10">
        <f>IF($B43="","",IFERROR(VLOOKUP($B43,Maliyetler!$A:$G,6,FALSE),""))</f>
        <v/>
      </c>
      <c r="AK43">
        <f>IF($B43="","",IFERROR(VLOOKUP($B43,Maliyetler!$A:$G,7,FALSE),""))</f>
        <v/>
      </c>
      <c r="AO43" s="21">
        <f>IF($B43="","",IFERROR(VLOOKUP($B43&amp;"",'Plus Tarifeleri'!$C:$Q,11,FALSE),""))</f>
        <v/>
      </c>
      <c r="AP43" s="22">
        <f>IF(AO43="","",IFERROR(IF($AM$1=2,VLOOKUP($B43&amp;"",'Plus Tarifeleri'!$C:$Q,15,FALSE),VLOOKUP($B43&amp;"",'Plus Tarifeleri'!$C:$Q,13,FALSE)),""))</f>
        <v/>
      </c>
      <c r="AQ43" s="21">
        <f>IF(OR(AO43="",AP43="",$D43=""),"",AO43*(1-AP43/100)-$D43-IF(AO43&lt;=199.99,Kargo!$E$2,IF(AO43&lt;=399.99,Kargo!$E$3,$F43)))</f>
        <v/>
      </c>
      <c r="AR43" s="23">
        <f>IF(AQ43="","",AQ43/AO43)</f>
        <v/>
      </c>
      <c r="AS43" s="24">
        <f>IF(OR(AQ43="",AG43=""),"",AQ43-AG43)</f>
        <v/>
      </c>
    </row>
    <row r="44">
      <c r="A44">
        <f>IF('Komisyon Tarifeleri'!A44="","",'Komisyon Tarifeleri'!A44)</f>
        <v/>
      </c>
      <c r="B44">
        <f>IF('Komisyon Tarifeleri'!B44="","",'Komisyon Tarifeleri'!B44&amp;"")</f>
        <v/>
      </c>
      <c r="C44">
        <f>IF($B44="","",'Komisyon Tarifeleri'!F44)</f>
        <v/>
      </c>
      <c r="D44" s="10">
        <f>IF($B44="","",IFERROR(VLOOKUP($B44,Maliyetler!$A:$E,3,FALSE),""))</f>
        <v/>
      </c>
      <c r="E44">
        <f>IF($B44="","",IFERROR(VLOOKUP($B44,Maliyetler!$A:$E,4,FALSE),1))</f>
        <v/>
      </c>
      <c r="F44" s="10">
        <f>IF($B44="","",IFERROR(VLOOKUP(MIN(20,MAX(1,ROUND($E44,0))),Kargo!$A:$B,2,FALSE),99.46))</f>
        <v/>
      </c>
      <c r="G44" s="10">
        <f>IF($B44="","",IF(IF(N('Komisyon Tarifeleri'!AA44)&gt;='Komisyon Tarifeleri'!I44,'Komisyon Tarifeleri'!AA44,'Komisyon Tarifeleri'!I44)="","",IF(N('Komisyon Tarifeleri'!AA44)&gt;='Komisyon Tarifeleri'!I44,'Komisyon Tarifeleri'!AA44,'Komisyon Tarifeleri'!I44)))</f>
        <v/>
      </c>
      <c r="H44" s="11">
        <f>IF(G44="","",IF($AM$1=2,'Komisyon Tarifeleri'!U44,'Komisyon Tarifeleri'!P44))</f>
        <v/>
      </c>
      <c r="I44" s="10">
        <f>IF(OR(G44="",$D44=""),"",G44*(1-H44/100)-$D44-IF(G44&lt;=199.99,Kargo!$E$2,IF(G44&lt;=399.99,Kargo!$E$3,$F44)))</f>
        <v/>
      </c>
      <c r="J44" s="12">
        <f>IF(I44="","",I44/G44)</f>
        <v/>
      </c>
      <c r="K44" s="10">
        <f>IF($B44="","",IF('Komisyon Tarifeleri'!J44="","",'Komisyon Tarifeleri'!J44))</f>
        <v/>
      </c>
      <c r="L44" s="11">
        <f>IF(K44="","",IF($AM$1=2,'Komisyon Tarifeleri'!V44,'Komisyon Tarifeleri'!Q44))</f>
        <v/>
      </c>
      <c r="M44" s="10">
        <f>IF(OR(K44="",$D44=""),"",K44*(1-L44/100)-$D44-IF(K44&lt;=199.99,Kargo!$E$2,IF(K44&lt;=399.99,Kargo!$E$3,$F44)))</f>
        <v/>
      </c>
      <c r="N44" s="12">
        <f>IF(M44="","",M44/K44)</f>
        <v/>
      </c>
      <c r="O44" s="10">
        <f>IF($B44="","",IF('Komisyon Tarifeleri'!L44="","",'Komisyon Tarifeleri'!L44))</f>
        <v/>
      </c>
      <c r="P44" s="11">
        <f>IF(O44="","",IF($AM$1=2,'Komisyon Tarifeleri'!W44,'Komisyon Tarifeleri'!R44))</f>
        <v/>
      </c>
      <c r="Q44" s="10">
        <f>IF(OR(O44="",$D44=""),"",O44*(1-P44/100)-$D44-IF(O44&lt;=199.99,Kargo!$E$2,IF(O44&lt;=399.99,Kargo!$E$3,$F44)))</f>
        <v/>
      </c>
      <c r="R44" s="12">
        <f>IF(Q44="","",Q44/O44)</f>
        <v/>
      </c>
      <c r="S44" s="10">
        <f>IF($B44="","",IF('Komisyon Tarifeleri'!N44="","",'Komisyon Tarifeleri'!N44))</f>
        <v/>
      </c>
      <c r="T44" s="11">
        <f>IF(S44="","",IF($AM$1=2,'Komisyon Tarifeleri'!X44,'Komisyon Tarifeleri'!S44))</f>
        <v/>
      </c>
      <c r="U44" s="10">
        <f>IF(OR(S44="",$D44=""),"",S44*(1-T44/100)-$D44-IF(S44&lt;=199.99,Kargo!$E$2,IF(S44&lt;=399.99,Kargo!$E$3,$F44)))</f>
        <v/>
      </c>
      <c r="V44" s="12">
        <f>IF(U44="","",U44/S44)</f>
        <v/>
      </c>
      <c r="W44" s="12">
        <f>IF($B44="","",IFERROR(VLOOKUP($C44,Hedefler!$A:$C,2,FALSE),0.04))</f>
        <v/>
      </c>
      <c r="X44" s="12">
        <f>IF($B44="","",IFERROR(VLOOKUP($C44,Hedefler!$A:$C,3,FALSE),0.1))</f>
        <v/>
      </c>
      <c r="Y44" s="13">
        <f>IF($B44="","",IFERROR(VLOOKUP($B44,Maliyetler!$A:$E,5,FALSE),""))</f>
        <v/>
      </c>
      <c r="Z44" s="13">
        <f>IF(OR(Y44="",Y44=0),"",Y44-1)</f>
        <v/>
      </c>
      <c r="AA44" s="14">
        <f>IF(Z44="","",IF(Z44&gt;='Komisyon Tarifeleri'!I44,IF($AM$1=2,'Komisyon Tarifeleri'!U44,'Komisyon Tarifeleri'!P44),IF(Z44&gt;='Komisyon Tarifeleri'!K44,IF($AM$1=2,'Komisyon Tarifeleri'!V44,'Komisyon Tarifeleri'!Q44),IF(Z44&gt;='Komisyon Tarifeleri'!M44,IF($AM$1=2,'Komisyon Tarifeleri'!W44,'Komisyon Tarifeleri'!R44),IF($AM$1=2,'Komisyon Tarifeleri'!X44,'Komisyon Tarifeleri'!S44)))))</f>
        <v/>
      </c>
      <c r="AB44" s="13">
        <f>IF(OR(AA44="",$D44=""),"",Z44*(1-AA44/100)-$D44-IF(Z44&lt;=199.99,Kargo!$E$2,IF(Z44&lt;=399.99,Kargo!$E$3,$F44)))</f>
        <v/>
      </c>
      <c r="AC44" s="15">
        <f>IF(AB44="","",AB44/Z44)</f>
        <v/>
      </c>
      <c r="AD44" s="10">
        <f>IF(OR($D44="",$B44=""),"",IF(AND((1-T44/100-W44)&gt;0,CEILING(($D44+$F44)/(1-T44/100-W44),1)&lt;='Komisyon Tarifeleri'!N44),CEILING(($D44+$F44)/(1-T44/100-W44),1),IF(AND((1-P44/100-W44)&gt;0,CEILING(MAX('Komisyon Tarifeleri'!M44,($D44+$F44)/(1-P44/100-W44)),1)&lt;='Komisyon Tarifeleri'!L44),CEILING(MAX('Komisyon Tarifeleri'!M44,($D44+$F44)/(1-P44/100-W44)),1),IF(AND((1-L44/100-W44)&gt;0,CEILING(MAX('Komisyon Tarifeleri'!K44,($D44+$F44)/(1-L44/100-W44)),1)&lt;='Komisyon Tarifeleri'!J44),CEILING(MAX('Komisyon Tarifeleri'!K44,($D44+$F44)/(1-L44/100-W44)),1),IF((1-H44/100-W44)&gt;0,CEILING(MAX('Komisyon Tarifeleri'!I44,($D44+$F44)/(1-H44/100-W44)),1),"İMKÂNSIZ")))))</f>
        <v/>
      </c>
      <c r="AE44" s="10">
        <f>IF(OR($D44="",$B44=""),"",IF(AND((1-T44/100-X44)&gt;0,CEILING(($D44+$F44)/(1-T44/100-X44),1)&lt;='Komisyon Tarifeleri'!N44),CEILING(($D44+$F44)/(1-T44/100-X44),1),IF(AND((1-P44/100-X44)&gt;0,CEILING(MAX('Komisyon Tarifeleri'!M44,($D44+$F44)/(1-P44/100-X44)),1)&lt;='Komisyon Tarifeleri'!L44),CEILING(MAX('Komisyon Tarifeleri'!M44,($D44+$F44)/(1-P44/100-X44)),1),IF(AND((1-L44/100-X44)&gt;0,CEILING(MAX('Komisyon Tarifeleri'!K44,($D44+$F44)/(1-L44/100-X44)),1)&lt;='Komisyon Tarifeleri'!J44),CEILING(MAX('Komisyon Tarifeleri'!K44,($D44+$F44)/(1-L44/100-X44)),1),IF((1-H44/100-X44)&gt;0,CEILING(MAX('Komisyon Tarifeleri'!I44,($D44+$F44)/(1-H44/100-X44)),1),"İMKÂNSIZ")))))</f>
        <v/>
      </c>
      <c r="AF44" s="16">
        <f>IF($D44="","",IF(AND(Y44&lt;&gt;"",AC44&lt;&gt;"",AC44&gt;=W44),Z44,IF(Y44&lt;&gt;"",AD44,AE44)))</f>
        <v/>
      </c>
      <c r="AG44" s="16">
        <f>IF(OR(AF44="",AF44="İMKÂNSIZ"),"",AF44*(1-IF(AF44&gt;='Komisyon Tarifeleri'!I44,IF($AM$1=2,'Komisyon Tarifeleri'!U44,'Komisyon Tarifeleri'!P44),IF(AF44&gt;='Komisyon Tarifeleri'!K44,IF($AM$1=2,'Komisyon Tarifeleri'!V44,'Komisyon Tarifeleri'!Q44),IF(AF44&gt;='Komisyon Tarifeleri'!M44,IF($AM$1=2,'Komisyon Tarifeleri'!W44,'Komisyon Tarifeleri'!R44),IF($AM$1=2,'Komisyon Tarifeleri'!X44,'Komisyon Tarifeleri'!S44))))/100)-$D44-IF(AF44&lt;=199.99,Kargo!$E$2,IF(AF44&lt;=399.99,Kargo!$E$3,$F44)))</f>
        <v/>
      </c>
      <c r="AH44" s="17">
        <f>IF(AG44="","",AG44/AF44)</f>
        <v/>
      </c>
      <c r="AI44" s="18">
        <f>IF($D44="","",IF(Y44="","BUYBOX YOK → hedef kârla min fiyat",IF(AC44&gt;=W44,"✓ BUYBOX ALTINA GİR","BUYBOX ALTI KÂRSIZ → min kârlı fiyat")))</f>
        <v/>
      </c>
      <c r="AJ44" s="10">
        <f>IF($B44="","",IFERROR(VLOOKUP($B44,Maliyetler!$A:$G,6,FALSE),""))</f>
        <v/>
      </c>
      <c r="AK44">
        <f>IF($B44="","",IFERROR(VLOOKUP($B44,Maliyetler!$A:$G,7,FALSE),""))</f>
        <v/>
      </c>
      <c r="AO44" s="21">
        <f>IF($B44="","",IFERROR(VLOOKUP($B44&amp;"",'Plus Tarifeleri'!$C:$Q,11,FALSE),""))</f>
        <v/>
      </c>
      <c r="AP44" s="22">
        <f>IF(AO44="","",IFERROR(IF($AM$1=2,VLOOKUP($B44&amp;"",'Plus Tarifeleri'!$C:$Q,15,FALSE),VLOOKUP($B44&amp;"",'Plus Tarifeleri'!$C:$Q,13,FALSE)),""))</f>
        <v/>
      </c>
      <c r="AQ44" s="21">
        <f>IF(OR(AO44="",AP44="",$D44=""),"",AO44*(1-AP44/100)-$D44-IF(AO44&lt;=199.99,Kargo!$E$2,IF(AO44&lt;=399.99,Kargo!$E$3,$F44)))</f>
        <v/>
      </c>
      <c r="AR44" s="23">
        <f>IF(AQ44="","",AQ44/AO44)</f>
        <v/>
      </c>
      <c r="AS44" s="24">
        <f>IF(OR(AQ44="",AG44=""),"",AQ44-AG44)</f>
        <v/>
      </c>
    </row>
    <row r="45">
      <c r="A45">
        <f>IF('Komisyon Tarifeleri'!A45="","",'Komisyon Tarifeleri'!A45)</f>
        <v/>
      </c>
      <c r="B45">
        <f>IF('Komisyon Tarifeleri'!B45="","",'Komisyon Tarifeleri'!B45&amp;"")</f>
        <v/>
      </c>
      <c r="C45">
        <f>IF($B45="","",'Komisyon Tarifeleri'!F45)</f>
        <v/>
      </c>
      <c r="D45" s="10">
        <f>IF($B45="","",IFERROR(VLOOKUP($B45,Maliyetler!$A:$E,3,FALSE),""))</f>
        <v/>
      </c>
      <c r="E45">
        <f>IF($B45="","",IFERROR(VLOOKUP($B45,Maliyetler!$A:$E,4,FALSE),1))</f>
        <v/>
      </c>
      <c r="F45" s="10">
        <f>IF($B45="","",IFERROR(VLOOKUP(MIN(20,MAX(1,ROUND($E45,0))),Kargo!$A:$B,2,FALSE),99.46))</f>
        <v/>
      </c>
      <c r="G45" s="10">
        <f>IF($B45="","",IF(IF(N('Komisyon Tarifeleri'!AA45)&gt;='Komisyon Tarifeleri'!I45,'Komisyon Tarifeleri'!AA45,'Komisyon Tarifeleri'!I45)="","",IF(N('Komisyon Tarifeleri'!AA45)&gt;='Komisyon Tarifeleri'!I45,'Komisyon Tarifeleri'!AA45,'Komisyon Tarifeleri'!I45)))</f>
        <v/>
      </c>
      <c r="H45" s="11">
        <f>IF(G45="","",IF($AM$1=2,'Komisyon Tarifeleri'!U45,'Komisyon Tarifeleri'!P45))</f>
        <v/>
      </c>
      <c r="I45" s="10">
        <f>IF(OR(G45="",$D45=""),"",G45*(1-H45/100)-$D45-IF(G45&lt;=199.99,Kargo!$E$2,IF(G45&lt;=399.99,Kargo!$E$3,$F45)))</f>
        <v/>
      </c>
      <c r="J45" s="12">
        <f>IF(I45="","",I45/G45)</f>
        <v/>
      </c>
      <c r="K45" s="10">
        <f>IF($B45="","",IF('Komisyon Tarifeleri'!J45="","",'Komisyon Tarifeleri'!J45))</f>
        <v/>
      </c>
      <c r="L45" s="11">
        <f>IF(K45="","",IF($AM$1=2,'Komisyon Tarifeleri'!V45,'Komisyon Tarifeleri'!Q45))</f>
        <v/>
      </c>
      <c r="M45" s="10">
        <f>IF(OR(K45="",$D45=""),"",K45*(1-L45/100)-$D45-IF(K45&lt;=199.99,Kargo!$E$2,IF(K45&lt;=399.99,Kargo!$E$3,$F45)))</f>
        <v/>
      </c>
      <c r="N45" s="12">
        <f>IF(M45="","",M45/K45)</f>
        <v/>
      </c>
      <c r="O45" s="10">
        <f>IF($B45="","",IF('Komisyon Tarifeleri'!L45="","",'Komisyon Tarifeleri'!L45))</f>
        <v/>
      </c>
      <c r="P45" s="11">
        <f>IF(O45="","",IF($AM$1=2,'Komisyon Tarifeleri'!W45,'Komisyon Tarifeleri'!R45))</f>
        <v/>
      </c>
      <c r="Q45" s="10">
        <f>IF(OR(O45="",$D45=""),"",O45*(1-P45/100)-$D45-IF(O45&lt;=199.99,Kargo!$E$2,IF(O45&lt;=399.99,Kargo!$E$3,$F45)))</f>
        <v/>
      </c>
      <c r="R45" s="12">
        <f>IF(Q45="","",Q45/O45)</f>
        <v/>
      </c>
      <c r="S45" s="10">
        <f>IF($B45="","",IF('Komisyon Tarifeleri'!N45="","",'Komisyon Tarifeleri'!N45))</f>
        <v/>
      </c>
      <c r="T45" s="11">
        <f>IF(S45="","",IF($AM$1=2,'Komisyon Tarifeleri'!X45,'Komisyon Tarifeleri'!S45))</f>
        <v/>
      </c>
      <c r="U45" s="10">
        <f>IF(OR(S45="",$D45=""),"",S45*(1-T45/100)-$D45-IF(S45&lt;=199.99,Kargo!$E$2,IF(S45&lt;=399.99,Kargo!$E$3,$F45)))</f>
        <v/>
      </c>
      <c r="V45" s="12">
        <f>IF(U45="","",U45/S45)</f>
        <v/>
      </c>
      <c r="W45" s="12">
        <f>IF($B45="","",IFERROR(VLOOKUP($C45,Hedefler!$A:$C,2,FALSE),0.04))</f>
        <v/>
      </c>
      <c r="X45" s="12">
        <f>IF($B45="","",IFERROR(VLOOKUP($C45,Hedefler!$A:$C,3,FALSE),0.1))</f>
        <v/>
      </c>
      <c r="Y45" s="13">
        <f>IF($B45="","",IFERROR(VLOOKUP($B45,Maliyetler!$A:$E,5,FALSE),""))</f>
        <v/>
      </c>
      <c r="Z45" s="13">
        <f>IF(OR(Y45="",Y45=0),"",Y45-1)</f>
        <v/>
      </c>
      <c r="AA45" s="14">
        <f>IF(Z45="","",IF(Z45&gt;='Komisyon Tarifeleri'!I45,IF($AM$1=2,'Komisyon Tarifeleri'!U45,'Komisyon Tarifeleri'!P45),IF(Z45&gt;='Komisyon Tarifeleri'!K45,IF($AM$1=2,'Komisyon Tarifeleri'!V45,'Komisyon Tarifeleri'!Q45),IF(Z45&gt;='Komisyon Tarifeleri'!M45,IF($AM$1=2,'Komisyon Tarifeleri'!W45,'Komisyon Tarifeleri'!R45),IF($AM$1=2,'Komisyon Tarifeleri'!X45,'Komisyon Tarifeleri'!S45)))))</f>
        <v/>
      </c>
      <c r="AB45" s="13">
        <f>IF(OR(AA45="",$D45=""),"",Z45*(1-AA45/100)-$D45-IF(Z45&lt;=199.99,Kargo!$E$2,IF(Z45&lt;=399.99,Kargo!$E$3,$F45)))</f>
        <v/>
      </c>
      <c r="AC45" s="15">
        <f>IF(AB45="","",AB45/Z45)</f>
        <v/>
      </c>
      <c r="AD45" s="10">
        <f>IF(OR($D45="",$B45=""),"",IF(AND((1-T45/100-W45)&gt;0,CEILING(($D45+$F45)/(1-T45/100-W45),1)&lt;='Komisyon Tarifeleri'!N45),CEILING(($D45+$F45)/(1-T45/100-W45),1),IF(AND((1-P45/100-W45)&gt;0,CEILING(MAX('Komisyon Tarifeleri'!M45,($D45+$F45)/(1-P45/100-W45)),1)&lt;='Komisyon Tarifeleri'!L45),CEILING(MAX('Komisyon Tarifeleri'!M45,($D45+$F45)/(1-P45/100-W45)),1),IF(AND((1-L45/100-W45)&gt;0,CEILING(MAX('Komisyon Tarifeleri'!K45,($D45+$F45)/(1-L45/100-W45)),1)&lt;='Komisyon Tarifeleri'!J45),CEILING(MAX('Komisyon Tarifeleri'!K45,($D45+$F45)/(1-L45/100-W45)),1),IF((1-H45/100-W45)&gt;0,CEILING(MAX('Komisyon Tarifeleri'!I45,($D45+$F45)/(1-H45/100-W45)),1),"İMKÂNSIZ")))))</f>
        <v/>
      </c>
      <c r="AE45" s="10">
        <f>IF(OR($D45="",$B45=""),"",IF(AND((1-T45/100-X45)&gt;0,CEILING(($D45+$F45)/(1-T45/100-X45),1)&lt;='Komisyon Tarifeleri'!N45),CEILING(($D45+$F45)/(1-T45/100-X45),1),IF(AND((1-P45/100-X45)&gt;0,CEILING(MAX('Komisyon Tarifeleri'!M45,($D45+$F45)/(1-P45/100-X45)),1)&lt;='Komisyon Tarifeleri'!L45),CEILING(MAX('Komisyon Tarifeleri'!M45,($D45+$F45)/(1-P45/100-X45)),1),IF(AND((1-L45/100-X45)&gt;0,CEILING(MAX('Komisyon Tarifeleri'!K45,($D45+$F45)/(1-L45/100-X45)),1)&lt;='Komisyon Tarifeleri'!J45),CEILING(MAX('Komisyon Tarifeleri'!K45,($D45+$F45)/(1-L45/100-X45)),1),IF((1-H45/100-X45)&gt;0,CEILING(MAX('Komisyon Tarifeleri'!I45,($D45+$F45)/(1-H45/100-X45)),1),"İMKÂNSIZ")))))</f>
        <v/>
      </c>
      <c r="AF45" s="16">
        <f>IF($D45="","",IF(AND(Y45&lt;&gt;"",AC45&lt;&gt;"",AC45&gt;=W45),Z45,IF(Y45&lt;&gt;"",AD45,AE45)))</f>
        <v/>
      </c>
      <c r="AG45" s="16">
        <f>IF(OR(AF45="",AF45="İMKÂNSIZ"),"",AF45*(1-IF(AF45&gt;='Komisyon Tarifeleri'!I45,IF($AM$1=2,'Komisyon Tarifeleri'!U45,'Komisyon Tarifeleri'!P45),IF(AF45&gt;='Komisyon Tarifeleri'!K45,IF($AM$1=2,'Komisyon Tarifeleri'!V45,'Komisyon Tarifeleri'!Q45),IF(AF45&gt;='Komisyon Tarifeleri'!M45,IF($AM$1=2,'Komisyon Tarifeleri'!W45,'Komisyon Tarifeleri'!R45),IF($AM$1=2,'Komisyon Tarifeleri'!X45,'Komisyon Tarifeleri'!S45))))/100)-$D45-IF(AF45&lt;=199.99,Kargo!$E$2,IF(AF45&lt;=399.99,Kargo!$E$3,$F45)))</f>
        <v/>
      </c>
      <c r="AH45" s="17">
        <f>IF(AG45="","",AG45/AF45)</f>
        <v/>
      </c>
      <c r="AI45" s="18">
        <f>IF($D45="","",IF(Y45="","BUYBOX YOK → hedef kârla min fiyat",IF(AC45&gt;=W45,"✓ BUYBOX ALTINA GİR","BUYBOX ALTI KÂRSIZ → min kârlı fiyat")))</f>
        <v/>
      </c>
      <c r="AJ45" s="10">
        <f>IF($B45="","",IFERROR(VLOOKUP($B45,Maliyetler!$A:$G,6,FALSE),""))</f>
        <v/>
      </c>
      <c r="AK45">
        <f>IF($B45="","",IFERROR(VLOOKUP($B45,Maliyetler!$A:$G,7,FALSE),""))</f>
        <v/>
      </c>
      <c r="AO45" s="21">
        <f>IF($B45="","",IFERROR(VLOOKUP($B45&amp;"",'Plus Tarifeleri'!$C:$Q,11,FALSE),""))</f>
        <v/>
      </c>
      <c r="AP45" s="22">
        <f>IF(AO45="","",IFERROR(IF($AM$1=2,VLOOKUP($B45&amp;"",'Plus Tarifeleri'!$C:$Q,15,FALSE),VLOOKUP($B45&amp;"",'Plus Tarifeleri'!$C:$Q,13,FALSE)),""))</f>
        <v/>
      </c>
      <c r="AQ45" s="21">
        <f>IF(OR(AO45="",AP45="",$D45=""),"",AO45*(1-AP45/100)-$D45-IF(AO45&lt;=199.99,Kargo!$E$2,IF(AO45&lt;=399.99,Kargo!$E$3,$F45)))</f>
        <v/>
      </c>
      <c r="AR45" s="23">
        <f>IF(AQ45="","",AQ45/AO45)</f>
        <v/>
      </c>
      <c r="AS45" s="24">
        <f>IF(OR(AQ45="",AG45=""),"",AQ45-AG45)</f>
        <v/>
      </c>
    </row>
    <row r="46">
      <c r="A46">
        <f>IF('Komisyon Tarifeleri'!A46="","",'Komisyon Tarifeleri'!A46)</f>
        <v/>
      </c>
      <c r="B46">
        <f>IF('Komisyon Tarifeleri'!B46="","",'Komisyon Tarifeleri'!B46&amp;"")</f>
        <v/>
      </c>
      <c r="C46">
        <f>IF($B46="","",'Komisyon Tarifeleri'!F46)</f>
        <v/>
      </c>
      <c r="D46" s="10">
        <f>IF($B46="","",IFERROR(VLOOKUP($B46,Maliyetler!$A:$E,3,FALSE),""))</f>
        <v/>
      </c>
      <c r="E46">
        <f>IF($B46="","",IFERROR(VLOOKUP($B46,Maliyetler!$A:$E,4,FALSE),1))</f>
        <v/>
      </c>
      <c r="F46" s="10">
        <f>IF($B46="","",IFERROR(VLOOKUP(MIN(20,MAX(1,ROUND($E46,0))),Kargo!$A:$B,2,FALSE),99.46))</f>
        <v/>
      </c>
      <c r="G46" s="10">
        <f>IF($B46="","",IF(IF(N('Komisyon Tarifeleri'!AA46)&gt;='Komisyon Tarifeleri'!I46,'Komisyon Tarifeleri'!AA46,'Komisyon Tarifeleri'!I46)="","",IF(N('Komisyon Tarifeleri'!AA46)&gt;='Komisyon Tarifeleri'!I46,'Komisyon Tarifeleri'!AA46,'Komisyon Tarifeleri'!I46)))</f>
        <v/>
      </c>
      <c r="H46" s="11">
        <f>IF(G46="","",IF($AM$1=2,'Komisyon Tarifeleri'!U46,'Komisyon Tarifeleri'!P46))</f>
        <v/>
      </c>
      <c r="I46" s="10">
        <f>IF(OR(G46="",$D46=""),"",G46*(1-H46/100)-$D46-IF(G46&lt;=199.99,Kargo!$E$2,IF(G46&lt;=399.99,Kargo!$E$3,$F46)))</f>
        <v/>
      </c>
      <c r="J46" s="12">
        <f>IF(I46="","",I46/G46)</f>
        <v/>
      </c>
      <c r="K46" s="10">
        <f>IF($B46="","",IF('Komisyon Tarifeleri'!J46="","",'Komisyon Tarifeleri'!J46))</f>
        <v/>
      </c>
      <c r="L46" s="11">
        <f>IF(K46="","",IF($AM$1=2,'Komisyon Tarifeleri'!V46,'Komisyon Tarifeleri'!Q46))</f>
        <v/>
      </c>
      <c r="M46" s="10">
        <f>IF(OR(K46="",$D46=""),"",K46*(1-L46/100)-$D46-IF(K46&lt;=199.99,Kargo!$E$2,IF(K46&lt;=399.99,Kargo!$E$3,$F46)))</f>
        <v/>
      </c>
      <c r="N46" s="12">
        <f>IF(M46="","",M46/K46)</f>
        <v/>
      </c>
      <c r="O46" s="10">
        <f>IF($B46="","",IF('Komisyon Tarifeleri'!L46="","",'Komisyon Tarifeleri'!L46))</f>
        <v/>
      </c>
      <c r="P46" s="11">
        <f>IF(O46="","",IF($AM$1=2,'Komisyon Tarifeleri'!W46,'Komisyon Tarifeleri'!R46))</f>
        <v/>
      </c>
      <c r="Q46" s="10">
        <f>IF(OR(O46="",$D46=""),"",O46*(1-P46/100)-$D46-IF(O46&lt;=199.99,Kargo!$E$2,IF(O46&lt;=399.99,Kargo!$E$3,$F46)))</f>
        <v/>
      </c>
      <c r="R46" s="12">
        <f>IF(Q46="","",Q46/O46)</f>
        <v/>
      </c>
      <c r="S46" s="10">
        <f>IF($B46="","",IF('Komisyon Tarifeleri'!N46="","",'Komisyon Tarifeleri'!N46))</f>
        <v/>
      </c>
      <c r="T46" s="11">
        <f>IF(S46="","",IF($AM$1=2,'Komisyon Tarifeleri'!X46,'Komisyon Tarifeleri'!S46))</f>
        <v/>
      </c>
      <c r="U46" s="10">
        <f>IF(OR(S46="",$D46=""),"",S46*(1-T46/100)-$D46-IF(S46&lt;=199.99,Kargo!$E$2,IF(S46&lt;=399.99,Kargo!$E$3,$F46)))</f>
        <v/>
      </c>
      <c r="V46" s="12">
        <f>IF(U46="","",U46/S46)</f>
        <v/>
      </c>
      <c r="W46" s="12">
        <f>IF($B46="","",IFERROR(VLOOKUP($C46,Hedefler!$A:$C,2,FALSE),0.04))</f>
        <v/>
      </c>
      <c r="X46" s="12">
        <f>IF($B46="","",IFERROR(VLOOKUP($C46,Hedefler!$A:$C,3,FALSE),0.1))</f>
        <v/>
      </c>
      <c r="Y46" s="13">
        <f>IF($B46="","",IFERROR(VLOOKUP($B46,Maliyetler!$A:$E,5,FALSE),""))</f>
        <v/>
      </c>
      <c r="Z46" s="13">
        <f>IF(OR(Y46="",Y46=0),"",Y46-1)</f>
        <v/>
      </c>
      <c r="AA46" s="14">
        <f>IF(Z46="","",IF(Z46&gt;='Komisyon Tarifeleri'!I46,IF($AM$1=2,'Komisyon Tarifeleri'!U46,'Komisyon Tarifeleri'!P46),IF(Z46&gt;='Komisyon Tarifeleri'!K46,IF($AM$1=2,'Komisyon Tarifeleri'!V46,'Komisyon Tarifeleri'!Q46),IF(Z46&gt;='Komisyon Tarifeleri'!M46,IF($AM$1=2,'Komisyon Tarifeleri'!W46,'Komisyon Tarifeleri'!R46),IF($AM$1=2,'Komisyon Tarifeleri'!X46,'Komisyon Tarifeleri'!S46)))))</f>
        <v/>
      </c>
      <c r="AB46" s="13">
        <f>IF(OR(AA46="",$D46=""),"",Z46*(1-AA46/100)-$D46-IF(Z46&lt;=199.99,Kargo!$E$2,IF(Z46&lt;=399.99,Kargo!$E$3,$F46)))</f>
        <v/>
      </c>
      <c r="AC46" s="15">
        <f>IF(AB46="","",AB46/Z46)</f>
        <v/>
      </c>
      <c r="AD46" s="10">
        <f>IF(OR($D46="",$B46=""),"",IF(AND((1-T46/100-W46)&gt;0,CEILING(($D46+$F46)/(1-T46/100-W46),1)&lt;='Komisyon Tarifeleri'!N46),CEILING(($D46+$F46)/(1-T46/100-W46),1),IF(AND((1-P46/100-W46)&gt;0,CEILING(MAX('Komisyon Tarifeleri'!M46,($D46+$F46)/(1-P46/100-W46)),1)&lt;='Komisyon Tarifeleri'!L46),CEILING(MAX('Komisyon Tarifeleri'!M46,($D46+$F46)/(1-P46/100-W46)),1),IF(AND((1-L46/100-W46)&gt;0,CEILING(MAX('Komisyon Tarifeleri'!K46,($D46+$F46)/(1-L46/100-W46)),1)&lt;='Komisyon Tarifeleri'!J46),CEILING(MAX('Komisyon Tarifeleri'!K46,($D46+$F46)/(1-L46/100-W46)),1),IF((1-H46/100-W46)&gt;0,CEILING(MAX('Komisyon Tarifeleri'!I46,($D46+$F46)/(1-H46/100-W46)),1),"İMKÂNSIZ")))))</f>
        <v/>
      </c>
      <c r="AE46" s="10">
        <f>IF(OR($D46="",$B46=""),"",IF(AND((1-T46/100-X46)&gt;0,CEILING(($D46+$F46)/(1-T46/100-X46),1)&lt;='Komisyon Tarifeleri'!N46),CEILING(($D46+$F46)/(1-T46/100-X46),1),IF(AND((1-P46/100-X46)&gt;0,CEILING(MAX('Komisyon Tarifeleri'!M46,($D46+$F46)/(1-P46/100-X46)),1)&lt;='Komisyon Tarifeleri'!L46),CEILING(MAX('Komisyon Tarifeleri'!M46,($D46+$F46)/(1-P46/100-X46)),1),IF(AND((1-L46/100-X46)&gt;0,CEILING(MAX('Komisyon Tarifeleri'!K46,($D46+$F46)/(1-L46/100-X46)),1)&lt;='Komisyon Tarifeleri'!J46),CEILING(MAX('Komisyon Tarifeleri'!K46,($D46+$F46)/(1-L46/100-X46)),1),IF((1-H46/100-X46)&gt;0,CEILING(MAX('Komisyon Tarifeleri'!I46,($D46+$F46)/(1-H46/100-X46)),1),"İMKÂNSIZ")))))</f>
        <v/>
      </c>
      <c r="AF46" s="16">
        <f>IF($D46="","",IF(AND(Y46&lt;&gt;"",AC46&lt;&gt;"",AC46&gt;=W46),Z46,IF(Y46&lt;&gt;"",AD46,AE46)))</f>
        <v/>
      </c>
      <c r="AG46" s="16">
        <f>IF(OR(AF46="",AF46="İMKÂNSIZ"),"",AF46*(1-IF(AF46&gt;='Komisyon Tarifeleri'!I46,IF($AM$1=2,'Komisyon Tarifeleri'!U46,'Komisyon Tarifeleri'!P46),IF(AF46&gt;='Komisyon Tarifeleri'!K46,IF($AM$1=2,'Komisyon Tarifeleri'!V46,'Komisyon Tarifeleri'!Q46),IF(AF46&gt;='Komisyon Tarifeleri'!M46,IF($AM$1=2,'Komisyon Tarifeleri'!W46,'Komisyon Tarifeleri'!R46),IF($AM$1=2,'Komisyon Tarifeleri'!X46,'Komisyon Tarifeleri'!S46))))/100)-$D46-IF(AF46&lt;=199.99,Kargo!$E$2,IF(AF46&lt;=399.99,Kargo!$E$3,$F46)))</f>
        <v/>
      </c>
      <c r="AH46" s="17">
        <f>IF(AG46="","",AG46/AF46)</f>
        <v/>
      </c>
      <c r="AI46" s="18">
        <f>IF($D46="","",IF(Y46="","BUYBOX YOK → hedef kârla min fiyat",IF(AC46&gt;=W46,"✓ BUYBOX ALTINA GİR","BUYBOX ALTI KÂRSIZ → min kârlı fiyat")))</f>
        <v/>
      </c>
      <c r="AJ46" s="10">
        <f>IF($B46="","",IFERROR(VLOOKUP($B46,Maliyetler!$A:$G,6,FALSE),""))</f>
        <v/>
      </c>
      <c r="AK46">
        <f>IF($B46="","",IFERROR(VLOOKUP($B46,Maliyetler!$A:$G,7,FALSE),""))</f>
        <v/>
      </c>
      <c r="AO46" s="21">
        <f>IF($B46="","",IFERROR(VLOOKUP($B46&amp;"",'Plus Tarifeleri'!$C:$Q,11,FALSE),""))</f>
        <v/>
      </c>
      <c r="AP46" s="22">
        <f>IF(AO46="","",IFERROR(IF($AM$1=2,VLOOKUP($B46&amp;"",'Plus Tarifeleri'!$C:$Q,15,FALSE),VLOOKUP($B46&amp;"",'Plus Tarifeleri'!$C:$Q,13,FALSE)),""))</f>
        <v/>
      </c>
      <c r="AQ46" s="21">
        <f>IF(OR(AO46="",AP46="",$D46=""),"",AO46*(1-AP46/100)-$D46-IF(AO46&lt;=199.99,Kargo!$E$2,IF(AO46&lt;=399.99,Kargo!$E$3,$F46)))</f>
        <v/>
      </c>
      <c r="AR46" s="23">
        <f>IF(AQ46="","",AQ46/AO46)</f>
        <v/>
      </c>
      <c r="AS46" s="24">
        <f>IF(OR(AQ46="",AG46=""),"",AQ46-AG46)</f>
        <v/>
      </c>
    </row>
    <row r="47">
      <c r="A47">
        <f>IF('Komisyon Tarifeleri'!A47="","",'Komisyon Tarifeleri'!A47)</f>
        <v/>
      </c>
      <c r="B47">
        <f>IF('Komisyon Tarifeleri'!B47="","",'Komisyon Tarifeleri'!B47&amp;"")</f>
        <v/>
      </c>
      <c r="C47">
        <f>IF($B47="","",'Komisyon Tarifeleri'!F47)</f>
        <v/>
      </c>
      <c r="D47" s="10">
        <f>IF($B47="","",IFERROR(VLOOKUP($B47,Maliyetler!$A:$E,3,FALSE),""))</f>
        <v/>
      </c>
      <c r="E47">
        <f>IF($B47="","",IFERROR(VLOOKUP($B47,Maliyetler!$A:$E,4,FALSE),1))</f>
        <v/>
      </c>
      <c r="F47" s="10">
        <f>IF($B47="","",IFERROR(VLOOKUP(MIN(20,MAX(1,ROUND($E47,0))),Kargo!$A:$B,2,FALSE),99.46))</f>
        <v/>
      </c>
      <c r="G47" s="10">
        <f>IF($B47="","",IF(IF(N('Komisyon Tarifeleri'!AA47)&gt;='Komisyon Tarifeleri'!I47,'Komisyon Tarifeleri'!AA47,'Komisyon Tarifeleri'!I47)="","",IF(N('Komisyon Tarifeleri'!AA47)&gt;='Komisyon Tarifeleri'!I47,'Komisyon Tarifeleri'!AA47,'Komisyon Tarifeleri'!I47)))</f>
        <v/>
      </c>
      <c r="H47" s="11">
        <f>IF(G47="","",IF($AM$1=2,'Komisyon Tarifeleri'!U47,'Komisyon Tarifeleri'!P47))</f>
        <v/>
      </c>
      <c r="I47" s="10">
        <f>IF(OR(G47="",$D47=""),"",G47*(1-H47/100)-$D47-IF(G47&lt;=199.99,Kargo!$E$2,IF(G47&lt;=399.99,Kargo!$E$3,$F47)))</f>
        <v/>
      </c>
      <c r="J47" s="12">
        <f>IF(I47="","",I47/G47)</f>
        <v/>
      </c>
      <c r="K47" s="10">
        <f>IF($B47="","",IF('Komisyon Tarifeleri'!J47="","",'Komisyon Tarifeleri'!J47))</f>
        <v/>
      </c>
      <c r="L47" s="11">
        <f>IF(K47="","",IF($AM$1=2,'Komisyon Tarifeleri'!V47,'Komisyon Tarifeleri'!Q47))</f>
        <v/>
      </c>
      <c r="M47" s="10">
        <f>IF(OR(K47="",$D47=""),"",K47*(1-L47/100)-$D47-IF(K47&lt;=199.99,Kargo!$E$2,IF(K47&lt;=399.99,Kargo!$E$3,$F47)))</f>
        <v/>
      </c>
      <c r="N47" s="12">
        <f>IF(M47="","",M47/K47)</f>
        <v/>
      </c>
      <c r="O47" s="10">
        <f>IF($B47="","",IF('Komisyon Tarifeleri'!L47="","",'Komisyon Tarifeleri'!L47))</f>
        <v/>
      </c>
      <c r="P47" s="11">
        <f>IF(O47="","",IF($AM$1=2,'Komisyon Tarifeleri'!W47,'Komisyon Tarifeleri'!R47))</f>
        <v/>
      </c>
      <c r="Q47" s="10">
        <f>IF(OR(O47="",$D47=""),"",O47*(1-P47/100)-$D47-IF(O47&lt;=199.99,Kargo!$E$2,IF(O47&lt;=399.99,Kargo!$E$3,$F47)))</f>
        <v/>
      </c>
      <c r="R47" s="12">
        <f>IF(Q47="","",Q47/O47)</f>
        <v/>
      </c>
      <c r="S47" s="10">
        <f>IF($B47="","",IF('Komisyon Tarifeleri'!N47="","",'Komisyon Tarifeleri'!N47))</f>
        <v/>
      </c>
      <c r="T47" s="11">
        <f>IF(S47="","",IF($AM$1=2,'Komisyon Tarifeleri'!X47,'Komisyon Tarifeleri'!S47))</f>
        <v/>
      </c>
      <c r="U47" s="10">
        <f>IF(OR(S47="",$D47=""),"",S47*(1-T47/100)-$D47-IF(S47&lt;=199.99,Kargo!$E$2,IF(S47&lt;=399.99,Kargo!$E$3,$F47)))</f>
        <v/>
      </c>
      <c r="V47" s="12">
        <f>IF(U47="","",U47/S47)</f>
        <v/>
      </c>
      <c r="W47" s="12">
        <f>IF($B47="","",IFERROR(VLOOKUP($C47,Hedefler!$A:$C,2,FALSE),0.04))</f>
        <v/>
      </c>
      <c r="X47" s="12">
        <f>IF($B47="","",IFERROR(VLOOKUP($C47,Hedefler!$A:$C,3,FALSE),0.1))</f>
        <v/>
      </c>
      <c r="Y47" s="13">
        <f>IF($B47="","",IFERROR(VLOOKUP($B47,Maliyetler!$A:$E,5,FALSE),""))</f>
        <v/>
      </c>
      <c r="Z47" s="13">
        <f>IF(OR(Y47="",Y47=0),"",Y47-1)</f>
        <v/>
      </c>
      <c r="AA47" s="14">
        <f>IF(Z47="","",IF(Z47&gt;='Komisyon Tarifeleri'!I47,IF($AM$1=2,'Komisyon Tarifeleri'!U47,'Komisyon Tarifeleri'!P47),IF(Z47&gt;='Komisyon Tarifeleri'!K47,IF($AM$1=2,'Komisyon Tarifeleri'!V47,'Komisyon Tarifeleri'!Q47),IF(Z47&gt;='Komisyon Tarifeleri'!M47,IF($AM$1=2,'Komisyon Tarifeleri'!W47,'Komisyon Tarifeleri'!R47),IF($AM$1=2,'Komisyon Tarifeleri'!X47,'Komisyon Tarifeleri'!S47)))))</f>
        <v/>
      </c>
      <c r="AB47" s="13">
        <f>IF(OR(AA47="",$D47=""),"",Z47*(1-AA47/100)-$D47-IF(Z47&lt;=199.99,Kargo!$E$2,IF(Z47&lt;=399.99,Kargo!$E$3,$F47)))</f>
        <v/>
      </c>
      <c r="AC47" s="15">
        <f>IF(AB47="","",AB47/Z47)</f>
        <v/>
      </c>
      <c r="AD47" s="10">
        <f>IF(OR($D47="",$B47=""),"",IF(AND((1-T47/100-W47)&gt;0,CEILING(($D47+$F47)/(1-T47/100-W47),1)&lt;='Komisyon Tarifeleri'!N47),CEILING(($D47+$F47)/(1-T47/100-W47),1),IF(AND((1-P47/100-W47)&gt;0,CEILING(MAX('Komisyon Tarifeleri'!M47,($D47+$F47)/(1-P47/100-W47)),1)&lt;='Komisyon Tarifeleri'!L47),CEILING(MAX('Komisyon Tarifeleri'!M47,($D47+$F47)/(1-P47/100-W47)),1),IF(AND((1-L47/100-W47)&gt;0,CEILING(MAX('Komisyon Tarifeleri'!K47,($D47+$F47)/(1-L47/100-W47)),1)&lt;='Komisyon Tarifeleri'!J47),CEILING(MAX('Komisyon Tarifeleri'!K47,($D47+$F47)/(1-L47/100-W47)),1),IF((1-H47/100-W47)&gt;0,CEILING(MAX('Komisyon Tarifeleri'!I47,($D47+$F47)/(1-H47/100-W47)),1),"İMKÂNSIZ")))))</f>
        <v/>
      </c>
      <c r="AE47" s="10">
        <f>IF(OR($D47="",$B47=""),"",IF(AND((1-T47/100-X47)&gt;0,CEILING(($D47+$F47)/(1-T47/100-X47),1)&lt;='Komisyon Tarifeleri'!N47),CEILING(($D47+$F47)/(1-T47/100-X47),1),IF(AND((1-P47/100-X47)&gt;0,CEILING(MAX('Komisyon Tarifeleri'!M47,($D47+$F47)/(1-P47/100-X47)),1)&lt;='Komisyon Tarifeleri'!L47),CEILING(MAX('Komisyon Tarifeleri'!M47,($D47+$F47)/(1-P47/100-X47)),1),IF(AND((1-L47/100-X47)&gt;0,CEILING(MAX('Komisyon Tarifeleri'!K47,($D47+$F47)/(1-L47/100-X47)),1)&lt;='Komisyon Tarifeleri'!J47),CEILING(MAX('Komisyon Tarifeleri'!K47,($D47+$F47)/(1-L47/100-X47)),1),IF((1-H47/100-X47)&gt;0,CEILING(MAX('Komisyon Tarifeleri'!I47,($D47+$F47)/(1-H47/100-X47)),1),"İMKÂNSIZ")))))</f>
        <v/>
      </c>
      <c r="AF47" s="16">
        <f>IF($D47="","",IF(AND(Y47&lt;&gt;"",AC47&lt;&gt;"",AC47&gt;=W47),Z47,IF(Y47&lt;&gt;"",AD47,AE47)))</f>
        <v/>
      </c>
      <c r="AG47" s="16">
        <f>IF(OR(AF47="",AF47="İMKÂNSIZ"),"",AF47*(1-IF(AF47&gt;='Komisyon Tarifeleri'!I47,IF($AM$1=2,'Komisyon Tarifeleri'!U47,'Komisyon Tarifeleri'!P47),IF(AF47&gt;='Komisyon Tarifeleri'!K47,IF($AM$1=2,'Komisyon Tarifeleri'!V47,'Komisyon Tarifeleri'!Q47),IF(AF47&gt;='Komisyon Tarifeleri'!M47,IF($AM$1=2,'Komisyon Tarifeleri'!W47,'Komisyon Tarifeleri'!R47),IF($AM$1=2,'Komisyon Tarifeleri'!X47,'Komisyon Tarifeleri'!S47))))/100)-$D47-IF(AF47&lt;=199.99,Kargo!$E$2,IF(AF47&lt;=399.99,Kargo!$E$3,$F47)))</f>
        <v/>
      </c>
      <c r="AH47" s="17">
        <f>IF(AG47="","",AG47/AF47)</f>
        <v/>
      </c>
      <c r="AI47" s="18">
        <f>IF($D47="","",IF(Y47="","BUYBOX YOK → hedef kârla min fiyat",IF(AC47&gt;=W47,"✓ BUYBOX ALTINA GİR","BUYBOX ALTI KÂRSIZ → min kârlı fiyat")))</f>
        <v/>
      </c>
      <c r="AJ47" s="10">
        <f>IF($B47="","",IFERROR(VLOOKUP($B47,Maliyetler!$A:$G,6,FALSE),""))</f>
        <v/>
      </c>
      <c r="AK47">
        <f>IF($B47="","",IFERROR(VLOOKUP($B47,Maliyetler!$A:$G,7,FALSE),""))</f>
        <v/>
      </c>
      <c r="AO47" s="21">
        <f>IF($B47="","",IFERROR(VLOOKUP($B47&amp;"",'Plus Tarifeleri'!$C:$Q,11,FALSE),""))</f>
        <v/>
      </c>
      <c r="AP47" s="22">
        <f>IF(AO47="","",IFERROR(IF($AM$1=2,VLOOKUP($B47&amp;"",'Plus Tarifeleri'!$C:$Q,15,FALSE),VLOOKUP($B47&amp;"",'Plus Tarifeleri'!$C:$Q,13,FALSE)),""))</f>
        <v/>
      </c>
      <c r="AQ47" s="21">
        <f>IF(OR(AO47="",AP47="",$D47=""),"",AO47*(1-AP47/100)-$D47-IF(AO47&lt;=199.99,Kargo!$E$2,IF(AO47&lt;=399.99,Kargo!$E$3,$F47)))</f>
        <v/>
      </c>
      <c r="AR47" s="23">
        <f>IF(AQ47="","",AQ47/AO47)</f>
        <v/>
      </c>
      <c r="AS47" s="24">
        <f>IF(OR(AQ47="",AG47=""),"",AQ47-AG47)</f>
        <v/>
      </c>
    </row>
    <row r="48">
      <c r="A48">
        <f>IF('Komisyon Tarifeleri'!A48="","",'Komisyon Tarifeleri'!A48)</f>
        <v/>
      </c>
      <c r="B48">
        <f>IF('Komisyon Tarifeleri'!B48="","",'Komisyon Tarifeleri'!B48&amp;"")</f>
        <v/>
      </c>
      <c r="C48">
        <f>IF($B48="","",'Komisyon Tarifeleri'!F48)</f>
        <v/>
      </c>
      <c r="D48" s="10">
        <f>IF($B48="","",IFERROR(VLOOKUP($B48,Maliyetler!$A:$E,3,FALSE),""))</f>
        <v/>
      </c>
      <c r="E48">
        <f>IF($B48="","",IFERROR(VLOOKUP($B48,Maliyetler!$A:$E,4,FALSE),1))</f>
        <v/>
      </c>
      <c r="F48" s="10">
        <f>IF($B48="","",IFERROR(VLOOKUP(MIN(20,MAX(1,ROUND($E48,0))),Kargo!$A:$B,2,FALSE),99.46))</f>
        <v/>
      </c>
      <c r="G48" s="10">
        <f>IF($B48="","",IF(IF(N('Komisyon Tarifeleri'!AA48)&gt;='Komisyon Tarifeleri'!I48,'Komisyon Tarifeleri'!AA48,'Komisyon Tarifeleri'!I48)="","",IF(N('Komisyon Tarifeleri'!AA48)&gt;='Komisyon Tarifeleri'!I48,'Komisyon Tarifeleri'!AA48,'Komisyon Tarifeleri'!I48)))</f>
        <v/>
      </c>
      <c r="H48" s="11">
        <f>IF(G48="","",IF($AM$1=2,'Komisyon Tarifeleri'!U48,'Komisyon Tarifeleri'!P48))</f>
        <v/>
      </c>
      <c r="I48" s="10">
        <f>IF(OR(G48="",$D48=""),"",G48*(1-H48/100)-$D48-IF(G48&lt;=199.99,Kargo!$E$2,IF(G48&lt;=399.99,Kargo!$E$3,$F48)))</f>
        <v/>
      </c>
      <c r="J48" s="12">
        <f>IF(I48="","",I48/G48)</f>
        <v/>
      </c>
      <c r="K48" s="10">
        <f>IF($B48="","",IF('Komisyon Tarifeleri'!J48="","",'Komisyon Tarifeleri'!J48))</f>
        <v/>
      </c>
      <c r="L48" s="11">
        <f>IF(K48="","",IF($AM$1=2,'Komisyon Tarifeleri'!V48,'Komisyon Tarifeleri'!Q48))</f>
        <v/>
      </c>
      <c r="M48" s="10">
        <f>IF(OR(K48="",$D48=""),"",K48*(1-L48/100)-$D48-IF(K48&lt;=199.99,Kargo!$E$2,IF(K48&lt;=399.99,Kargo!$E$3,$F48)))</f>
        <v/>
      </c>
      <c r="N48" s="12">
        <f>IF(M48="","",M48/K48)</f>
        <v/>
      </c>
      <c r="O48" s="10">
        <f>IF($B48="","",IF('Komisyon Tarifeleri'!L48="","",'Komisyon Tarifeleri'!L48))</f>
        <v/>
      </c>
      <c r="P48" s="11">
        <f>IF(O48="","",IF($AM$1=2,'Komisyon Tarifeleri'!W48,'Komisyon Tarifeleri'!R48))</f>
        <v/>
      </c>
      <c r="Q48" s="10">
        <f>IF(OR(O48="",$D48=""),"",O48*(1-P48/100)-$D48-IF(O48&lt;=199.99,Kargo!$E$2,IF(O48&lt;=399.99,Kargo!$E$3,$F48)))</f>
        <v/>
      </c>
      <c r="R48" s="12">
        <f>IF(Q48="","",Q48/O48)</f>
        <v/>
      </c>
      <c r="S48" s="10">
        <f>IF($B48="","",IF('Komisyon Tarifeleri'!N48="","",'Komisyon Tarifeleri'!N48))</f>
        <v/>
      </c>
      <c r="T48" s="11">
        <f>IF(S48="","",IF($AM$1=2,'Komisyon Tarifeleri'!X48,'Komisyon Tarifeleri'!S48))</f>
        <v/>
      </c>
      <c r="U48" s="10">
        <f>IF(OR(S48="",$D48=""),"",S48*(1-T48/100)-$D48-IF(S48&lt;=199.99,Kargo!$E$2,IF(S48&lt;=399.99,Kargo!$E$3,$F48)))</f>
        <v/>
      </c>
      <c r="V48" s="12">
        <f>IF(U48="","",U48/S48)</f>
        <v/>
      </c>
      <c r="W48" s="12">
        <f>IF($B48="","",IFERROR(VLOOKUP($C48,Hedefler!$A:$C,2,FALSE),0.04))</f>
        <v/>
      </c>
      <c r="X48" s="12">
        <f>IF($B48="","",IFERROR(VLOOKUP($C48,Hedefler!$A:$C,3,FALSE),0.1))</f>
        <v/>
      </c>
      <c r="Y48" s="13">
        <f>IF($B48="","",IFERROR(VLOOKUP($B48,Maliyetler!$A:$E,5,FALSE),""))</f>
        <v/>
      </c>
      <c r="Z48" s="13">
        <f>IF(OR(Y48="",Y48=0),"",Y48-1)</f>
        <v/>
      </c>
      <c r="AA48" s="14">
        <f>IF(Z48="","",IF(Z48&gt;='Komisyon Tarifeleri'!I48,IF($AM$1=2,'Komisyon Tarifeleri'!U48,'Komisyon Tarifeleri'!P48),IF(Z48&gt;='Komisyon Tarifeleri'!K48,IF($AM$1=2,'Komisyon Tarifeleri'!V48,'Komisyon Tarifeleri'!Q48),IF(Z48&gt;='Komisyon Tarifeleri'!M48,IF($AM$1=2,'Komisyon Tarifeleri'!W48,'Komisyon Tarifeleri'!R48),IF($AM$1=2,'Komisyon Tarifeleri'!X48,'Komisyon Tarifeleri'!S48)))))</f>
        <v/>
      </c>
      <c r="AB48" s="13">
        <f>IF(OR(AA48="",$D48=""),"",Z48*(1-AA48/100)-$D48-IF(Z48&lt;=199.99,Kargo!$E$2,IF(Z48&lt;=399.99,Kargo!$E$3,$F48)))</f>
        <v/>
      </c>
      <c r="AC48" s="15">
        <f>IF(AB48="","",AB48/Z48)</f>
        <v/>
      </c>
      <c r="AD48" s="10">
        <f>IF(OR($D48="",$B48=""),"",IF(AND((1-T48/100-W48)&gt;0,CEILING(($D48+$F48)/(1-T48/100-W48),1)&lt;='Komisyon Tarifeleri'!N48),CEILING(($D48+$F48)/(1-T48/100-W48),1),IF(AND((1-P48/100-W48)&gt;0,CEILING(MAX('Komisyon Tarifeleri'!M48,($D48+$F48)/(1-P48/100-W48)),1)&lt;='Komisyon Tarifeleri'!L48),CEILING(MAX('Komisyon Tarifeleri'!M48,($D48+$F48)/(1-P48/100-W48)),1),IF(AND((1-L48/100-W48)&gt;0,CEILING(MAX('Komisyon Tarifeleri'!K48,($D48+$F48)/(1-L48/100-W48)),1)&lt;='Komisyon Tarifeleri'!J48),CEILING(MAX('Komisyon Tarifeleri'!K48,($D48+$F48)/(1-L48/100-W48)),1),IF((1-H48/100-W48)&gt;0,CEILING(MAX('Komisyon Tarifeleri'!I48,($D48+$F48)/(1-H48/100-W48)),1),"İMKÂNSIZ")))))</f>
        <v/>
      </c>
      <c r="AE48" s="10">
        <f>IF(OR($D48="",$B48=""),"",IF(AND((1-T48/100-X48)&gt;0,CEILING(($D48+$F48)/(1-T48/100-X48),1)&lt;='Komisyon Tarifeleri'!N48),CEILING(($D48+$F48)/(1-T48/100-X48),1),IF(AND((1-P48/100-X48)&gt;0,CEILING(MAX('Komisyon Tarifeleri'!M48,($D48+$F48)/(1-P48/100-X48)),1)&lt;='Komisyon Tarifeleri'!L48),CEILING(MAX('Komisyon Tarifeleri'!M48,($D48+$F48)/(1-P48/100-X48)),1),IF(AND((1-L48/100-X48)&gt;0,CEILING(MAX('Komisyon Tarifeleri'!K48,($D48+$F48)/(1-L48/100-X48)),1)&lt;='Komisyon Tarifeleri'!J48),CEILING(MAX('Komisyon Tarifeleri'!K48,($D48+$F48)/(1-L48/100-X48)),1),IF((1-H48/100-X48)&gt;0,CEILING(MAX('Komisyon Tarifeleri'!I48,($D48+$F48)/(1-H48/100-X48)),1),"İMKÂNSIZ")))))</f>
        <v/>
      </c>
      <c r="AF48" s="16">
        <f>IF($D48="","",IF(AND(Y48&lt;&gt;"",AC48&lt;&gt;"",AC48&gt;=W48),Z48,IF(Y48&lt;&gt;"",AD48,AE48)))</f>
        <v/>
      </c>
      <c r="AG48" s="16">
        <f>IF(OR(AF48="",AF48="İMKÂNSIZ"),"",AF48*(1-IF(AF48&gt;='Komisyon Tarifeleri'!I48,IF($AM$1=2,'Komisyon Tarifeleri'!U48,'Komisyon Tarifeleri'!P48),IF(AF48&gt;='Komisyon Tarifeleri'!K48,IF($AM$1=2,'Komisyon Tarifeleri'!V48,'Komisyon Tarifeleri'!Q48),IF(AF48&gt;='Komisyon Tarifeleri'!M48,IF($AM$1=2,'Komisyon Tarifeleri'!W48,'Komisyon Tarifeleri'!R48),IF($AM$1=2,'Komisyon Tarifeleri'!X48,'Komisyon Tarifeleri'!S48))))/100)-$D48-IF(AF48&lt;=199.99,Kargo!$E$2,IF(AF48&lt;=399.99,Kargo!$E$3,$F48)))</f>
        <v/>
      </c>
      <c r="AH48" s="17">
        <f>IF(AG48="","",AG48/AF48)</f>
        <v/>
      </c>
      <c r="AI48" s="18">
        <f>IF($D48="","",IF(Y48="","BUYBOX YOK → hedef kârla min fiyat",IF(AC48&gt;=W48,"✓ BUYBOX ALTINA GİR","BUYBOX ALTI KÂRSIZ → min kârlı fiyat")))</f>
        <v/>
      </c>
      <c r="AJ48" s="10">
        <f>IF($B48="","",IFERROR(VLOOKUP($B48,Maliyetler!$A:$G,6,FALSE),""))</f>
        <v/>
      </c>
      <c r="AK48">
        <f>IF($B48="","",IFERROR(VLOOKUP($B48,Maliyetler!$A:$G,7,FALSE),""))</f>
        <v/>
      </c>
      <c r="AO48" s="21">
        <f>IF($B48="","",IFERROR(VLOOKUP($B48&amp;"",'Plus Tarifeleri'!$C:$Q,11,FALSE),""))</f>
        <v/>
      </c>
      <c r="AP48" s="22">
        <f>IF(AO48="","",IFERROR(IF($AM$1=2,VLOOKUP($B48&amp;"",'Plus Tarifeleri'!$C:$Q,15,FALSE),VLOOKUP($B48&amp;"",'Plus Tarifeleri'!$C:$Q,13,FALSE)),""))</f>
        <v/>
      </c>
      <c r="AQ48" s="21">
        <f>IF(OR(AO48="",AP48="",$D48=""),"",AO48*(1-AP48/100)-$D48-IF(AO48&lt;=199.99,Kargo!$E$2,IF(AO48&lt;=399.99,Kargo!$E$3,$F48)))</f>
        <v/>
      </c>
      <c r="AR48" s="23">
        <f>IF(AQ48="","",AQ48/AO48)</f>
        <v/>
      </c>
      <c r="AS48" s="24">
        <f>IF(OR(AQ48="",AG48=""),"",AQ48-AG48)</f>
        <v/>
      </c>
    </row>
    <row r="49">
      <c r="A49">
        <f>IF('Komisyon Tarifeleri'!A49="","",'Komisyon Tarifeleri'!A49)</f>
        <v/>
      </c>
      <c r="B49">
        <f>IF('Komisyon Tarifeleri'!B49="","",'Komisyon Tarifeleri'!B49&amp;"")</f>
        <v/>
      </c>
      <c r="C49">
        <f>IF($B49="","",'Komisyon Tarifeleri'!F49)</f>
        <v/>
      </c>
      <c r="D49" s="10">
        <f>IF($B49="","",IFERROR(VLOOKUP($B49,Maliyetler!$A:$E,3,FALSE),""))</f>
        <v/>
      </c>
      <c r="E49">
        <f>IF($B49="","",IFERROR(VLOOKUP($B49,Maliyetler!$A:$E,4,FALSE),1))</f>
        <v/>
      </c>
      <c r="F49" s="10">
        <f>IF($B49="","",IFERROR(VLOOKUP(MIN(20,MAX(1,ROUND($E49,0))),Kargo!$A:$B,2,FALSE),99.46))</f>
        <v/>
      </c>
      <c r="G49" s="10">
        <f>IF($B49="","",IF(IF(N('Komisyon Tarifeleri'!AA49)&gt;='Komisyon Tarifeleri'!I49,'Komisyon Tarifeleri'!AA49,'Komisyon Tarifeleri'!I49)="","",IF(N('Komisyon Tarifeleri'!AA49)&gt;='Komisyon Tarifeleri'!I49,'Komisyon Tarifeleri'!AA49,'Komisyon Tarifeleri'!I49)))</f>
        <v/>
      </c>
      <c r="H49" s="11">
        <f>IF(G49="","",IF($AM$1=2,'Komisyon Tarifeleri'!U49,'Komisyon Tarifeleri'!P49))</f>
        <v/>
      </c>
      <c r="I49" s="10">
        <f>IF(OR(G49="",$D49=""),"",G49*(1-H49/100)-$D49-IF(G49&lt;=199.99,Kargo!$E$2,IF(G49&lt;=399.99,Kargo!$E$3,$F49)))</f>
        <v/>
      </c>
      <c r="J49" s="12">
        <f>IF(I49="","",I49/G49)</f>
        <v/>
      </c>
      <c r="K49" s="10">
        <f>IF($B49="","",IF('Komisyon Tarifeleri'!J49="","",'Komisyon Tarifeleri'!J49))</f>
        <v/>
      </c>
      <c r="L49" s="11">
        <f>IF(K49="","",IF($AM$1=2,'Komisyon Tarifeleri'!V49,'Komisyon Tarifeleri'!Q49))</f>
        <v/>
      </c>
      <c r="M49" s="10">
        <f>IF(OR(K49="",$D49=""),"",K49*(1-L49/100)-$D49-IF(K49&lt;=199.99,Kargo!$E$2,IF(K49&lt;=399.99,Kargo!$E$3,$F49)))</f>
        <v/>
      </c>
      <c r="N49" s="12">
        <f>IF(M49="","",M49/K49)</f>
        <v/>
      </c>
      <c r="O49" s="10">
        <f>IF($B49="","",IF('Komisyon Tarifeleri'!L49="","",'Komisyon Tarifeleri'!L49))</f>
        <v/>
      </c>
      <c r="P49" s="11">
        <f>IF(O49="","",IF($AM$1=2,'Komisyon Tarifeleri'!W49,'Komisyon Tarifeleri'!R49))</f>
        <v/>
      </c>
      <c r="Q49" s="10">
        <f>IF(OR(O49="",$D49=""),"",O49*(1-P49/100)-$D49-IF(O49&lt;=199.99,Kargo!$E$2,IF(O49&lt;=399.99,Kargo!$E$3,$F49)))</f>
        <v/>
      </c>
      <c r="R49" s="12">
        <f>IF(Q49="","",Q49/O49)</f>
        <v/>
      </c>
      <c r="S49" s="10">
        <f>IF($B49="","",IF('Komisyon Tarifeleri'!N49="","",'Komisyon Tarifeleri'!N49))</f>
        <v/>
      </c>
      <c r="T49" s="11">
        <f>IF(S49="","",IF($AM$1=2,'Komisyon Tarifeleri'!X49,'Komisyon Tarifeleri'!S49))</f>
        <v/>
      </c>
      <c r="U49" s="10">
        <f>IF(OR(S49="",$D49=""),"",S49*(1-T49/100)-$D49-IF(S49&lt;=199.99,Kargo!$E$2,IF(S49&lt;=399.99,Kargo!$E$3,$F49)))</f>
        <v/>
      </c>
      <c r="V49" s="12">
        <f>IF(U49="","",U49/S49)</f>
        <v/>
      </c>
      <c r="W49" s="12">
        <f>IF($B49="","",IFERROR(VLOOKUP($C49,Hedefler!$A:$C,2,FALSE),0.04))</f>
        <v/>
      </c>
      <c r="X49" s="12">
        <f>IF($B49="","",IFERROR(VLOOKUP($C49,Hedefler!$A:$C,3,FALSE),0.1))</f>
        <v/>
      </c>
      <c r="Y49" s="13">
        <f>IF($B49="","",IFERROR(VLOOKUP($B49,Maliyetler!$A:$E,5,FALSE),""))</f>
        <v/>
      </c>
      <c r="Z49" s="13">
        <f>IF(OR(Y49="",Y49=0),"",Y49-1)</f>
        <v/>
      </c>
      <c r="AA49" s="14">
        <f>IF(Z49="","",IF(Z49&gt;='Komisyon Tarifeleri'!I49,IF($AM$1=2,'Komisyon Tarifeleri'!U49,'Komisyon Tarifeleri'!P49),IF(Z49&gt;='Komisyon Tarifeleri'!K49,IF($AM$1=2,'Komisyon Tarifeleri'!V49,'Komisyon Tarifeleri'!Q49),IF(Z49&gt;='Komisyon Tarifeleri'!M49,IF($AM$1=2,'Komisyon Tarifeleri'!W49,'Komisyon Tarifeleri'!R49),IF($AM$1=2,'Komisyon Tarifeleri'!X49,'Komisyon Tarifeleri'!S49)))))</f>
        <v/>
      </c>
      <c r="AB49" s="13">
        <f>IF(OR(AA49="",$D49=""),"",Z49*(1-AA49/100)-$D49-IF(Z49&lt;=199.99,Kargo!$E$2,IF(Z49&lt;=399.99,Kargo!$E$3,$F49)))</f>
        <v/>
      </c>
      <c r="AC49" s="15">
        <f>IF(AB49="","",AB49/Z49)</f>
        <v/>
      </c>
      <c r="AD49" s="10">
        <f>IF(OR($D49="",$B49=""),"",IF(AND((1-T49/100-W49)&gt;0,CEILING(($D49+$F49)/(1-T49/100-W49),1)&lt;='Komisyon Tarifeleri'!N49),CEILING(($D49+$F49)/(1-T49/100-W49),1),IF(AND((1-P49/100-W49)&gt;0,CEILING(MAX('Komisyon Tarifeleri'!M49,($D49+$F49)/(1-P49/100-W49)),1)&lt;='Komisyon Tarifeleri'!L49),CEILING(MAX('Komisyon Tarifeleri'!M49,($D49+$F49)/(1-P49/100-W49)),1),IF(AND((1-L49/100-W49)&gt;0,CEILING(MAX('Komisyon Tarifeleri'!K49,($D49+$F49)/(1-L49/100-W49)),1)&lt;='Komisyon Tarifeleri'!J49),CEILING(MAX('Komisyon Tarifeleri'!K49,($D49+$F49)/(1-L49/100-W49)),1),IF((1-H49/100-W49)&gt;0,CEILING(MAX('Komisyon Tarifeleri'!I49,($D49+$F49)/(1-H49/100-W49)),1),"İMKÂNSIZ")))))</f>
        <v/>
      </c>
      <c r="AE49" s="10">
        <f>IF(OR($D49="",$B49=""),"",IF(AND((1-T49/100-X49)&gt;0,CEILING(($D49+$F49)/(1-T49/100-X49),1)&lt;='Komisyon Tarifeleri'!N49),CEILING(($D49+$F49)/(1-T49/100-X49),1),IF(AND((1-P49/100-X49)&gt;0,CEILING(MAX('Komisyon Tarifeleri'!M49,($D49+$F49)/(1-P49/100-X49)),1)&lt;='Komisyon Tarifeleri'!L49),CEILING(MAX('Komisyon Tarifeleri'!M49,($D49+$F49)/(1-P49/100-X49)),1),IF(AND((1-L49/100-X49)&gt;0,CEILING(MAX('Komisyon Tarifeleri'!K49,($D49+$F49)/(1-L49/100-X49)),1)&lt;='Komisyon Tarifeleri'!J49),CEILING(MAX('Komisyon Tarifeleri'!K49,($D49+$F49)/(1-L49/100-X49)),1),IF((1-H49/100-X49)&gt;0,CEILING(MAX('Komisyon Tarifeleri'!I49,($D49+$F49)/(1-H49/100-X49)),1),"İMKÂNSIZ")))))</f>
        <v/>
      </c>
      <c r="AF49" s="16">
        <f>IF($D49="","",IF(AND(Y49&lt;&gt;"",AC49&lt;&gt;"",AC49&gt;=W49),Z49,IF(Y49&lt;&gt;"",AD49,AE49)))</f>
        <v/>
      </c>
      <c r="AG49" s="16">
        <f>IF(OR(AF49="",AF49="İMKÂNSIZ"),"",AF49*(1-IF(AF49&gt;='Komisyon Tarifeleri'!I49,IF($AM$1=2,'Komisyon Tarifeleri'!U49,'Komisyon Tarifeleri'!P49),IF(AF49&gt;='Komisyon Tarifeleri'!K49,IF($AM$1=2,'Komisyon Tarifeleri'!V49,'Komisyon Tarifeleri'!Q49),IF(AF49&gt;='Komisyon Tarifeleri'!M49,IF($AM$1=2,'Komisyon Tarifeleri'!W49,'Komisyon Tarifeleri'!R49),IF($AM$1=2,'Komisyon Tarifeleri'!X49,'Komisyon Tarifeleri'!S49))))/100)-$D49-IF(AF49&lt;=199.99,Kargo!$E$2,IF(AF49&lt;=399.99,Kargo!$E$3,$F49)))</f>
        <v/>
      </c>
      <c r="AH49" s="17">
        <f>IF(AG49="","",AG49/AF49)</f>
        <v/>
      </c>
      <c r="AI49" s="18">
        <f>IF($D49="","",IF(Y49="","BUYBOX YOK → hedef kârla min fiyat",IF(AC49&gt;=W49,"✓ BUYBOX ALTINA GİR","BUYBOX ALTI KÂRSIZ → min kârlı fiyat")))</f>
        <v/>
      </c>
      <c r="AJ49" s="10">
        <f>IF($B49="","",IFERROR(VLOOKUP($B49,Maliyetler!$A:$G,6,FALSE),""))</f>
        <v/>
      </c>
      <c r="AK49">
        <f>IF($B49="","",IFERROR(VLOOKUP($B49,Maliyetler!$A:$G,7,FALSE),""))</f>
        <v/>
      </c>
      <c r="AO49" s="21">
        <f>IF($B49="","",IFERROR(VLOOKUP($B49&amp;"",'Plus Tarifeleri'!$C:$Q,11,FALSE),""))</f>
        <v/>
      </c>
      <c r="AP49" s="22">
        <f>IF(AO49="","",IFERROR(IF($AM$1=2,VLOOKUP($B49&amp;"",'Plus Tarifeleri'!$C:$Q,15,FALSE),VLOOKUP($B49&amp;"",'Plus Tarifeleri'!$C:$Q,13,FALSE)),""))</f>
        <v/>
      </c>
      <c r="AQ49" s="21">
        <f>IF(OR(AO49="",AP49="",$D49=""),"",AO49*(1-AP49/100)-$D49-IF(AO49&lt;=199.99,Kargo!$E$2,IF(AO49&lt;=399.99,Kargo!$E$3,$F49)))</f>
        <v/>
      </c>
      <c r="AR49" s="23">
        <f>IF(AQ49="","",AQ49/AO49)</f>
        <v/>
      </c>
      <c r="AS49" s="24">
        <f>IF(OR(AQ49="",AG49=""),"",AQ49-AG49)</f>
        <v/>
      </c>
    </row>
    <row r="50">
      <c r="A50">
        <f>IF('Komisyon Tarifeleri'!A50="","",'Komisyon Tarifeleri'!A50)</f>
        <v/>
      </c>
      <c r="B50">
        <f>IF('Komisyon Tarifeleri'!B50="","",'Komisyon Tarifeleri'!B50&amp;"")</f>
        <v/>
      </c>
      <c r="C50">
        <f>IF($B50="","",'Komisyon Tarifeleri'!F50)</f>
        <v/>
      </c>
      <c r="D50" s="10">
        <f>IF($B50="","",IFERROR(VLOOKUP($B50,Maliyetler!$A:$E,3,FALSE),""))</f>
        <v/>
      </c>
      <c r="E50">
        <f>IF($B50="","",IFERROR(VLOOKUP($B50,Maliyetler!$A:$E,4,FALSE),1))</f>
        <v/>
      </c>
      <c r="F50" s="10">
        <f>IF($B50="","",IFERROR(VLOOKUP(MIN(20,MAX(1,ROUND($E50,0))),Kargo!$A:$B,2,FALSE),99.46))</f>
        <v/>
      </c>
      <c r="G50" s="10">
        <f>IF($B50="","",IF(IF(N('Komisyon Tarifeleri'!AA50)&gt;='Komisyon Tarifeleri'!I50,'Komisyon Tarifeleri'!AA50,'Komisyon Tarifeleri'!I50)="","",IF(N('Komisyon Tarifeleri'!AA50)&gt;='Komisyon Tarifeleri'!I50,'Komisyon Tarifeleri'!AA50,'Komisyon Tarifeleri'!I50)))</f>
        <v/>
      </c>
      <c r="H50" s="11">
        <f>IF(G50="","",IF($AM$1=2,'Komisyon Tarifeleri'!U50,'Komisyon Tarifeleri'!P50))</f>
        <v/>
      </c>
      <c r="I50" s="10">
        <f>IF(OR(G50="",$D50=""),"",G50*(1-H50/100)-$D50-IF(G50&lt;=199.99,Kargo!$E$2,IF(G50&lt;=399.99,Kargo!$E$3,$F50)))</f>
        <v/>
      </c>
      <c r="J50" s="12">
        <f>IF(I50="","",I50/G50)</f>
        <v/>
      </c>
      <c r="K50" s="10">
        <f>IF($B50="","",IF('Komisyon Tarifeleri'!J50="","",'Komisyon Tarifeleri'!J50))</f>
        <v/>
      </c>
      <c r="L50" s="11">
        <f>IF(K50="","",IF($AM$1=2,'Komisyon Tarifeleri'!V50,'Komisyon Tarifeleri'!Q50))</f>
        <v/>
      </c>
      <c r="M50" s="10">
        <f>IF(OR(K50="",$D50=""),"",K50*(1-L50/100)-$D50-IF(K50&lt;=199.99,Kargo!$E$2,IF(K50&lt;=399.99,Kargo!$E$3,$F50)))</f>
        <v/>
      </c>
      <c r="N50" s="12">
        <f>IF(M50="","",M50/K50)</f>
        <v/>
      </c>
      <c r="O50" s="10">
        <f>IF($B50="","",IF('Komisyon Tarifeleri'!L50="","",'Komisyon Tarifeleri'!L50))</f>
        <v/>
      </c>
      <c r="P50" s="11">
        <f>IF(O50="","",IF($AM$1=2,'Komisyon Tarifeleri'!W50,'Komisyon Tarifeleri'!R50))</f>
        <v/>
      </c>
      <c r="Q50" s="10">
        <f>IF(OR(O50="",$D50=""),"",O50*(1-P50/100)-$D50-IF(O50&lt;=199.99,Kargo!$E$2,IF(O50&lt;=399.99,Kargo!$E$3,$F50)))</f>
        <v/>
      </c>
      <c r="R50" s="12">
        <f>IF(Q50="","",Q50/O50)</f>
        <v/>
      </c>
      <c r="S50" s="10">
        <f>IF($B50="","",IF('Komisyon Tarifeleri'!N50="","",'Komisyon Tarifeleri'!N50))</f>
        <v/>
      </c>
      <c r="T50" s="11">
        <f>IF(S50="","",IF($AM$1=2,'Komisyon Tarifeleri'!X50,'Komisyon Tarifeleri'!S50))</f>
        <v/>
      </c>
      <c r="U50" s="10">
        <f>IF(OR(S50="",$D50=""),"",S50*(1-T50/100)-$D50-IF(S50&lt;=199.99,Kargo!$E$2,IF(S50&lt;=399.99,Kargo!$E$3,$F50)))</f>
        <v/>
      </c>
      <c r="V50" s="12">
        <f>IF(U50="","",U50/S50)</f>
        <v/>
      </c>
      <c r="W50" s="12">
        <f>IF($B50="","",IFERROR(VLOOKUP($C50,Hedefler!$A:$C,2,FALSE),0.04))</f>
        <v/>
      </c>
      <c r="X50" s="12">
        <f>IF($B50="","",IFERROR(VLOOKUP($C50,Hedefler!$A:$C,3,FALSE),0.1))</f>
        <v/>
      </c>
      <c r="Y50" s="13">
        <f>IF($B50="","",IFERROR(VLOOKUP($B50,Maliyetler!$A:$E,5,FALSE),""))</f>
        <v/>
      </c>
      <c r="Z50" s="13">
        <f>IF(OR(Y50="",Y50=0),"",Y50-1)</f>
        <v/>
      </c>
      <c r="AA50" s="14">
        <f>IF(Z50="","",IF(Z50&gt;='Komisyon Tarifeleri'!I50,IF($AM$1=2,'Komisyon Tarifeleri'!U50,'Komisyon Tarifeleri'!P50),IF(Z50&gt;='Komisyon Tarifeleri'!K50,IF($AM$1=2,'Komisyon Tarifeleri'!V50,'Komisyon Tarifeleri'!Q50),IF(Z50&gt;='Komisyon Tarifeleri'!M50,IF($AM$1=2,'Komisyon Tarifeleri'!W50,'Komisyon Tarifeleri'!R50),IF($AM$1=2,'Komisyon Tarifeleri'!X50,'Komisyon Tarifeleri'!S50)))))</f>
        <v/>
      </c>
      <c r="AB50" s="13">
        <f>IF(OR(AA50="",$D50=""),"",Z50*(1-AA50/100)-$D50-IF(Z50&lt;=199.99,Kargo!$E$2,IF(Z50&lt;=399.99,Kargo!$E$3,$F50)))</f>
        <v/>
      </c>
      <c r="AC50" s="15">
        <f>IF(AB50="","",AB50/Z50)</f>
        <v/>
      </c>
      <c r="AD50" s="10">
        <f>IF(OR($D50="",$B50=""),"",IF(AND((1-T50/100-W50)&gt;0,CEILING(($D50+$F50)/(1-T50/100-W50),1)&lt;='Komisyon Tarifeleri'!N50),CEILING(($D50+$F50)/(1-T50/100-W50),1),IF(AND((1-P50/100-W50)&gt;0,CEILING(MAX('Komisyon Tarifeleri'!M50,($D50+$F50)/(1-P50/100-W50)),1)&lt;='Komisyon Tarifeleri'!L50),CEILING(MAX('Komisyon Tarifeleri'!M50,($D50+$F50)/(1-P50/100-W50)),1),IF(AND((1-L50/100-W50)&gt;0,CEILING(MAX('Komisyon Tarifeleri'!K50,($D50+$F50)/(1-L50/100-W50)),1)&lt;='Komisyon Tarifeleri'!J50),CEILING(MAX('Komisyon Tarifeleri'!K50,($D50+$F50)/(1-L50/100-W50)),1),IF((1-H50/100-W50)&gt;0,CEILING(MAX('Komisyon Tarifeleri'!I50,($D50+$F50)/(1-H50/100-W50)),1),"İMKÂNSIZ")))))</f>
        <v/>
      </c>
      <c r="AE50" s="10">
        <f>IF(OR($D50="",$B50=""),"",IF(AND((1-T50/100-X50)&gt;0,CEILING(($D50+$F50)/(1-T50/100-X50),1)&lt;='Komisyon Tarifeleri'!N50),CEILING(($D50+$F50)/(1-T50/100-X50),1),IF(AND((1-P50/100-X50)&gt;0,CEILING(MAX('Komisyon Tarifeleri'!M50,($D50+$F50)/(1-P50/100-X50)),1)&lt;='Komisyon Tarifeleri'!L50),CEILING(MAX('Komisyon Tarifeleri'!M50,($D50+$F50)/(1-P50/100-X50)),1),IF(AND((1-L50/100-X50)&gt;0,CEILING(MAX('Komisyon Tarifeleri'!K50,($D50+$F50)/(1-L50/100-X50)),1)&lt;='Komisyon Tarifeleri'!J50),CEILING(MAX('Komisyon Tarifeleri'!K50,($D50+$F50)/(1-L50/100-X50)),1),IF((1-H50/100-X50)&gt;0,CEILING(MAX('Komisyon Tarifeleri'!I50,($D50+$F50)/(1-H50/100-X50)),1),"İMKÂNSIZ")))))</f>
        <v/>
      </c>
      <c r="AF50" s="16">
        <f>IF($D50="","",IF(AND(Y50&lt;&gt;"",AC50&lt;&gt;"",AC50&gt;=W50),Z50,IF(Y50&lt;&gt;"",AD50,AE50)))</f>
        <v/>
      </c>
      <c r="AG50" s="16">
        <f>IF(OR(AF50="",AF50="İMKÂNSIZ"),"",AF50*(1-IF(AF50&gt;='Komisyon Tarifeleri'!I50,IF($AM$1=2,'Komisyon Tarifeleri'!U50,'Komisyon Tarifeleri'!P50),IF(AF50&gt;='Komisyon Tarifeleri'!K50,IF($AM$1=2,'Komisyon Tarifeleri'!V50,'Komisyon Tarifeleri'!Q50),IF(AF50&gt;='Komisyon Tarifeleri'!M50,IF($AM$1=2,'Komisyon Tarifeleri'!W50,'Komisyon Tarifeleri'!R50),IF($AM$1=2,'Komisyon Tarifeleri'!X50,'Komisyon Tarifeleri'!S50))))/100)-$D50-IF(AF50&lt;=199.99,Kargo!$E$2,IF(AF50&lt;=399.99,Kargo!$E$3,$F50)))</f>
        <v/>
      </c>
      <c r="AH50" s="17">
        <f>IF(AG50="","",AG50/AF50)</f>
        <v/>
      </c>
      <c r="AI50" s="18">
        <f>IF($D50="","",IF(Y50="","BUYBOX YOK → hedef kârla min fiyat",IF(AC50&gt;=W50,"✓ BUYBOX ALTINA GİR","BUYBOX ALTI KÂRSIZ → min kârlı fiyat")))</f>
        <v/>
      </c>
      <c r="AJ50" s="10">
        <f>IF($B50="","",IFERROR(VLOOKUP($B50,Maliyetler!$A:$G,6,FALSE),""))</f>
        <v/>
      </c>
      <c r="AK50">
        <f>IF($B50="","",IFERROR(VLOOKUP($B50,Maliyetler!$A:$G,7,FALSE),""))</f>
        <v/>
      </c>
      <c r="AO50" s="21">
        <f>IF($B50="","",IFERROR(VLOOKUP($B50&amp;"",'Plus Tarifeleri'!$C:$Q,11,FALSE),""))</f>
        <v/>
      </c>
      <c r="AP50" s="22">
        <f>IF(AO50="","",IFERROR(IF($AM$1=2,VLOOKUP($B50&amp;"",'Plus Tarifeleri'!$C:$Q,15,FALSE),VLOOKUP($B50&amp;"",'Plus Tarifeleri'!$C:$Q,13,FALSE)),""))</f>
        <v/>
      </c>
      <c r="AQ50" s="21">
        <f>IF(OR(AO50="",AP50="",$D50=""),"",AO50*(1-AP50/100)-$D50-IF(AO50&lt;=199.99,Kargo!$E$2,IF(AO50&lt;=399.99,Kargo!$E$3,$F50)))</f>
        <v/>
      </c>
      <c r="AR50" s="23">
        <f>IF(AQ50="","",AQ50/AO50)</f>
        <v/>
      </c>
      <c r="AS50" s="24">
        <f>IF(OR(AQ50="",AG50=""),"",AQ50-AG50)</f>
        <v/>
      </c>
    </row>
    <row r="51">
      <c r="A51">
        <f>IF('Komisyon Tarifeleri'!A51="","",'Komisyon Tarifeleri'!A51)</f>
        <v/>
      </c>
      <c r="B51">
        <f>IF('Komisyon Tarifeleri'!B51="","",'Komisyon Tarifeleri'!B51&amp;"")</f>
        <v/>
      </c>
      <c r="C51">
        <f>IF($B51="","",'Komisyon Tarifeleri'!F51)</f>
        <v/>
      </c>
      <c r="D51" s="10">
        <f>IF($B51="","",IFERROR(VLOOKUP($B51,Maliyetler!$A:$E,3,FALSE),""))</f>
        <v/>
      </c>
      <c r="E51">
        <f>IF($B51="","",IFERROR(VLOOKUP($B51,Maliyetler!$A:$E,4,FALSE),1))</f>
        <v/>
      </c>
      <c r="F51" s="10">
        <f>IF($B51="","",IFERROR(VLOOKUP(MIN(20,MAX(1,ROUND($E51,0))),Kargo!$A:$B,2,FALSE),99.46))</f>
        <v/>
      </c>
      <c r="G51" s="10">
        <f>IF($B51="","",IF(IF(N('Komisyon Tarifeleri'!AA51)&gt;='Komisyon Tarifeleri'!I51,'Komisyon Tarifeleri'!AA51,'Komisyon Tarifeleri'!I51)="","",IF(N('Komisyon Tarifeleri'!AA51)&gt;='Komisyon Tarifeleri'!I51,'Komisyon Tarifeleri'!AA51,'Komisyon Tarifeleri'!I51)))</f>
        <v/>
      </c>
      <c r="H51" s="11">
        <f>IF(G51="","",IF($AM$1=2,'Komisyon Tarifeleri'!U51,'Komisyon Tarifeleri'!P51))</f>
        <v/>
      </c>
      <c r="I51" s="10">
        <f>IF(OR(G51="",$D51=""),"",G51*(1-H51/100)-$D51-IF(G51&lt;=199.99,Kargo!$E$2,IF(G51&lt;=399.99,Kargo!$E$3,$F51)))</f>
        <v/>
      </c>
      <c r="J51" s="12">
        <f>IF(I51="","",I51/G51)</f>
        <v/>
      </c>
      <c r="K51" s="10">
        <f>IF($B51="","",IF('Komisyon Tarifeleri'!J51="","",'Komisyon Tarifeleri'!J51))</f>
        <v/>
      </c>
      <c r="L51" s="11">
        <f>IF(K51="","",IF($AM$1=2,'Komisyon Tarifeleri'!V51,'Komisyon Tarifeleri'!Q51))</f>
        <v/>
      </c>
      <c r="M51" s="10">
        <f>IF(OR(K51="",$D51=""),"",K51*(1-L51/100)-$D51-IF(K51&lt;=199.99,Kargo!$E$2,IF(K51&lt;=399.99,Kargo!$E$3,$F51)))</f>
        <v/>
      </c>
      <c r="N51" s="12">
        <f>IF(M51="","",M51/K51)</f>
        <v/>
      </c>
      <c r="O51" s="10">
        <f>IF($B51="","",IF('Komisyon Tarifeleri'!L51="","",'Komisyon Tarifeleri'!L51))</f>
        <v/>
      </c>
      <c r="P51" s="11">
        <f>IF(O51="","",IF($AM$1=2,'Komisyon Tarifeleri'!W51,'Komisyon Tarifeleri'!R51))</f>
        <v/>
      </c>
      <c r="Q51" s="10">
        <f>IF(OR(O51="",$D51=""),"",O51*(1-P51/100)-$D51-IF(O51&lt;=199.99,Kargo!$E$2,IF(O51&lt;=399.99,Kargo!$E$3,$F51)))</f>
        <v/>
      </c>
      <c r="R51" s="12">
        <f>IF(Q51="","",Q51/O51)</f>
        <v/>
      </c>
      <c r="S51" s="10">
        <f>IF($B51="","",IF('Komisyon Tarifeleri'!N51="","",'Komisyon Tarifeleri'!N51))</f>
        <v/>
      </c>
      <c r="T51" s="11">
        <f>IF(S51="","",IF($AM$1=2,'Komisyon Tarifeleri'!X51,'Komisyon Tarifeleri'!S51))</f>
        <v/>
      </c>
      <c r="U51" s="10">
        <f>IF(OR(S51="",$D51=""),"",S51*(1-T51/100)-$D51-IF(S51&lt;=199.99,Kargo!$E$2,IF(S51&lt;=399.99,Kargo!$E$3,$F51)))</f>
        <v/>
      </c>
      <c r="V51" s="12">
        <f>IF(U51="","",U51/S51)</f>
        <v/>
      </c>
      <c r="W51" s="12">
        <f>IF($B51="","",IFERROR(VLOOKUP($C51,Hedefler!$A:$C,2,FALSE),0.04))</f>
        <v/>
      </c>
      <c r="X51" s="12">
        <f>IF($B51="","",IFERROR(VLOOKUP($C51,Hedefler!$A:$C,3,FALSE),0.1))</f>
        <v/>
      </c>
      <c r="Y51" s="13">
        <f>IF($B51="","",IFERROR(VLOOKUP($B51,Maliyetler!$A:$E,5,FALSE),""))</f>
        <v/>
      </c>
      <c r="Z51" s="13">
        <f>IF(OR(Y51="",Y51=0),"",Y51-1)</f>
        <v/>
      </c>
      <c r="AA51" s="14">
        <f>IF(Z51="","",IF(Z51&gt;='Komisyon Tarifeleri'!I51,IF($AM$1=2,'Komisyon Tarifeleri'!U51,'Komisyon Tarifeleri'!P51),IF(Z51&gt;='Komisyon Tarifeleri'!K51,IF($AM$1=2,'Komisyon Tarifeleri'!V51,'Komisyon Tarifeleri'!Q51),IF(Z51&gt;='Komisyon Tarifeleri'!M51,IF($AM$1=2,'Komisyon Tarifeleri'!W51,'Komisyon Tarifeleri'!R51),IF($AM$1=2,'Komisyon Tarifeleri'!X51,'Komisyon Tarifeleri'!S51)))))</f>
        <v/>
      </c>
      <c r="AB51" s="13">
        <f>IF(OR(AA51="",$D51=""),"",Z51*(1-AA51/100)-$D51-IF(Z51&lt;=199.99,Kargo!$E$2,IF(Z51&lt;=399.99,Kargo!$E$3,$F51)))</f>
        <v/>
      </c>
      <c r="AC51" s="15">
        <f>IF(AB51="","",AB51/Z51)</f>
        <v/>
      </c>
      <c r="AD51" s="10">
        <f>IF(OR($D51="",$B51=""),"",IF(AND((1-T51/100-W51)&gt;0,CEILING(($D51+$F51)/(1-T51/100-W51),1)&lt;='Komisyon Tarifeleri'!N51),CEILING(($D51+$F51)/(1-T51/100-W51),1),IF(AND((1-P51/100-W51)&gt;0,CEILING(MAX('Komisyon Tarifeleri'!M51,($D51+$F51)/(1-P51/100-W51)),1)&lt;='Komisyon Tarifeleri'!L51),CEILING(MAX('Komisyon Tarifeleri'!M51,($D51+$F51)/(1-P51/100-W51)),1),IF(AND((1-L51/100-W51)&gt;0,CEILING(MAX('Komisyon Tarifeleri'!K51,($D51+$F51)/(1-L51/100-W51)),1)&lt;='Komisyon Tarifeleri'!J51),CEILING(MAX('Komisyon Tarifeleri'!K51,($D51+$F51)/(1-L51/100-W51)),1),IF((1-H51/100-W51)&gt;0,CEILING(MAX('Komisyon Tarifeleri'!I51,($D51+$F51)/(1-H51/100-W51)),1),"İMKÂNSIZ")))))</f>
        <v/>
      </c>
      <c r="AE51" s="10">
        <f>IF(OR($D51="",$B51=""),"",IF(AND((1-T51/100-X51)&gt;0,CEILING(($D51+$F51)/(1-T51/100-X51),1)&lt;='Komisyon Tarifeleri'!N51),CEILING(($D51+$F51)/(1-T51/100-X51),1),IF(AND((1-P51/100-X51)&gt;0,CEILING(MAX('Komisyon Tarifeleri'!M51,($D51+$F51)/(1-P51/100-X51)),1)&lt;='Komisyon Tarifeleri'!L51),CEILING(MAX('Komisyon Tarifeleri'!M51,($D51+$F51)/(1-P51/100-X51)),1),IF(AND((1-L51/100-X51)&gt;0,CEILING(MAX('Komisyon Tarifeleri'!K51,($D51+$F51)/(1-L51/100-X51)),1)&lt;='Komisyon Tarifeleri'!J51),CEILING(MAX('Komisyon Tarifeleri'!K51,($D51+$F51)/(1-L51/100-X51)),1),IF((1-H51/100-X51)&gt;0,CEILING(MAX('Komisyon Tarifeleri'!I51,($D51+$F51)/(1-H51/100-X51)),1),"İMKÂNSIZ")))))</f>
        <v/>
      </c>
      <c r="AF51" s="16">
        <f>IF($D51="","",IF(AND(Y51&lt;&gt;"",AC51&lt;&gt;"",AC51&gt;=W51),Z51,IF(Y51&lt;&gt;"",AD51,AE51)))</f>
        <v/>
      </c>
      <c r="AG51" s="16">
        <f>IF(OR(AF51="",AF51="İMKÂNSIZ"),"",AF51*(1-IF(AF51&gt;='Komisyon Tarifeleri'!I51,IF($AM$1=2,'Komisyon Tarifeleri'!U51,'Komisyon Tarifeleri'!P51),IF(AF51&gt;='Komisyon Tarifeleri'!K51,IF($AM$1=2,'Komisyon Tarifeleri'!V51,'Komisyon Tarifeleri'!Q51),IF(AF51&gt;='Komisyon Tarifeleri'!M51,IF($AM$1=2,'Komisyon Tarifeleri'!W51,'Komisyon Tarifeleri'!R51),IF($AM$1=2,'Komisyon Tarifeleri'!X51,'Komisyon Tarifeleri'!S51))))/100)-$D51-IF(AF51&lt;=199.99,Kargo!$E$2,IF(AF51&lt;=399.99,Kargo!$E$3,$F51)))</f>
        <v/>
      </c>
      <c r="AH51" s="17">
        <f>IF(AG51="","",AG51/AF51)</f>
        <v/>
      </c>
      <c r="AI51" s="18">
        <f>IF($D51="","",IF(Y51="","BUYBOX YOK → hedef kârla min fiyat",IF(AC51&gt;=W51,"✓ BUYBOX ALTINA GİR","BUYBOX ALTI KÂRSIZ → min kârlı fiyat")))</f>
        <v/>
      </c>
      <c r="AJ51" s="10">
        <f>IF($B51="","",IFERROR(VLOOKUP($B51,Maliyetler!$A:$G,6,FALSE),""))</f>
        <v/>
      </c>
      <c r="AK51">
        <f>IF($B51="","",IFERROR(VLOOKUP($B51,Maliyetler!$A:$G,7,FALSE),""))</f>
        <v/>
      </c>
      <c r="AO51" s="21">
        <f>IF($B51="","",IFERROR(VLOOKUP($B51&amp;"",'Plus Tarifeleri'!$C:$Q,11,FALSE),""))</f>
        <v/>
      </c>
      <c r="AP51" s="22">
        <f>IF(AO51="","",IFERROR(IF($AM$1=2,VLOOKUP($B51&amp;"",'Plus Tarifeleri'!$C:$Q,15,FALSE),VLOOKUP($B51&amp;"",'Plus Tarifeleri'!$C:$Q,13,FALSE)),""))</f>
        <v/>
      </c>
      <c r="AQ51" s="21">
        <f>IF(OR(AO51="",AP51="",$D51=""),"",AO51*(1-AP51/100)-$D51-IF(AO51&lt;=199.99,Kargo!$E$2,IF(AO51&lt;=399.99,Kargo!$E$3,$F51)))</f>
        <v/>
      </c>
      <c r="AR51" s="23">
        <f>IF(AQ51="","",AQ51/AO51)</f>
        <v/>
      </c>
      <c r="AS51" s="24">
        <f>IF(OR(AQ51="",AG51=""),"",AQ51-AG51)</f>
        <v/>
      </c>
    </row>
    <row r="52">
      <c r="A52">
        <f>IF('Komisyon Tarifeleri'!A52="","",'Komisyon Tarifeleri'!A52)</f>
        <v/>
      </c>
      <c r="B52">
        <f>IF('Komisyon Tarifeleri'!B52="","",'Komisyon Tarifeleri'!B52&amp;"")</f>
        <v/>
      </c>
      <c r="C52">
        <f>IF($B52="","",'Komisyon Tarifeleri'!F52)</f>
        <v/>
      </c>
      <c r="D52" s="10">
        <f>IF($B52="","",IFERROR(VLOOKUP($B52,Maliyetler!$A:$E,3,FALSE),""))</f>
        <v/>
      </c>
      <c r="E52">
        <f>IF($B52="","",IFERROR(VLOOKUP($B52,Maliyetler!$A:$E,4,FALSE),1))</f>
        <v/>
      </c>
      <c r="F52" s="10">
        <f>IF($B52="","",IFERROR(VLOOKUP(MIN(20,MAX(1,ROUND($E52,0))),Kargo!$A:$B,2,FALSE),99.46))</f>
        <v/>
      </c>
      <c r="G52" s="10">
        <f>IF($B52="","",IF(IF(N('Komisyon Tarifeleri'!AA52)&gt;='Komisyon Tarifeleri'!I52,'Komisyon Tarifeleri'!AA52,'Komisyon Tarifeleri'!I52)="","",IF(N('Komisyon Tarifeleri'!AA52)&gt;='Komisyon Tarifeleri'!I52,'Komisyon Tarifeleri'!AA52,'Komisyon Tarifeleri'!I52)))</f>
        <v/>
      </c>
      <c r="H52" s="11">
        <f>IF(G52="","",IF($AM$1=2,'Komisyon Tarifeleri'!U52,'Komisyon Tarifeleri'!P52))</f>
        <v/>
      </c>
      <c r="I52" s="10">
        <f>IF(OR(G52="",$D52=""),"",G52*(1-H52/100)-$D52-IF(G52&lt;=199.99,Kargo!$E$2,IF(G52&lt;=399.99,Kargo!$E$3,$F52)))</f>
        <v/>
      </c>
      <c r="J52" s="12">
        <f>IF(I52="","",I52/G52)</f>
        <v/>
      </c>
      <c r="K52" s="10">
        <f>IF($B52="","",IF('Komisyon Tarifeleri'!J52="","",'Komisyon Tarifeleri'!J52))</f>
        <v/>
      </c>
      <c r="L52" s="11">
        <f>IF(K52="","",IF($AM$1=2,'Komisyon Tarifeleri'!V52,'Komisyon Tarifeleri'!Q52))</f>
        <v/>
      </c>
      <c r="M52" s="10">
        <f>IF(OR(K52="",$D52=""),"",K52*(1-L52/100)-$D52-IF(K52&lt;=199.99,Kargo!$E$2,IF(K52&lt;=399.99,Kargo!$E$3,$F52)))</f>
        <v/>
      </c>
      <c r="N52" s="12">
        <f>IF(M52="","",M52/K52)</f>
        <v/>
      </c>
      <c r="O52" s="10">
        <f>IF($B52="","",IF('Komisyon Tarifeleri'!L52="","",'Komisyon Tarifeleri'!L52))</f>
        <v/>
      </c>
      <c r="P52" s="11">
        <f>IF(O52="","",IF($AM$1=2,'Komisyon Tarifeleri'!W52,'Komisyon Tarifeleri'!R52))</f>
        <v/>
      </c>
      <c r="Q52" s="10">
        <f>IF(OR(O52="",$D52=""),"",O52*(1-P52/100)-$D52-IF(O52&lt;=199.99,Kargo!$E$2,IF(O52&lt;=399.99,Kargo!$E$3,$F52)))</f>
        <v/>
      </c>
      <c r="R52" s="12">
        <f>IF(Q52="","",Q52/O52)</f>
        <v/>
      </c>
      <c r="S52" s="10">
        <f>IF($B52="","",IF('Komisyon Tarifeleri'!N52="","",'Komisyon Tarifeleri'!N52))</f>
        <v/>
      </c>
      <c r="T52" s="11">
        <f>IF(S52="","",IF($AM$1=2,'Komisyon Tarifeleri'!X52,'Komisyon Tarifeleri'!S52))</f>
        <v/>
      </c>
      <c r="U52" s="10">
        <f>IF(OR(S52="",$D52=""),"",S52*(1-T52/100)-$D52-IF(S52&lt;=199.99,Kargo!$E$2,IF(S52&lt;=399.99,Kargo!$E$3,$F52)))</f>
        <v/>
      </c>
      <c r="V52" s="12">
        <f>IF(U52="","",U52/S52)</f>
        <v/>
      </c>
      <c r="W52" s="12">
        <f>IF($B52="","",IFERROR(VLOOKUP($C52,Hedefler!$A:$C,2,FALSE),0.04))</f>
        <v/>
      </c>
      <c r="X52" s="12">
        <f>IF($B52="","",IFERROR(VLOOKUP($C52,Hedefler!$A:$C,3,FALSE),0.1))</f>
        <v/>
      </c>
      <c r="Y52" s="13">
        <f>IF($B52="","",IFERROR(VLOOKUP($B52,Maliyetler!$A:$E,5,FALSE),""))</f>
        <v/>
      </c>
      <c r="Z52" s="13">
        <f>IF(OR(Y52="",Y52=0),"",Y52-1)</f>
        <v/>
      </c>
      <c r="AA52" s="14">
        <f>IF(Z52="","",IF(Z52&gt;='Komisyon Tarifeleri'!I52,IF($AM$1=2,'Komisyon Tarifeleri'!U52,'Komisyon Tarifeleri'!P52),IF(Z52&gt;='Komisyon Tarifeleri'!K52,IF($AM$1=2,'Komisyon Tarifeleri'!V52,'Komisyon Tarifeleri'!Q52),IF(Z52&gt;='Komisyon Tarifeleri'!M52,IF($AM$1=2,'Komisyon Tarifeleri'!W52,'Komisyon Tarifeleri'!R52),IF($AM$1=2,'Komisyon Tarifeleri'!X52,'Komisyon Tarifeleri'!S52)))))</f>
        <v/>
      </c>
      <c r="AB52" s="13">
        <f>IF(OR(AA52="",$D52=""),"",Z52*(1-AA52/100)-$D52-IF(Z52&lt;=199.99,Kargo!$E$2,IF(Z52&lt;=399.99,Kargo!$E$3,$F52)))</f>
        <v/>
      </c>
      <c r="AC52" s="15">
        <f>IF(AB52="","",AB52/Z52)</f>
        <v/>
      </c>
      <c r="AD52" s="10">
        <f>IF(OR($D52="",$B52=""),"",IF(AND((1-T52/100-W52)&gt;0,CEILING(($D52+$F52)/(1-T52/100-W52),1)&lt;='Komisyon Tarifeleri'!N52),CEILING(($D52+$F52)/(1-T52/100-W52),1),IF(AND((1-P52/100-W52)&gt;0,CEILING(MAX('Komisyon Tarifeleri'!M52,($D52+$F52)/(1-P52/100-W52)),1)&lt;='Komisyon Tarifeleri'!L52),CEILING(MAX('Komisyon Tarifeleri'!M52,($D52+$F52)/(1-P52/100-W52)),1),IF(AND((1-L52/100-W52)&gt;0,CEILING(MAX('Komisyon Tarifeleri'!K52,($D52+$F52)/(1-L52/100-W52)),1)&lt;='Komisyon Tarifeleri'!J52),CEILING(MAX('Komisyon Tarifeleri'!K52,($D52+$F52)/(1-L52/100-W52)),1),IF((1-H52/100-W52)&gt;0,CEILING(MAX('Komisyon Tarifeleri'!I52,($D52+$F52)/(1-H52/100-W52)),1),"İMKÂNSIZ")))))</f>
        <v/>
      </c>
      <c r="AE52" s="10">
        <f>IF(OR($D52="",$B52=""),"",IF(AND((1-T52/100-X52)&gt;0,CEILING(($D52+$F52)/(1-T52/100-X52),1)&lt;='Komisyon Tarifeleri'!N52),CEILING(($D52+$F52)/(1-T52/100-X52),1),IF(AND((1-P52/100-X52)&gt;0,CEILING(MAX('Komisyon Tarifeleri'!M52,($D52+$F52)/(1-P52/100-X52)),1)&lt;='Komisyon Tarifeleri'!L52),CEILING(MAX('Komisyon Tarifeleri'!M52,($D52+$F52)/(1-P52/100-X52)),1),IF(AND((1-L52/100-X52)&gt;0,CEILING(MAX('Komisyon Tarifeleri'!K52,($D52+$F52)/(1-L52/100-X52)),1)&lt;='Komisyon Tarifeleri'!J52),CEILING(MAX('Komisyon Tarifeleri'!K52,($D52+$F52)/(1-L52/100-X52)),1),IF((1-H52/100-X52)&gt;0,CEILING(MAX('Komisyon Tarifeleri'!I52,($D52+$F52)/(1-H52/100-X52)),1),"İMKÂNSIZ")))))</f>
        <v/>
      </c>
      <c r="AF52" s="16">
        <f>IF($D52="","",IF(AND(Y52&lt;&gt;"",AC52&lt;&gt;"",AC52&gt;=W52),Z52,IF(Y52&lt;&gt;"",AD52,AE52)))</f>
        <v/>
      </c>
      <c r="AG52" s="16">
        <f>IF(OR(AF52="",AF52="İMKÂNSIZ"),"",AF52*(1-IF(AF52&gt;='Komisyon Tarifeleri'!I52,IF($AM$1=2,'Komisyon Tarifeleri'!U52,'Komisyon Tarifeleri'!P52),IF(AF52&gt;='Komisyon Tarifeleri'!K52,IF($AM$1=2,'Komisyon Tarifeleri'!V52,'Komisyon Tarifeleri'!Q52),IF(AF52&gt;='Komisyon Tarifeleri'!M52,IF($AM$1=2,'Komisyon Tarifeleri'!W52,'Komisyon Tarifeleri'!R52),IF($AM$1=2,'Komisyon Tarifeleri'!X52,'Komisyon Tarifeleri'!S52))))/100)-$D52-IF(AF52&lt;=199.99,Kargo!$E$2,IF(AF52&lt;=399.99,Kargo!$E$3,$F52)))</f>
        <v/>
      </c>
      <c r="AH52" s="17">
        <f>IF(AG52="","",AG52/AF52)</f>
        <v/>
      </c>
      <c r="AI52" s="18">
        <f>IF($D52="","",IF(Y52="","BUYBOX YOK → hedef kârla min fiyat",IF(AC52&gt;=W52,"✓ BUYBOX ALTINA GİR","BUYBOX ALTI KÂRSIZ → min kârlı fiyat")))</f>
        <v/>
      </c>
      <c r="AJ52" s="10">
        <f>IF($B52="","",IFERROR(VLOOKUP($B52,Maliyetler!$A:$G,6,FALSE),""))</f>
        <v/>
      </c>
      <c r="AK52">
        <f>IF($B52="","",IFERROR(VLOOKUP($B52,Maliyetler!$A:$G,7,FALSE),""))</f>
        <v/>
      </c>
      <c r="AO52" s="21">
        <f>IF($B52="","",IFERROR(VLOOKUP($B52&amp;"",'Plus Tarifeleri'!$C:$Q,11,FALSE),""))</f>
        <v/>
      </c>
      <c r="AP52" s="22">
        <f>IF(AO52="","",IFERROR(IF($AM$1=2,VLOOKUP($B52&amp;"",'Plus Tarifeleri'!$C:$Q,15,FALSE),VLOOKUP($B52&amp;"",'Plus Tarifeleri'!$C:$Q,13,FALSE)),""))</f>
        <v/>
      </c>
      <c r="AQ52" s="21">
        <f>IF(OR(AO52="",AP52="",$D52=""),"",AO52*(1-AP52/100)-$D52-IF(AO52&lt;=199.99,Kargo!$E$2,IF(AO52&lt;=399.99,Kargo!$E$3,$F52)))</f>
        <v/>
      </c>
      <c r="AR52" s="23">
        <f>IF(AQ52="","",AQ52/AO52)</f>
        <v/>
      </c>
      <c r="AS52" s="24">
        <f>IF(OR(AQ52="",AG52=""),"",AQ52-AG52)</f>
        <v/>
      </c>
    </row>
    <row r="53">
      <c r="A53">
        <f>IF('Komisyon Tarifeleri'!A53="","",'Komisyon Tarifeleri'!A53)</f>
        <v/>
      </c>
      <c r="B53">
        <f>IF('Komisyon Tarifeleri'!B53="","",'Komisyon Tarifeleri'!B53&amp;"")</f>
        <v/>
      </c>
      <c r="C53">
        <f>IF($B53="","",'Komisyon Tarifeleri'!F53)</f>
        <v/>
      </c>
      <c r="D53" s="10">
        <f>IF($B53="","",IFERROR(VLOOKUP($B53,Maliyetler!$A:$E,3,FALSE),""))</f>
        <v/>
      </c>
      <c r="E53">
        <f>IF($B53="","",IFERROR(VLOOKUP($B53,Maliyetler!$A:$E,4,FALSE),1))</f>
        <v/>
      </c>
      <c r="F53" s="10">
        <f>IF($B53="","",IFERROR(VLOOKUP(MIN(20,MAX(1,ROUND($E53,0))),Kargo!$A:$B,2,FALSE),99.46))</f>
        <v/>
      </c>
      <c r="G53" s="10">
        <f>IF($B53="","",IF(IF(N('Komisyon Tarifeleri'!AA53)&gt;='Komisyon Tarifeleri'!I53,'Komisyon Tarifeleri'!AA53,'Komisyon Tarifeleri'!I53)="","",IF(N('Komisyon Tarifeleri'!AA53)&gt;='Komisyon Tarifeleri'!I53,'Komisyon Tarifeleri'!AA53,'Komisyon Tarifeleri'!I53)))</f>
        <v/>
      </c>
      <c r="H53" s="11">
        <f>IF(G53="","",IF($AM$1=2,'Komisyon Tarifeleri'!U53,'Komisyon Tarifeleri'!P53))</f>
        <v/>
      </c>
      <c r="I53" s="10">
        <f>IF(OR(G53="",$D53=""),"",G53*(1-H53/100)-$D53-IF(G53&lt;=199.99,Kargo!$E$2,IF(G53&lt;=399.99,Kargo!$E$3,$F53)))</f>
        <v/>
      </c>
      <c r="J53" s="12">
        <f>IF(I53="","",I53/G53)</f>
        <v/>
      </c>
      <c r="K53" s="10">
        <f>IF($B53="","",IF('Komisyon Tarifeleri'!J53="","",'Komisyon Tarifeleri'!J53))</f>
        <v/>
      </c>
      <c r="L53" s="11">
        <f>IF(K53="","",IF($AM$1=2,'Komisyon Tarifeleri'!V53,'Komisyon Tarifeleri'!Q53))</f>
        <v/>
      </c>
      <c r="M53" s="10">
        <f>IF(OR(K53="",$D53=""),"",K53*(1-L53/100)-$D53-IF(K53&lt;=199.99,Kargo!$E$2,IF(K53&lt;=399.99,Kargo!$E$3,$F53)))</f>
        <v/>
      </c>
      <c r="N53" s="12">
        <f>IF(M53="","",M53/K53)</f>
        <v/>
      </c>
      <c r="O53" s="10">
        <f>IF($B53="","",IF('Komisyon Tarifeleri'!L53="","",'Komisyon Tarifeleri'!L53))</f>
        <v/>
      </c>
      <c r="P53" s="11">
        <f>IF(O53="","",IF($AM$1=2,'Komisyon Tarifeleri'!W53,'Komisyon Tarifeleri'!R53))</f>
        <v/>
      </c>
      <c r="Q53" s="10">
        <f>IF(OR(O53="",$D53=""),"",O53*(1-P53/100)-$D53-IF(O53&lt;=199.99,Kargo!$E$2,IF(O53&lt;=399.99,Kargo!$E$3,$F53)))</f>
        <v/>
      </c>
      <c r="R53" s="12">
        <f>IF(Q53="","",Q53/O53)</f>
        <v/>
      </c>
      <c r="S53" s="10">
        <f>IF($B53="","",IF('Komisyon Tarifeleri'!N53="","",'Komisyon Tarifeleri'!N53))</f>
        <v/>
      </c>
      <c r="T53" s="11">
        <f>IF(S53="","",IF($AM$1=2,'Komisyon Tarifeleri'!X53,'Komisyon Tarifeleri'!S53))</f>
        <v/>
      </c>
      <c r="U53" s="10">
        <f>IF(OR(S53="",$D53=""),"",S53*(1-T53/100)-$D53-IF(S53&lt;=199.99,Kargo!$E$2,IF(S53&lt;=399.99,Kargo!$E$3,$F53)))</f>
        <v/>
      </c>
      <c r="V53" s="12">
        <f>IF(U53="","",U53/S53)</f>
        <v/>
      </c>
      <c r="W53" s="12">
        <f>IF($B53="","",IFERROR(VLOOKUP($C53,Hedefler!$A:$C,2,FALSE),0.04))</f>
        <v/>
      </c>
      <c r="X53" s="12">
        <f>IF($B53="","",IFERROR(VLOOKUP($C53,Hedefler!$A:$C,3,FALSE),0.1))</f>
        <v/>
      </c>
      <c r="Y53" s="13">
        <f>IF($B53="","",IFERROR(VLOOKUP($B53,Maliyetler!$A:$E,5,FALSE),""))</f>
        <v/>
      </c>
      <c r="Z53" s="13">
        <f>IF(OR(Y53="",Y53=0),"",Y53-1)</f>
        <v/>
      </c>
      <c r="AA53" s="14">
        <f>IF(Z53="","",IF(Z53&gt;='Komisyon Tarifeleri'!I53,IF($AM$1=2,'Komisyon Tarifeleri'!U53,'Komisyon Tarifeleri'!P53),IF(Z53&gt;='Komisyon Tarifeleri'!K53,IF($AM$1=2,'Komisyon Tarifeleri'!V53,'Komisyon Tarifeleri'!Q53),IF(Z53&gt;='Komisyon Tarifeleri'!M53,IF($AM$1=2,'Komisyon Tarifeleri'!W53,'Komisyon Tarifeleri'!R53),IF($AM$1=2,'Komisyon Tarifeleri'!X53,'Komisyon Tarifeleri'!S53)))))</f>
        <v/>
      </c>
      <c r="AB53" s="13">
        <f>IF(OR(AA53="",$D53=""),"",Z53*(1-AA53/100)-$D53-IF(Z53&lt;=199.99,Kargo!$E$2,IF(Z53&lt;=399.99,Kargo!$E$3,$F53)))</f>
        <v/>
      </c>
      <c r="AC53" s="15">
        <f>IF(AB53="","",AB53/Z53)</f>
        <v/>
      </c>
      <c r="AD53" s="10">
        <f>IF(OR($D53="",$B53=""),"",IF(AND((1-T53/100-W53)&gt;0,CEILING(($D53+$F53)/(1-T53/100-W53),1)&lt;='Komisyon Tarifeleri'!N53),CEILING(($D53+$F53)/(1-T53/100-W53),1),IF(AND((1-P53/100-W53)&gt;0,CEILING(MAX('Komisyon Tarifeleri'!M53,($D53+$F53)/(1-P53/100-W53)),1)&lt;='Komisyon Tarifeleri'!L53),CEILING(MAX('Komisyon Tarifeleri'!M53,($D53+$F53)/(1-P53/100-W53)),1),IF(AND((1-L53/100-W53)&gt;0,CEILING(MAX('Komisyon Tarifeleri'!K53,($D53+$F53)/(1-L53/100-W53)),1)&lt;='Komisyon Tarifeleri'!J53),CEILING(MAX('Komisyon Tarifeleri'!K53,($D53+$F53)/(1-L53/100-W53)),1),IF((1-H53/100-W53)&gt;0,CEILING(MAX('Komisyon Tarifeleri'!I53,($D53+$F53)/(1-H53/100-W53)),1),"İMKÂNSIZ")))))</f>
        <v/>
      </c>
      <c r="AE53" s="10">
        <f>IF(OR($D53="",$B53=""),"",IF(AND((1-T53/100-X53)&gt;0,CEILING(($D53+$F53)/(1-T53/100-X53),1)&lt;='Komisyon Tarifeleri'!N53),CEILING(($D53+$F53)/(1-T53/100-X53),1),IF(AND((1-P53/100-X53)&gt;0,CEILING(MAX('Komisyon Tarifeleri'!M53,($D53+$F53)/(1-P53/100-X53)),1)&lt;='Komisyon Tarifeleri'!L53),CEILING(MAX('Komisyon Tarifeleri'!M53,($D53+$F53)/(1-P53/100-X53)),1),IF(AND((1-L53/100-X53)&gt;0,CEILING(MAX('Komisyon Tarifeleri'!K53,($D53+$F53)/(1-L53/100-X53)),1)&lt;='Komisyon Tarifeleri'!J53),CEILING(MAX('Komisyon Tarifeleri'!K53,($D53+$F53)/(1-L53/100-X53)),1),IF((1-H53/100-X53)&gt;0,CEILING(MAX('Komisyon Tarifeleri'!I53,($D53+$F53)/(1-H53/100-X53)),1),"İMKÂNSIZ")))))</f>
        <v/>
      </c>
      <c r="AF53" s="16">
        <f>IF($D53="","",IF(AND(Y53&lt;&gt;"",AC53&lt;&gt;"",AC53&gt;=W53),Z53,IF(Y53&lt;&gt;"",AD53,AE53)))</f>
        <v/>
      </c>
      <c r="AG53" s="16">
        <f>IF(OR(AF53="",AF53="İMKÂNSIZ"),"",AF53*(1-IF(AF53&gt;='Komisyon Tarifeleri'!I53,IF($AM$1=2,'Komisyon Tarifeleri'!U53,'Komisyon Tarifeleri'!P53),IF(AF53&gt;='Komisyon Tarifeleri'!K53,IF($AM$1=2,'Komisyon Tarifeleri'!V53,'Komisyon Tarifeleri'!Q53),IF(AF53&gt;='Komisyon Tarifeleri'!M53,IF($AM$1=2,'Komisyon Tarifeleri'!W53,'Komisyon Tarifeleri'!R53),IF($AM$1=2,'Komisyon Tarifeleri'!X53,'Komisyon Tarifeleri'!S53))))/100)-$D53-IF(AF53&lt;=199.99,Kargo!$E$2,IF(AF53&lt;=399.99,Kargo!$E$3,$F53)))</f>
        <v/>
      </c>
      <c r="AH53" s="17">
        <f>IF(AG53="","",AG53/AF53)</f>
        <v/>
      </c>
      <c r="AI53" s="18">
        <f>IF($D53="","",IF(Y53="","BUYBOX YOK → hedef kârla min fiyat",IF(AC53&gt;=W53,"✓ BUYBOX ALTINA GİR","BUYBOX ALTI KÂRSIZ → min kârlı fiyat")))</f>
        <v/>
      </c>
      <c r="AJ53" s="10">
        <f>IF($B53="","",IFERROR(VLOOKUP($B53,Maliyetler!$A:$G,6,FALSE),""))</f>
        <v/>
      </c>
      <c r="AK53">
        <f>IF($B53="","",IFERROR(VLOOKUP($B53,Maliyetler!$A:$G,7,FALSE),""))</f>
        <v/>
      </c>
      <c r="AO53" s="21">
        <f>IF($B53="","",IFERROR(VLOOKUP($B53&amp;"",'Plus Tarifeleri'!$C:$Q,11,FALSE),""))</f>
        <v/>
      </c>
      <c r="AP53" s="22">
        <f>IF(AO53="","",IFERROR(IF($AM$1=2,VLOOKUP($B53&amp;"",'Plus Tarifeleri'!$C:$Q,15,FALSE),VLOOKUP($B53&amp;"",'Plus Tarifeleri'!$C:$Q,13,FALSE)),""))</f>
        <v/>
      </c>
      <c r="AQ53" s="21">
        <f>IF(OR(AO53="",AP53="",$D53=""),"",AO53*(1-AP53/100)-$D53-IF(AO53&lt;=199.99,Kargo!$E$2,IF(AO53&lt;=399.99,Kargo!$E$3,$F53)))</f>
        <v/>
      </c>
      <c r="AR53" s="23">
        <f>IF(AQ53="","",AQ53/AO53)</f>
        <v/>
      </c>
      <c r="AS53" s="24">
        <f>IF(OR(AQ53="",AG53=""),"",AQ53-AG53)</f>
        <v/>
      </c>
    </row>
    <row r="54">
      <c r="A54">
        <f>IF('Komisyon Tarifeleri'!A54="","",'Komisyon Tarifeleri'!A54)</f>
        <v/>
      </c>
      <c r="B54">
        <f>IF('Komisyon Tarifeleri'!B54="","",'Komisyon Tarifeleri'!B54&amp;"")</f>
        <v/>
      </c>
      <c r="C54">
        <f>IF($B54="","",'Komisyon Tarifeleri'!F54)</f>
        <v/>
      </c>
      <c r="D54" s="10">
        <f>IF($B54="","",IFERROR(VLOOKUP($B54,Maliyetler!$A:$E,3,FALSE),""))</f>
        <v/>
      </c>
      <c r="E54">
        <f>IF($B54="","",IFERROR(VLOOKUP($B54,Maliyetler!$A:$E,4,FALSE),1))</f>
        <v/>
      </c>
      <c r="F54" s="10">
        <f>IF($B54="","",IFERROR(VLOOKUP(MIN(20,MAX(1,ROUND($E54,0))),Kargo!$A:$B,2,FALSE),99.46))</f>
        <v/>
      </c>
      <c r="G54" s="10">
        <f>IF($B54="","",IF(IF(N('Komisyon Tarifeleri'!AA54)&gt;='Komisyon Tarifeleri'!I54,'Komisyon Tarifeleri'!AA54,'Komisyon Tarifeleri'!I54)="","",IF(N('Komisyon Tarifeleri'!AA54)&gt;='Komisyon Tarifeleri'!I54,'Komisyon Tarifeleri'!AA54,'Komisyon Tarifeleri'!I54)))</f>
        <v/>
      </c>
      <c r="H54" s="11">
        <f>IF(G54="","",IF($AM$1=2,'Komisyon Tarifeleri'!U54,'Komisyon Tarifeleri'!P54))</f>
        <v/>
      </c>
      <c r="I54" s="10">
        <f>IF(OR(G54="",$D54=""),"",G54*(1-H54/100)-$D54-IF(G54&lt;=199.99,Kargo!$E$2,IF(G54&lt;=399.99,Kargo!$E$3,$F54)))</f>
        <v/>
      </c>
      <c r="J54" s="12">
        <f>IF(I54="","",I54/G54)</f>
        <v/>
      </c>
      <c r="K54" s="10">
        <f>IF($B54="","",IF('Komisyon Tarifeleri'!J54="","",'Komisyon Tarifeleri'!J54))</f>
        <v/>
      </c>
      <c r="L54" s="11">
        <f>IF(K54="","",IF($AM$1=2,'Komisyon Tarifeleri'!V54,'Komisyon Tarifeleri'!Q54))</f>
        <v/>
      </c>
      <c r="M54" s="10">
        <f>IF(OR(K54="",$D54=""),"",K54*(1-L54/100)-$D54-IF(K54&lt;=199.99,Kargo!$E$2,IF(K54&lt;=399.99,Kargo!$E$3,$F54)))</f>
        <v/>
      </c>
      <c r="N54" s="12">
        <f>IF(M54="","",M54/K54)</f>
        <v/>
      </c>
      <c r="O54" s="10">
        <f>IF($B54="","",IF('Komisyon Tarifeleri'!L54="","",'Komisyon Tarifeleri'!L54))</f>
        <v/>
      </c>
      <c r="P54" s="11">
        <f>IF(O54="","",IF($AM$1=2,'Komisyon Tarifeleri'!W54,'Komisyon Tarifeleri'!R54))</f>
        <v/>
      </c>
      <c r="Q54" s="10">
        <f>IF(OR(O54="",$D54=""),"",O54*(1-P54/100)-$D54-IF(O54&lt;=199.99,Kargo!$E$2,IF(O54&lt;=399.99,Kargo!$E$3,$F54)))</f>
        <v/>
      </c>
      <c r="R54" s="12">
        <f>IF(Q54="","",Q54/O54)</f>
        <v/>
      </c>
      <c r="S54" s="10">
        <f>IF($B54="","",IF('Komisyon Tarifeleri'!N54="","",'Komisyon Tarifeleri'!N54))</f>
        <v/>
      </c>
      <c r="T54" s="11">
        <f>IF(S54="","",IF($AM$1=2,'Komisyon Tarifeleri'!X54,'Komisyon Tarifeleri'!S54))</f>
        <v/>
      </c>
      <c r="U54" s="10">
        <f>IF(OR(S54="",$D54=""),"",S54*(1-T54/100)-$D54-IF(S54&lt;=199.99,Kargo!$E$2,IF(S54&lt;=399.99,Kargo!$E$3,$F54)))</f>
        <v/>
      </c>
      <c r="V54" s="12">
        <f>IF(U54="","",U54/S54)</f>
        <v/>
      </c>
      <c r="W54" s="12">
        <f>IF($B54="","",IFERROR(VLOOKUP($C54,Hedefler!$A:$C,2,FALSE),0.04))</f>
        <v/>
      </c>
      <c r="X54" s="12">
        <f>IF($B54="","",IFERROR(VLOOKUP($C54,Hedefler!$A:$C,3,FALSE),0.1))</f>
        <v/>
      </c>
      <c r="Y54" s="13">
        <f>IF($B54="","",IFERROR(VLOOKUP($B54,Maliyetler!$A:$E,5,FALSE),""))</f>
        <v/>
      </c>
      <c r="Z54" s="13">
        <f>IF(OR(Y54="",Y54=0),"",Y54-1)</f>
        <v/>
      </c>
      <c r="AA54" s="14">
        <f>IF(Z54="","",IF(Z54&gt;='Komisyon Tarifeleri'!I54,IF($AM$1=2,'Komisyon Tarifeleri'!U54,'Komisyon Tarifeleri'!P54),IF(Z54&gt;='Komisyon Tarifeleri'!K54,IF($AM$1=2,'Komisyon Tarifeleri'!V54,'Komisyon Tarifeleri'!Q54),IF(Z54&gt;='Komisyon Tarifeleri'!M54,IF($AM$1=2,'Komisyon Tarifeleri'!W54,'Komisyon Tarifeleri'!R54),IF($AM$1=2,'Komisyon Tarifeleri'!X54,'Komisyon Tarifeleri'!S54)))))</f>
        <v/>
      </c>
      <c r="AB54" s="13">
        <f>IF(OR(AA54="",$D54=""),"",Z54*(1-AA54/100)-$D54-IF(Z54&lt;=199.99,Kargo!$E$2,IF(Z54&lt;=399.99,Kargo!$E$3,$F54)))</f>
        <v/>
      </c>
      <c r="AC54" s="15">
        <f>IF(AB54="","",AB54/Z54)</f>
        <v/>
      </c>
      <c r="AD54" s="10">
        <f>IF(OR($D54="",$B54=""),"",IF(AND((1-T54/100-W54)&gt;0,CEILING(($D54+$F54)/(1-T54/100-W54),1)&lt;='Komisyon Tarifeleri'!N54),CEILING(($D54+$F54)/(1-T54/100-W54),1),IF(AND((1-P54/100-W54)&gt;0,CEILING(MAX('Komisyon Tarifeleri'!M54,($D54+$F54)/(1-P54/100-W54)),1)&lt;='Komisyon Tarifeleri'!L54),CEILING(MAX('Komisyon Tarifeleri'!M54,($D54+$F54)/(1-P54/100-W54)),1),IF(AND((1-L54/100-W54)&gt;0,CEILING(MAX('Komisyon Tarifeleri'!K54,($D54+$F54)/(1-L54/100-W54)),1)&lt;='Komisyon Tarifeleri'!J54),CEILING(MAX('Komisyon Tarifeleri'!K54,($D54+$F54)/(1-L54/100-W54)),1),IF((1-H54/100-W54)&gt;0,CEILING(MAX('Komisyon Tarifeleri'!I54,($D54+$F54)/(1-H54/100-W54)),1),"İMKÂNSIZ")))))</f>
        <v/>
      </c>
      <c r="AE54" s="10">
        <f>IF(OR($D54="",$B54=""),"",IF(AND((1-T54/100-X54)&gt;0,CEILING(($D54+$F54)/(1-T54/100-X54),1)&lt;='Komisyon Tarifeleri'!N54),CEILING(($D54+$F54)/(1-T54/100-X54),1),IF(AND((1-P54/100-X54)&gt;0,CEILING(MAX('Komisyon Tarifeleri'!M54,($D54+$F54)/(1-P54/100-X54)),1)&lt;='Komisyon Tarifeleri'!L54),CEILING(MAX('Komisyon Tarifeleri'!M54,($D54+$F54)/(1-P54/100-X54)),1),IF(AND((1-L54/100-X54)&gt;0,CEILING(MAX('Komisyon Tarifeleri'!K54,($D54+$F54)/(1-L54/100-X54)),1)&lt;='Komisyon Tarifeleri'!J54),CEILING(MAX('Komisyon Tarifeleri'!K54,($D54+$F54)/(1-L54/100-X54)),1),IF((1-H54/100-X54)&gt;0,CEILING(MAX('Komisyon Tarifeleri'!I54,($D54+$F54)/(1-H54/100-X54)),1),"İMKÂNSIZ")))))</f>
        <v/>
      </c>
      <c r="AF54" s="16">
        <f>IF($D54="","",IF(AND(Y54&lt;&gt;"",AC54&lt;&gt;"",AC54&gt;=W54),Z54,IF(Y54&lt;&gt;"",AD54,AE54)))</f>
        <v/>
      </c>
      <c r="AG54" s="16">
        <f>IF(OR(AF54="",AF54="İMKÂNSIZ"),"",AF54*(1-IF(AF54&gt;='Komisyon Tarifeleri'!I54,IF($AM$1=2,'Komisyon Tarifeleri'!U54,'Komisyon Tarifeleri'!P54),IF(AF54&gt;='Komisyon Tarifeleri'!K54,IF($AM$1=2,'Komisyon Tarifeleri'!V54,'Komisyon Tarifeleri'!Q54),IF(AF54&gt;='Komisyon Tarifeleri'!M54,IF($AM$1=2,'Komisyon Tarifeleri'!W54,'Komisyon Tarifeleri'!R54),IF($AM$1=2,'Komisyon Tarifeleri'!X54,'Komisyon Tarifeleri'!S54))))/100)-$D54-IF(AF54&lt;=199.99,Kargo!$E$2,IF(AF54&lt;=399.99,Kargo!$E$3,$F54)))</f>
        <v/>
      </c>
      <c r="AH54" s="17">
        <f>IF(AG54="","",AG54/AF54)</f>
        <v/>
      </c>
      <c r="AI54" s="18">
        <f>IF($D54="","",IF(Y54="","BUYBOX YOK → hedef kârla min fiyat",IF(AC54&gt;=W54,"✓ BUYBOX ALTINA GİR","BUYBOX ALTI KÂRSIZ → min kârlı fiyat")))</f>
        <v/>
      </c>
      <c r="AJ54" s="10">
        <f>IF($B54="","",IFERROR(VLOOKUP($B54,Maliyetler!$A:$G,6,FALSE),""))</f>
        <v/>
      </c>
      <c r="AK54">
        <f>IF($B54="","",IFERROR(VLOOKUP($B54,Maliyetler!$A:$G,7,FALSE),""))</f>
        <v/>
      </c>
      <c r="AO54" s="21">
        <f>IF($B54="","",IFERROR(VLOOKUP($B54&amp;"",'Plus Tarifeleri'!$C:$Q,11,FALSE),""))</f>
        <v/>
      </c>
      <c r="AP54" s="22">
        <f>IF(AO54="","",IFERROR(IF($AM$1=2,VLOOKUP($B54&amp;"",'Plus Tarifeleri'!$C:$Q,15,FALSE),VLOOKUP($B54&amp;"",'Plus Tarifeleri'!$C:$Q,13,FALSE)),""))</f>
        <v/>
      </c>
      <c r="AQ54" s="21">
        <f>IF(OR(AO54="",AP54="",$D54=""),"",AO54*(1-AP54/100)-$D54-IF(AO54&lt;=199.99,Kargo!$E$2,IF(AO54&lt;=399.99,Kargo!$E$3,$F54)))</f>
        <v/>
      </c>
      <c r="AR54" s="23">
        <f>IF(AQ54="","",AQ54/AO54)</f>
        <v/>
      </c>
      <c r="AS54" s="24">
        <f>IF(OR(AQ54="",AG54=""),"",AQ54-AG54)</f>
        <v/>
      </c>
    </row>
    <row r="55">
      <c r="A55">
        <f>IF('Komisyon Tarifeleri'!A55="","",'Komisyon Tarifeleri'!A55)</f>
        <v/>
      </c>
      <c r="B55">
        <f>IF('Komisyon Tarifeleri'!B55="","",'Komisyon Tarifeleri'!B55&amp;"")</f>
        <v/>
      </c>
      <c r="C55">
        <f>IF($B55="","",'Komisyon Tarifeleri'!F55)</f>
        <v/>
      </c>
      <c r="D55" s="10">
        <f>IF($B55="","",IFERROR(VLOOKUP($B55,Maliyetler!$A:$E,3,FALSE),""))</f>
        <v/>
      </c>
      <c r="E55">
        <f>IF($B55="","",IFERROR(VLOOKUP($B55,Maliyetler!$A:$E,4,FALSE),1))</f>
        <v/>
      </c>
      <c r="F55" s="10">
        <f>IF($B55="","",IFERROR(VLOOKUP(MIN(20,MAX(1,ROUND($E55,0))),Kargo!$A:$B,2,FALSE),99.46))</f>
        <v/>
      </c>
      <c r="G55" s="10">
        <f>IF($B55="","",IF(IF(N('Komisyon Tarifeleri'!AA55)&gt;='Komisyon Tarifeleri'!I55,'Komisyon Tarifeleri'!AA55,'Komisyon Tarifeleri'!I55)="","",IF(N('Komisyon Tarifeleri'!AA55)&gt;='Komisyon Tarifeleri'!I55,'Komisyon Tarifeleri'!AA55,'Komisyon Tarifeleri'!I55)))</f>
        <v/>
      </c>
      <c r="H55" s="11">
        <f>IF(G55="","",IF($AM$1=2,'Komisyon Tarifeleri'!U55,'Komisyon Tarifeleri'!P55))</f>
        <v/>
      </c>
      <c r="I55" s="10">
        <f>IF(OR(G55="",$D55=""),"",G55*(1-H55/100)-$D55-IF(G55&lt;=199.99,Kargo!$E$2,IF(G55&lt;=399.99,Kargo!$E$3,$F55)))</f>
        <v/>
      </c>
      <c r="J55" s="12">
        <f>IF(I55="","",I55/G55)</f>
        <v/>
      </c>
      <c r="K55" s="10">
        <f>IF($B55="","",IF('Komisyon Tarifeleri'!J55="","",'Komisyon Tarifeleri'!J55))</f>
        <v/>
      </c>
      <c r="L55" s="11">
        <f>IF(K55="","",IF($AM$1=2,'Komisyon Tarifeleri'!V55,'Komisyon Tarifeleri'!Q55))</f>
        <v/>
      </c>
      <c r="M55" s="10">
        <f>IF(OR(K55="",$D55=""),"",K55*(1-L55/100)-$D55-IF(K55&lt;=199.99,Kargo!$E$2,IF(K55&lt;=399.99,Kargo!$E$3,$F55)))</f>
        <v/>
      </c>
      <c r="N55" s="12">
        <f>IF(M55="","",M55/K55)</f>
        <v/>
      </c>
      <c r="O55" s="10">
        <f>IF($B55="","",IF('Komisyon Tarifeleri'!L55="","",'Komisyon Tarifeleri'!L55))</f>
        <v/>
      </c>
      <c r="P55" s="11">
        <f>IF(O55="","",IF($AM$1=2,'Komisyon Tarifeleri'!W55,'Komisyon Tarifeleri'!R55))</f>
        <v/>
      </c>
      <c r="Q55" s="10">
        <f>IF(OR(O55="",$D55=""),"",O55*(1-P55/100)-$D55-IF(O55&lt;=199.99,Kargo!$E$2,IF(O55&lt;=399.99,Kargo!$E$3,$F55)))</f>
        <v/>
      </c>
      <c r="R55" s="12">
        <f>IF(Q55="","",Q55/O55)</f>
        <v/>
      </c>
      <c r="S55" s="10">
        <f>IF($B55="","",IF('Komisyon Tarifeleri'!N55="","",'Komisyon Tarifeleri'!N55))</f>
        <v/>
      </c>
      <c r="T55" s="11">
        <f>IF(S55="","",IF($AM$1=2,'Komisyon Tarifeleri'!X55,'Komisyon Tarifeleri'!S55))</f>
        <v/>
      </c>
      <c r="U55" s="10">
        <f>IF(OR(S55="",$D55=""),"",S55*(1-T55/100)-$D55-IF(S55&lt;=199.99,Kargo!$E$2,IF(S55&lt;=399.99,Kargo!$E$3,$F55)))</f>
        <v/>
      </c>
      <c r="V55" s="12">
        <f>IF(U55="","",U55/S55)</f>
        <v/>
      </c>
      <c r="W55" s="12">
        <f>IF($B55="","",IFERROR(VLOOKUP($C55,Hedefler!$A:$C,2,FALSE),0.04))</f>
        <v/>
      </c>
      <c r="X55" s="12">
        <f>IF($B55="","",IFERROR(VLOOKUP($C55,Hedefler!$A:$C,3,FALSE),0.1))</f>
        <v/>
      </c>
      <c r="Y55" s="13">
        <f>IF($B55="","",IFERROR(VLOOKUP($B55,Maliyetler!$A:$E,5,FALSE),""))</f>
        <v/>
      </c>
      <c r="Z55" s="13">
        <f>IF(OR(Y55="",Y55=0),"",Y55-1)</f>
        <v/>
      </c>
      <c r="AA55" s="14">
        <f>IF(Z55="","",IF(Z55&gt;='Komisyon Tarifeleri'!I55,IF($AM$1=2,'Komisyon Tarifeleri'!U55,'Komisyon Tarifeleri'!P55),IF(Z55&gt;='Komisyon Tarifeleri'!K55,IF($AM$1=2,'Komisyon Tarifeleri'!V55,'Komisyon Tarifeleri'!Q55),IF(Z55&gt;='Komisyon Tarifeleri'!M55,IF($AM$1=2,'Komisyon Tarifeleri'!W55,'Komisyon Tarifeleri'!R55),IF($AM$1=2,'Komisyon Tarifeleri'!X55,'Komisyon Tarifeleri'!S55)))))</f>
        <v/>
      </c>
      <c r="AB55" s="13">
        <f>IF(OR(AA55="",$D55=""),"",Z55*(1-AA55/100)-$D55-IF(Z55&lt;=199.99,Kargo!$E$2,IF(Z55&lt;=399.99,Kargo!$E$3,$F55)))</f>
        <v/>
      </c>
      <c r="AC55" s="15">
        <f>IF(AB55="","",AB55/Z55)</f>
        <v/>
      </c>
      <c r="AD55" s="10">
        <f>IF(OR($D55="",$B55=""),"",IF(AND((1-T55/100-W55)&gt;0,CEILING(($D55+$F55)/(1-T55/100-W55),1)&lt;='Komisyon Tarifeleri'!N55),CEILING(($D55+$F55)/(1-T55/100-W55),1),IF(AND((1-P55/100-W55)&gt;0,CEILING(MAX('Komisyon Tarifeleri'!M55,($D55+$F55)/(1-P55/100-W55)),1)&lt;='Komisyon Tarifeleri'!L55),CEILING(MAX('Komisyon Tarifeleri'!M55,($D55+$F55)/(1-P55/100-W55)),1),IF(AND((1-L55/100-W55)&gt;0,CEILING(MAX('Komisyon Tarifeleri'!K55,($D55+$F55)/(1-L55/100-W55)),1)&lt;='Komisyon Tarifeleri'!J55),CEILING(MAX('Komisyon Tarifeleri'!K55,($D55+$F55)/(1-L55/100-W55)),1),IF((1-H55/100-W55)&gt;0,CEILING(MAX('Komisyon Tarifeleri'!I55,($D55+$F55)/(1-H55/100-W55)),1),"İMKÂNSIZ")))))</f>
        <v/>
      </c>
      <c r="AE55" s="10">
        <f>IF(OR($D55="",$B55=""),"",IF(AND((1-T55/100-X55)&gt;0,CEILING(($D55+$F55)/(1-T55/100-X55),1)&lt;='Komisyon Tarifeleri'!N55),CEILING(($D55+$F55)/(1-T55/100-X55),1),IF(AND((1-P55/100-X55)&gt;0,CEILING(MAX('Komisyon Tarifeleri'!M55,($D55+$F55)/(1-P55/100-X55)),1)&lt;='Komisyon Tarifeleri'!L55),CEILING(MAX('Komisyon Tarifeleri'!M55,($D55+$F55)/(1-P55/100-X55)),1),IF(AND((1-L55/100-X55)&gt;0,CEILING(MAX('Komisyon Tarifeleri'!K55,($D55+$F55)/(1-L55/100-X55)),1)&lt;='Komisyon Tarifeleri'!J55),CEILING(MAX('Komisyon Tarifeleri'!K55,($D55+$F55)/(1-L55/100-X55)),1),IF((1-H55/100-X55)&gt;0,CEILING(MAX('Komisyon Tarifeleri'!I55,($D55+$F55)/(1-H55/100-X55)),1),"İMKÂNSIZ")))))</f>
        <v/>
      </c>
      <c r="AF55" s="16">
        <f>IF($D55="","",IF(AND(Y55&lt;&gt;"",AC55&lt;&gt;"",AC55&gt;=W55),Z55,IF(Y55&lt;&gt;"",AD55,AE55)))</f>
        <v/>
      </c>
      <c r="AG55" s="16">
        <f>IF(OR(AF55="",AF55="İMKÂNSIZ"),"",AF55*(1-IF(AF55&gt;='Komisyon Tarifeleri'!I55,IF($AM$1=2,'Komisyon Tarifeleri'!U55,'Komisyon Tarifeleri'!P55),IF(AF55&gt;='Komisyon Tarifeleri'!K55,IF($AM$1=2,'Komisyon Tarifeleri'!V55,'Komisyon Tarifeleri'!Q55),IF(AF55&gt;='Komisyon Tarifeleri'!M55,IF($AM$1=2,'Komisyon Tarifeleri'!W55,'Komisyon Tarifeleri'!R55),IF($AM$1=2,'Komisyon Tarifeleri'!X55,'Komisyon Tarifeleri'!S55))))/100)-$D55-IF(AF55&lt;=199.99,Kargo!$E$2,IF(AF55&lt;=399.99,Kargo!$E$3,$F55)))</f>
        <v/>
      </c>
      <c r="AH55" s="17">
        <f>IF(AG55="","",AG55/AF55)</f>
        <v/>
      </c>
      <c r="AI55" s="18">
        <f>IF($D55="","",IF(Y55="","BUYBOX YOK → hedef kârla min fiyat",IF(AC55&gt;=W55,"✓ BUYBOX ALTINA GİR","BUYBOX ALTI KÂRSIZ → min kârlı fiyat")))</f>
        <v/>
      </c>
      <c r="AJ55" s="10">
        <f>IF($B55="","",IFERROR(VLOOKUP($B55,Maliyetler!$A:$G,6,FALSE),""))</f>
        <v/>
      </c>
      <c r="AK55">
        <f>IF($B55="","",IFERROR(VLOOKUP($B55,Maliyetler!$A:$G,7,FALSE),""))</f>
        <v/>
      </c>
      <c r="AO55" s="21">
        <f>IF($B55="","",IFERROR(VLOOKUP($B55&amp;"",'Plus Tarifeleri'!$C:$Q,11,FALSE),""))</f>
        <v/>
      </c>
      <c r="AP55" s="22">
        <f>IF(AO55="","",IFERROR(IF($AM$1=2,VLOOKUP($B55&amp;"",'Plus Tarifeleri'!$C:$Q,15,FALSE),VLOOKUP($B55&amp;"",'Plus Tarifeleri'!$C:$Q,13,FALSE)),""))</f>
        <v/>
      </c>
      <c r="AQ55" s="21">
        <f>IF(OR(AO55="",AP55="",$D55=""),"",AO55*(1-AP55/100)-$D55-IF(AO55&lt;=199.99,Kargo!$E$2,IF(AO55&lt;=399.99,Kargo!$E$3,$F55)))</f>
        <v/>
      </c>
      <c r="AR55" s="23">
        <f>IF(AQ55="","",AQ55/AO55)</f>
        <v/>
      </c>
      <c r="AS55" s="24">
        <f>IF(OR(AQ55="",AG55=""),"",AQ55-AG55)</f>
        <v/>
      </c>
    </row>
    <row r="56">
      <c r="A56">
        <f>IF('Komisyon Tarifeleri'!A56="","",'Komisyon Tarifeleri'!A56)</f>
        <v/>
      </c>
      <c r="B56">
        <f>IF('Komisyon Tarifeleri'!B56="","",'Komisyon Tarifeleri'!B56&amp;"")</f>
        <v/>
      </c>
      <c r="C56">
        <f>IF($B56="","",'Komisyon Tarifeleri'!F56)</f>
        <v/>
      </c>
      <c r="D56" s="10">
        <f>IF($B56="","",IFERROR(VLOOKUP($B56,Maliyetler!$A:$E,3,FALSE),""))</f>
        <v/>
      </c>
      <c r="E56">
        <f>IF($B56="","",IFERROR(VLOOKUP($B56,Maliyetler!$A:$E,4,FALSE),1))</f>
        <v/>
      </c>
      <c r="F56" s="10">
        <f>IF($B56="","",IFERROR(VLOOKUP(MIN(20,MAX(1,ROUND($E56,0))),Kargo!$A:$B,2,FALSE),99.46))</f>
        <v/>
      </c>
      <c r="G56" s="10">
        <f>IF($B56="","",IF(IF(N('Komisyon Tarifeleri'!AA56)&gt;='Komisyon Tarifeleri'!I56,'Komisyon Tarifeleri'!AA56,'Komisyon Tarifeleri'!I56)="","",IF(N('Komisyon Tarifeleri'!AA56)&gt;='Komisyon Tarifeleri'!I56,'Komisyon Tarifeleri'!AA56,'Komisyon Tarifeleri'!I56)))</f>
        <v/>
      </c>
      <c r="H56" s="11">
        <f>IF(G56="","",IF($AM$1=2,'Komisyon Tarifeleri'!U56,'Komisyon Tarifeleri'!P56))</f>
        <v/>
      </c>
      <c r="I56" s="10">
        <f>IF(OR(G56="",$D56=""),"",G56*(1-H56/100)-$D56-IF(G56&lt;=199.99,Kargo!$E$2,IF(G56&lt;=399.99,Kargo!$E$3,$F56)))</f>
        <v/>
      </c>
      <c r="J56" s="12">
        <f>IF(I56="","",I56/G56)</f>
        <v/>
      </c>
      <c r="K56" s="10">
        <f>IF($B56="","",IF('Komisyon Tarifeleri'!J56="","",'Komisyon Tarifeleri'!J56))</f>
        <v/>
      </c>
      <c r="L56" s="11">
        <f>IF(K56="","",IF($AM$1=2,'Komisyon Tarifeleri'!V56,'Komisyon Tarifeleri'!Q56))</f>
        <v/>
      </c>
      <c r="M56" s="10">
        <f>IF(OR(K56="",$D56=""),"",K56*(1-L56/100)-$D56-IF(K56&lt;=199.99,Kargo!$E$2,IF(K56&lt;=399.99,Kargo!$E$3,$F56)))</f>
        <v/>
      </c>
      <c r="N56" s="12">
        <f>IF(M56="","",M56/K56)</f>
        <v/>
      </c>
      <c r="O56" s="10">
        <f>IF($B56="","",IF('Komisyon Tarifeleri'!L56="","",'Komisyon Tarifeleri'!L56))</f>
        <v/>
      </c>
      <c r="P56" s="11">
        <f>IF(O56="","",IF($AM$1=2,'Komisyon Tarifeleri'!W56,'Komisyon Tarifeleri'!R56))</f>
        <v/>
      </c>
      <c r="Q56" s="10">
        <f>IF(OR(O56="",$D56=""),"",O56*(1-P56/100)-$D56-IF(O56&lt;=199.99,Kargo!$E$2,IF(O56&lt;=399.99,Kargo!$E$3,$F56)))</f>
        <v/>
      </c>
      <c r="R56" s="12">
        <f>IF(Q56="","",Q56/O56)</f>
        <v/>
      </c>
      <c r="S56" s="10">
        <f>IF($B56="","",IF('Komisyon Tarifeleri'!N56="","",'Komisyon Tarifeleri'!N56))</f>
        <v/>
      </c>
      <c r="T56" s="11">
        <f>IF(S56="","",IF($AM$1=2,'Komisyon Tarifeleri'!X56,'Komisyon Tarifeleri'!S56))</f>
        <v/>
      </c>
      <c r="U56" s="10">
        <f>IF(OR(S56="",$D56=""),"",S56*(1-T56/100)-$D56-IF(S56&lt;=199.99,Kargo!$E$2,IF(S56&lt;=399.99,Kargo!$E$3,$F56)))</f>
        <v/>
      </c>
      <c r="V56" s="12">
        <f>IF(U56="","",U56/S56)</f>
        <v/>
      </c>
      <c r="W56" s="12">
        <f>IF($B56="","",IFERROR(VLOOKUP($C56,Hedefler!$A:$C,2,FALSE),0.04))</f>
        <v/>
      </c>
      <c r="X56" s="12">
        <f>IF($B56="","",IFERROR(VLOOKUP($C56,Hedefler!$A:$C,3,FALSE),0.1))</f>
        <v/>
      </c>
      <c r="Y56" s="13">
        <f>IF($B56="","",IFERROR(VLOOKUP($B56,Maliyetler!$A:$E,5,FALSE),""))</f>
        <v/>
      </c>
      <c r="Z56" s="13">
        <f>IF(OR(Y56="",Y56=0),"",Y56-1)</f>
        <v/>
      </c>
      <c r="AA56" s="14">
        <f>IF(Z56="","",IF(Z56&gt;='Komisyon Tarifeleri'!I56,IF($AM$1=2,'Komisyon Tarifeleri'!U56,'Komisyon Tarifeleri'!P56),IF(Z56&gt;='Komisyon Tarifeleri'!K56,IF($AM$1=2,'Komisyon Tarifeleri'!V56,'Komisyon Tarifeleri'!Q56),IF(Z56&gt;='Komisyon Tarifeleri'!M56,IF($AM$1=2,'Komisyon Tarifeleri'!W56,'Komisyon Tarifeleri'!R56),IF($AM$1=2,'Komisyon Tarifeleri'!X56,'Komisyon Tarifeleri'!S56)))))</f>
        <v/>
      </c>
      <c r="AB56" s="13">
        <f>IF(OR(AA56="",$D56=""),"",Z56*(1-AA56/100)-$D56-IF(Z56&lt;=199.99,Kargo!$E$2,IF(Z56&lt;=399.99,Kargo!$E$3,$F56)))</f>
        <v/>
      </c>
      <c r="AC56" s="15">
        <f>IF(AB56="","",AB56/Z56)</f>
        <v/>
      </c>
      <c r="AD56" s="10">
        <f>IF(OR($D56="",$B56=""),"",IF(AND((1-T56/100-W56)&gt;0,CEILING(($D56+$F56)/(1-T56/100-W56),1)&lt;='Komisyon Tarifeleri'!N56),CEILING(($D56+$F56)/(1-T56/100-W56),1),IF(AND((1-P56/100-W56)&gt;0,CEILING(MAX('Komisyon Tarifeleri'!M56,($D56+$F56)/(1-P56/100-W56)),1)&lt;='Komisyon Tarifeleri'!L56),CEILING(MAX('Komisyon Tarifeleri'!M56,($D56+$F56)/(1-P56/100-W56)),1),IF(AND((1-L56/100-W56)&gt;0,CEILING(MAX('Komisyon Tarifeleri'!K56,($D56+$F56)/(1-L56/100-W56)),1)&lt;='Komisyon Tarifeleri'!J56),CEILING(MAX('Komisyon Tarifeleri'!K56,($D56+$F56)/(1-L56/100-W56)),1),IF((1-H56/100-W56)&gt;0,CEILING(MAX('Komisyon Tarifeleri'!I56,($D56+$F56)/(1-H56/100-W56)),1),"İMKÂNSIZ")))))</f>
        <v/>
      </c>
      <c r="AE56" s="10">
        <f>IF(OR($D56="",$B56=""),"",IF(AND((1-T56/100-X56)&gt;0,CEILING(($D56+$F56)/(1-T56/100-X56),1)&lt;='Komisyon Tarifeleri'!N56),CEILING(($D56+$F56)/(1-T56/100-X56),1),IF(AND((1-P56/100-X56)&gt;0,CEILING(MAX('Komisyon Tarifeleri'!M56,($D56+$F56)/(1-P56/100-X56)),1)&lt;='Komisyon Tarifeleri'!L56),CEILING(MAX('Komisyon Tarifeleri'!M56,($D56+$F56)/(1-P56/100-X56)),1),IF(AND((1-L56/100-X56)&gt;0,CEILING(MAX('Komisyon Tarifeleri'!K56,($D56+$F56)/(1-L56/100-X56)),1)&lt;='Komisyon Tarifeleri'!J56),CEILING(MAX('Komisyon Tarifeleri'!K56,($D56+$F56)/(1-L56/100-X56)),1),IF((1-H56/100-X56)&gt;0,CEILING(MAX('Komisyon Tarifeleri'!I56,($D56+$F56)/(1-H56/100-X56)),1),"İMKÂNSIZ")))))</f>
        <v/>
      </c>
      <c r="AF56" s="16">
        <f>IF($D56="","",IF(AND(Y56&lt;&gt;"",AC56&lt;&gt;"",AC56&gt;=W56),Z56,IF(Y56&lt;&gt;"",AD56,AE56)))</f>
        <v/>
      </c>
      <c r="AG56" s="16">
        <f>IF(OR(AF56="",AF56="İMKÂNSIZ"),"",AF56*(1-IF(AF56&gt;='Komisyon Tarifeleri'!I56,IF($AM$1=2,'Komisyon Tarifeleri'!U56,'Komisyon Tarifeleri'!P56),IF(AF56&gt;='Komisyon Tarifeleri'!K56,IF($AM$1=2,'Komisyon Tarifeleri'!V56,'Komisyon Tarifeleri'!Q56),IF(AF56&gt;='Komisyon Tarifeleri'!M56,IF($AM$1=2,'Komisyon Tarifeleri'!W56,'Komisyon Tarifeleri'!R56),IF($AM$1=2,'Komisyon Tarifeleri'!X56,'Komisyon Tarifeleri'!S56))))/100)-$D56-IF(AF56&lt;=199.99,Kargo!$E$2,IF(AF56&lt;=399.99,Kargo!$E$3,$F56)))</f>
        <v/>
      </c>
      <c r="AH56" s="17">
        <f>IF(AG56="","",AG56/AF56)</f>
        <v/>
      </c>
      <c r="AI56" s="18">
        <f>IF($D56="","",IF(Y56="","BUYBOX YOK → hedef kârla min fiyat",IF(AC56&gt;=W56,"✓ BUYBOX ALTINA GİR","BUYBOX ALTI KÂRSIZ → min kârlı fiyat")))</f>
        <v/>
      </c>
      <c r="AJ56" s="10">
        <f>IF($B56="","",IFERROR(VLOOKUP($B56,Maliyetler!$A:$G,6,FALSE),""))</f>
        <v/>
      </c>
      <c r="AK56">
        <f>IF($B56="","",IFERROR(VLOOKUP($B56,Maliyetler!$A:$G,7,FALSE),""))</f>
        <v/>
      </c>
      <c r="AO56" s="21">
        <f>IF($B56="","",IFERROR(VLOOKUP($B56&amp;"",'Plus Tarifeleri'!$C:$Q,11,FALSE),""))</f>
        <v/>
      </c>
      <c r="AP56" s="22">
        <f>IF(AO56="","",IFERROR(IF($AM$1=2,VLOOKUP($B56&amp;"",'Plus Tarifeleri'!$C:$Q,15,FALSE),VLOOKUP($B56&amp;"",'Plus Tarifeleri'!$C:$Q,13,FALSE)),""))</f>
        <v/>
      </c>
      <c r="AQ56" s="21">
        <f>IF(OR(AO56="",AP56="",$D56=""),"",AO56*(1-AP56/100)-$D56-IF(AO56&lt;=199.99,Kargo!$E$2,IF(AO56&lt;=399.99,Kargo!$E$3,$F56)))</f>
        <v/>
      </c>
      <c r="AR56" s="23">
        <f>IF(AQ56="","",AQ56/AO56)</f>
        <v/>
      </c>
      <c r="AS56" s="24">
        <f>IF(OR(AQ56="",AG56=""),"",AQ56-AG56)</f>
        <v/>
      </c>
    </row>
    <row r="57">
      <c r="A57">
        <f>IF('Komisyon Tarifeleri'!A57="","",'Komisyon Tarifeleri'!A57)</f>
        <v/>
      </c>
      <c r="B57">
        <f>IF('Komisyon Tarifeleri'!B57="","",'Komisyon Tarifeleri'!B57&amp;"")</f>
        <v/>
      </c>
      <c r="C57">
        <f>IF($B57="","",'Komisyon Tarifeleri'!F57)</f>
        <v/>
      </c>
      <c r="D57" s="10">
        <f>IF($B57="","",IFERROR(VLOOKUP($B57,Maliyetler!$A:$E,3,FALSE),""))</f>
        <v/>
      </c>
      <c r="E57">
        <f>IF($B57="","",IFERROR(VLOOKUP($B57,Maliyetler!$A:$E,4,FALSE),1))</f>
        <v/>
      </c>
      <c r="F57" s="10">
        <f>IF($B57="","",IFERROR(VLOOKUP(MIN(20,MAX(1,ROUND($E57,0))),Kargo!$A:$B,2,FALSE),99.46))</f>
        <v/>
      </c>
      <c r="G57" s="10">
        <f>IF($B57="","",IF(IF(N('Komisyon Tarifeleri'!AA57)&gt;='Komisyon Tarifeleri'!I57,'Komisyon Tarifeleri'!AA57,'Komisyon Tarifeleri'!I57)="","",IF(N('Komisyon Tarifeleri'!AA57)&gt;='Komisyon Tarifeleri'!I57,'Komisyon Tarifeleri'!AA57,'Komisyon Tarifeleri'!I57)))</f>
        <v/>
      </c>
      <c r="H57" s="11">
        <f>IF(G57="","",IF($AM$1=2,'Komisyon Tarifeleri'!U57,'Komisyon Tarifeleri'!P57))</f>
        <v/>
      </c>
      <c r="I57" s="10">
        <f>IF(OR(G57="",$D57=""),"",G57*(1-H57/100)-$D57-IF(G57&lt;=199.99,Kargo!$E$2,IF(G57&lt;=399.99,Kargo!$E$3,$F57)))</f>
        <v/>
      </c>
      <c r="J57" s="12">
        <f>IF(I57="","",I57/G57)</f>
        <v/>
      </c>
      <c r="K57" s="10">
        <f>IF($B57="","",IF('Komisyon Tarifeleri'!J57="","",'Komisyon Tarifeleri'!J57))</f>
        <v/>
      </c>
      <c r="L57" s="11">
        <f>IF(K57="","",IF($AM$1=2,'Komisyon Tarifeleri'!V57,'Komisyon Tarifeleri'!Q57))</f>
        <v/>
      </c>
      <c r="M57" s="10">
        <f>IF(OR(K57="",$D57=""),"",K57*(1-L57/100)-$D57-IF(K57&lt;=199.99,Kargo!$E$2,IF(K57&lt;=399.99,Kargo!$E$3,$F57)))</f>
        <v/>
      </c>
      <c r="N57" s="12">
        <f>IF(M57="","",M57/K57)</f>
        <v/>
      </c>
      <c r="O57" s="10">
        <f>IF($B57="","",IF('Komisyon Tarifeleri'!L57="","",'Komisyon Tarifeleri'!L57))</f>
        <v/>
      </c>
      <c r="P57" s="11">
        <f>IF(O57="","",IF($AM$1=2,'Komisyon Tarifeleri'!W57,'Komisyon Tarifeleri'!R57))</f>
        <v/>
      </c>
      <c r="Q57" s="10">
        <f>IF(OR(O57="",$D57=""),"",O57*(1-P57/100)-$D57-IF(O57&lt;=199.99,Kargo!$E$2,IF(O57&lt;=399.99,Kargo!$E$3,$F57)))</f>
        <v/>
      </c>
      <c r="R57" s="12">
        <f>IF(Q57="","",Q57/O57)</f>
        <v/>
      </c>
      <c r="S57" s="10">
        <f>IF($B57="","",IF('Komisyon Tarifeleri'!N57="","",'Komisyon Tarifeleri'!N57))</f>
        <v/>
      </c>
      <c r="T57" s="11">
        <f>IF(S57="","",IF($AM$1=2,'Komisyon Tarifeleri'!X57,'Komisyon Tarifeleri'!S57))</f>
        <v/>
      </c>
      <c r="U57" s="10">
        <f>IF(OR(S57="",$D57=""),"",S57*(1-T57/100)-$D57-IF(S57&lt;=199.99,Kargo!$E$2,IF(S57&lt;=399.99,Kargo!$E$3,$F57)))</f>
        <v/>
      </c>
      <c r="V57" s="12">
        <f>IF(U57="","",U57/S57)</f>
        <v/>
      </c>
      <c r="W57" s="12">
        <f>IF($B57="","",IFERROR(VLOOKUP($C57,Hedefler!$A:$C,2,FALSE),0.04))</f>
        <v/>
      </c>
      <c r="X57" s="12">
        <f>IF($B57="","",IFERROR(VLOOKUP($C57,Hedefler!$A:$C,3,FALSE),0.1))</f>
        <v/>
      </c>
      <c r="Y57" s="13">
        <f>IF($B57="","",IFERROR(VLOOKUP($B57,Maliyetler!$A:$E,5,FALSE),""))</f>
        <v/>
      </c>
      <c r="Z57" s="13">
        <f>IF(OR(Y57="",Y57=0),"",Y57-1)</f>
        <v/>
      </c>
      <c r="AA57" s="14">
        <f>IF(Z57="","",IF(Z57&gt;='Komisyon Tarifeleri'!I57,IF($AM$1=2,'Komisyon Tarifeleri'!U57,'Komisyon Tarifeleri'!P57),IF(Z57&gt;='Komisyon Tarifeleri'!K57,IF($AM$1=2,'Komisyon Tarifeleri'!V57,'Komisyon Tarifeleri'!Q57),IF(Z57&gt;='Komisyon Tarifeleri'!M57,IF($AM$1=2,'Komisyon Tarifeleri'!W57,'Komisyon Tarifeleri'!R57),IF($AM$1=2,'Komisyon Tarifeleri'!X57,'Komisyon Tarifeleri'!S57)))))</f>
        <v/>
      </c>
      <c r="AB57" s="13">
        <f>IF(OR(AA57="",$D57=""),"",Z57*(1-AA57/100)-$D57-IF(Z57&lt;=199.99,Kargo!$E$2,IF(Z57&lt;=399.99,Kargo!$E$3,$F57)))</f>
        <v/>
      </c>
      <c r="AC57" s="15">
        <f>IF(AB57="","",AB57/Z57)</f>
        <v/>
      </c>
      <c r="AD57" s="10">
        <f>IF(OR($D57="",$B57=""),"",IF(AND((1-T57/100-W57)&gt;0,CEILING(($D57+$F57)/(1-T57/100-W57),1)&lt;='Komisyon Tarifeleri'!N57),CEILING(($D57+$F57)/(1-T57/100-W57),1),IF(AND((1-P57/100-W57)&gt;0,CEILING(MAX('Komisyon Tarifeleri'!M57,($D57+$F57)/(1-P57/100-W57)),1)&lt;='Komisyon Tarifeleri'!L57),CEILING(MAX('Komisyon Tarifeleri'!M57,($D57+$F57)/(1-P57/100-W57)),1),IF(AND((1-L57/100-W57)&gt;0,CEILING(MAX('Komisyon Tarifeleri'!K57,($D57+$F57)/(1-L57/100-W57)),1)&lt;='Komisyon Tarifeleri'!J57),CEILING(MAX('Komisyon Tarifeleri'!K57,($D57+$F57)/(1-L57/100-W57)),1),IF((1-H57/100-W57)&gt;0,CEILING(MAX('Komisyon Tarifeleri'!I57,($D57+$F57)/(1-H57/100-W57)),1),"İMKÂNSIZ")))))</f>
        <v/>
      </c>
      <c r="AE57" s="10">
        <f>IF(OR($D57="",$B57=""),"",IF(AND((1-T57/100-X57)&gt;0,CEILING(($D57+$F57)/(1-T57/100-X57),1)&lt;='Komisyon Tarifeleri'!N57),CEILING(($D57+$F57)/(1-T57/100-X57),1),IF(AND((1-P57/100-X57)&gt;0,CEILING(MAX('Komisyon Tarifeleri'!M57,($D57+$F57)/(1-P57/100-X57)),1)&lt;='Komisyon Tarifeleri'!L57),CEILING(MAX('Komisyon Tarifeleri'!M57,($D57+$F57)/(1-P57/100-X57)),1),IF(AND((1-L57/100-X57)&gt;0,CEILING(MAX('Komisyon Tarifeleri'!K57,($D57+$F57)/(1-L57/100-X57)),1)&lt;='Komisyon Tarifeleri'!J57),CEILING(MAX('Komisyon Tarifeleri'!K57,($D57+$F57)/(1-L57/100-X57)),1),IF((1-H57/100-X57)&gt;0,CEILING(MAX('Komisyon Tarifeleri'!I57,($D57+$F57)/(1-H57/100-X57)),1),"İMKÂNSIZ")))))</f>
        <v/>
      </c>
      <c r="AF57" s="16">
        <f>IF($D57="","",IF(AND(Y57&lt;&gt;"",AC57&lt;&gt;"",AC57&gt;=W57),Z57,IF(Y57&lt;&gt;"",AD57,AE57)))</f>
        <v/>
      </c>
      <c r="AG57" s="16">
        <f>IF(OR(AF57="",AF57="İMKÂNSIZ"),"",AF57*(1-IF(AF57&gt;='Komisyon Tarifeleri'!I57,IF($AM$1=2,'Komisyon Tarifeleri'!U57,'Komisyon Tarifeleri'!P57),IF(AF57&gt;='Komisyon Tarifeleri'!K57,IF($AM$1=2,'Komisyon Tarifeleri'!V57,'Komisyon Tarifeleri'!Q57),IF(AF57&gt;='Komisyon Tarifeleri'!M57,IF($AM$1=2,'Komisyon Tarifeleri'!W57,'Komisyon Tarifeleri'!R57),IF($AM$1=2,'Komisyon Tarifeleri'!X57,'Komisyon Tarifeleri'!S57))))/100)-$D57-IF(AF57&lt;=199.99,Kargo!$E$2,IF(AF57&lt;=399.99,Kargo!$E$3,$F57)))</f>
        <v/>
      </c>
      <c r="AH57" s="17">
        <f>IF(AG57="","",AG57/AF57)</f>
        <v/>
      </c>
      <c r="AI57" s="18">
        <f>IF($D57="","",IF(Y57="","BUYBOX YOK → hedef kârla min fiyat",IF(AC57&gt;=W57,"✓ BUYBOX ALTINA GİR","BUYBOX ALTI KÂRSIZ → min kârlı fiyat")))</f>
        <v/>
      </c>
      <c r="AJ57" s="10">
        <f>IF($B57="","",IFERROR(VLOOKUP($B57,Maliyetler!$A:$G,6,FALSE),""))</f>
        <v/>
      </c>
      <c r="AK57">
        <f>IF($B57="","",IFERROR(VLOOKUP($B57,Maliyetler!$A:$G,7,FALSE),""))</f>
        <v/>
      </c>
      <c r="AO57" s="21">
        <f>IF($B57="","",IFERROR(VLOOKUP($B57&amp;"",'Plus Tarifeleri'!$C:$Q,11,FALSE),""))</f>
        <v/>
      </c>
      <c r="AP57" s="22">
        <f>IF(AO57="","",IFERROR(IF($AM$1=2,VLOOKUP($B57&amp;"",'Plus Tarifeleri'!$C:$Q,15,FALSE),VLOOKUP($B57&amp;"",'Plus Tarifeleri'!$C:$Q,13,FALSE)),""))</f>
        <v/>
      </c>
      <c r="AQ57" s="21">
        <f>IF(OR(AO57="",AP57="",$D57=""),"",AO57*(1-AP57/100)-$D57-IF(AO57&lt;=199.99,Kargo!$E$2,IF(AO57&lt;=399.99,Kargo!$E$3,$F57)))</f>
        <v/>
      </c>
      <c r="AR57" s="23">
        <f>IF(AQ57="","",AQ57/AO57)</f>
        <v/>
      </c>
      <c r="AS57" s="24">
        <f>IF(OR(AQ57="",AG57=""),"",AQ57-AG57)</f>
        <v/>
      </c>
    </row>
    <row r="58">
      <c r="A58">
        <f>IF('Komisyon Tarifeleri'!A58="","",'Komisyon Tarifeleri'!A58)</f>
        <v/>
      </c>
      <c r="B58">
        <f>IF('Komisyon Tarifeleri'!B58="","",'Komisyon Tarifeleri'!B58&amp;"")</f>
        <v/>
      </c>
      <c r="C58">
        <f>IF($B58="","",'Komisyon Tarifeleri'!F58)</f>
        <v/>
      </c>
      <c r="D58" s="10">
        <f>IF($B58="","",IFERROR(VLOOKUP($B58,Maliyetler!$A:$E,3,FALSE),""))</f>
        <v/>
      </c>
      <c r="E58">
        <f>IF($B58="","",IFERROR(VLOOKUP($B58,Maliyetler!$A:$E,4,FALSE),1))</f>
        <v/>
      </c>
      <c r="F58" s="10">
        <f>IF($B58="","",IFERROR(VLOOKUP(MIN(20,MAX(1,ROUND($E58,0))),Kargo!$A:$B,2,FALSE),99.46))</f>
        <v/>
      </c>
      <c r="G58" s="10">
        <f>IF($B58="","",IF(IF(N('Komisyon Tarifeleri'!AA58)&gt;='Komisyon Tarifeleri'!I58,'Komisyon Tarifeleri'!AA58,'Komisyon Tarifeleri'!I58)="","",IF(N('Komisyon Tarifeleri'!AA58)&gt;='Komisyon Tarifeleri'!I58,'Komisyon Tarifeleri'!AA58,'Komisyon Tarifeleri'!I58)))</f>
        <v/>
      </c>
      <c r="H58" s="11">
        <f>IF(G58="","",IF($AM$1=2,'Komisyon Tarifeleri'!U58,'Komisyon Tarifeleri'!P58))</f>
        <v/>
      </c>
      <c r="I58" s="10">
        <f>IF(OR(G58="",$D58=""),"",G58*(1-H58/100)-$D58-IF(G58&lt;=199.99,Kargo!$E$2,IF(G58&lt;=399.99,Kargo!$E$3,$F58)))</f>
        <v/>
      </c>
      <c r="J58" s="12">
        <f>IF(I58="","",I58/G58)</f>
        <v/>
      </c>
      <c r="K58" s="10">
        <f>IF($B58="","",IF('Komisyon Tarifeleri'!J58="","",'Komisyon Tarifeleri'!J58))</f>
        <v/>
      </c>
      <c r="L58" s="11">
        <f>IF(K58="","",IF($AM$1=2,'Komisyon Tarifeleri'!V58,'Komisyon Tarifeleri'!Q58))</f>
        <v/>
      </c>
      <c r="M58" s="10">
        <f>IF(OR(K58="",$D58=""),"",K58*(1-L58/100)-$D58-IF(K58&lt;=199.99,Kargo!$E$2,IF(K58&lt;=399.99,Kargo!$E$3,$F58)))</f>
        <v/>
      </c>
      <c r="N58" s="12">
        <f>IF(M58="","",M58/K58)</f>
        <v/>
      </c>
      <c r="O58" s="10">
        <f>IF($B58="","",IF('Komisyon Tarifeleri'!L58="","",'Komisyon Tarifeleri'!L58))</f>
        <v/>
      </c>
      <c r="P58" s="11">
        <f>IF(O58="","",IF($AM$1=2,'Komisyon Tarifeleri'!W58,'Komisyon Tarifeleri'!R58))</f>
        <v/>
      </c>
      <c r="Q58" s="10">
        <f>IF(OR(O58="",$D58=""),"",O58*(1-P58/100)-$D58-IF(O58&lt;=199.99,Kargo!$E$2,IF(O58&lt;=399.99,Kargo!$E$3,$F58)))</f>
        <v/>
      </c>
      <c r="R58" s="12">
        <f>IF(Q58="","",Q58/O58)</f>
        <v/>
      </c>
      <c r="S58" s="10">
        <f>IF($B58="","",IF('Komisyon Tarifeleri'!N58="","",'Komisyon Tarifeleri'!N58))</f>
        <v/>
      </c>
      <c r="T58" s="11">
        <f>IF(S58="","",IF($AM$1=2,'Komisyon Tarifeleri'!X58,'Komisyon Tarifeleri'!S58))</f>
        <v/>
      </c>
      <c r="U58" s="10">
        <f>IF(OR(S58="",$D58=""),"",S58*(1-T58/100)-$D58-IF(S58&lt;=199.99,Kargo!$E$2,IF(S58&lt;=399.99,Kargo!$E$3,$F58)))</f>
        <v/>
      </c>
      <c r="V58" s="12">
        <f>IF(U58="","",U58/S58)</f>
        <v/>
      </c>
      <c r="W58" s="12">
        <f>IF($B58="","",IFERROR(VLOOKUP($C58,Hedefler!$A:$C,2,FALSE),0.04))</f>
        <v/>
      </c>
      <c r="X58" s="12">
        <f>IF($B58="","",IFERROR(VLOOKUP($C58,Hedefler!$A:$C,3,FALSE),0.1))</f>
        <v/>
      </c>
      <c r="Y58" s="13">
        <f>IF($B58="","",IFERROR(VLOOKUP($B58,Maliyetler!$A:$E,5,FALSE),""))</f>
        <v/>
      </c>
      <c r="Z58" s="13">
        <f>IF(OR(Y58="",Y58=0),"",Y58-1)</f>
        <v/>
      </c>
      <c r="AA58" s="14">
        <f>IF(Z58="","",IF(Z58&gt;='Komisyon Tarifeleri'!I58,IF($AM$1=2,'Komisyon Tarifeleri'!U58,'Komisyon Tarifeleri'!P58),IF(Z58&gt;='Komisyon Tarifeleri'!K58,IF($AM$1=2,'Komisyon Tarifeleri'!V58,'Komisyon Tarifeleri'!Q58),IF(Z58&gt;='Komisyon Tarifeleri'!M58,IF($AM$1=2,'Komisyon Tarifeleri'!W58,'Komisyon Tarifeleri'!R58),IF($AM$1=2,'Komisyon Tarifeleri'!X58,'Komisyon Tarifeleri'!S58)))))</f>
        <v/>
      </c>
      <c r="AB58" s="13">
        <f>IF(OR(AA58="",$D58=""),"",Z58*(1-AA58/100)-$D58-IF(Z58&lt;=199.99,Kargo!$E$2,IF(Z58&lt;=399.99,Kargo!$E$3,$F58)))</f>
        <v/>
      </c>
      <c r="AC58" s="15">
        <f>IF(AB58="","",AB58/Z58)</f>
        <v/>
      </c>
      <c r="AD58" s="10">
        <f>IF(OR($D58="",$B58=""),"",IF(AND((1-T58/100-W58)&gt;0,CEILING(($D58+$F58)/(1-T58/100-W58),1)&lt;='Komisyon Tarifeleri'!N58),CEILING(($D58+$F58)/(1-T58/100-W58),1),IF(AND((1-P58/100-W58)&gt;0,CEILING(MAX('Komisyon Tarifeleri'!M58,($D58+$F58)/(1-P58/100-W58)),1)&lt;='Komisyon Tarifeleri'!L58),CEILING(MAX('Komisyon Tarifeleri'!M58,($D58+$F58)/(1-P58/100-W58)),1),IF(AND((1-L58/100-W58)&gt;0,CEILING(MAX('Komisyon Tarifeleri'!K58,($D58+$F58)/(1-L58/100-W58)),1)&lt;='Komisyon Tarifeleri'!J58),CEILING(MAX('Komisyon Tarifeleri'!K58,($D58+$F58)/(1-L58/100-W58)),1),IF((1-H58/100-W58)&gt;0,CEILING(MAX('Komisyon Tarifeleri'!I58,($D58+$F58)/(1-H58/100-W58)),1),"İMKÂNSIZ")))))</f>
        <v/>
      </c>
      <c r="AE58" s="10">
        <f>IF(OR($D58="",$B58=""),"",IF(AND((1-T58/100-X58)&gt;0,CEILING(($D58+$F58)/(1-T58/100-X58),1)&lt;='Komisyon Tarifeleri'!N58),CEILING(($D58+$F58)/(1-T58/100-X58),1),IF(AND((1-P58/100-X58)&gt;0,CEILING(MAX('Komisyon Tarifeleri'!M58,($D58+$F58)/(1-P58/100-X58)),1)&lt;='Komisyon Tarifeleri'!L58),CEILING(MAX('Komisyon Tarifeleri'!M58,($D58+$F58)/(1-P58/100-X58)),1),IF(AND((1-L58/100-X58)&gt;0,CEILING(MAX('Komisyon Tarifeleri'!K58,($D58+$F58)/(1-L58/100-X58)),1)&lt;='Komisyon Tarifeleri'!J58),CEILING(MAX('Komisyon Tarifeleri'!K58,($D58+$F58)/(1-L58/100-X58)),1),IF((1-H58/100-X58)&gt;0,CEILING(MAX('Komisyon Tarifeleri'!I58,($D58+$F58)/(1-H58/100-X58)),1),"İMKÂNSIZ")))))</f>
        <v/>
      </c>
      <c r="AF58" s="16">
        <f>IF($D58="","",IF(AND(Y58&lt;&gt;"",AC58&lt;&gt;"",AC58&gt;=W58),Z58,IF(Y58&lt;&gt;"",AD58,AE58)))</f>
        <v/>
      </c>
      <c r="AG58" s="16">
        <f>IF(OR(AF58="",AF58="İMKÂNSIZ"),"",AF58*(1-IF(AF58&gt;='Komisyon Tarifeleri'!I58,IF($AM$1=2,'Komisyon Tarifeleri'!U58,'Komisyon Tarifeleri'!P58),IF(AF58&gt;='Komisyon Tarifeleri'!K58,IF($AM$1=2,'Komisyon Tarifeleri'!V58,'Komisyon Tarifeleri'!Q58),IF(AF58&gt;='Komisyon Tarifeleri'!M58,IF($AM$1=2,'Komisyon Tarifeleri'!W58,'Komisyon Tarifeleri'!R58),IF($AM$1=2,'Komisyon Tarifeleri'!X58,'Komisyon Tarifeleri'!S58))))/100)-$D58-IF(AF58&lt;=199.99,Kargo!$E$2,IF(AF58&lt;=399.99,Kargo!$E$3,$F58)))</f>
        <v/>
      </c>
      <c r="AH58" s="17">
        <f>IF(AG58="","",AG58/AF58)</f>
        <v/>
      </c>
      <c r="AI58" s="18">
        <f>IF($D58="","",IF(Y58="","BUYBOX YOK → hedef kârla min fiyat",IF(AC58&gt;=W58,"✓ BUYBOX ALTINA GİR","BUYBOX ALTI KÂRSIZ → min kârlı fiyat")))</f>
        <v/>
      </c>
      <c r="AJ58" s="10">
        <f>IF($B58="","",IFERROR(VLOOKUP($B58,Maliyetler!$A:$G,6,FALSE),""))</f>
        <v/>
      </c>
      <c r="AK58">
        <f>IF($B58="","",IFERROR(VLOOKUP($B58,Maliyetler!$A:$G,7,FALSE),""))</f>
        <v/>
      </c>
      <c r="AO58" s="21">
        <f>IF($B58="","",IFERROR(VLOOKUP($B58&amp;"",'Plus Tarifeleri'!$C:$Q,11,FALSE),""))</f>
        <v/>
      </c>
      <c r="AP58" s="22">
        <f>IF(AO58="","",IFERROR(IF($AM$1=2,VLOOKUP($B58&amp;"",'Plus Tarifeleri'!$C:$Q,15,FALSE),VLOOKUP($B58&amp;"",'Plus Tarifeleri'!$C:$Q,13,FALSE)),""))</f>
        <v/>
      </c>
      <c r="AQ58" s="21">
        <f>IF(OR(AO58="",AP58="",$D58=""),"",AO58*(1-AP58/100)-$D58-IF(AO58&lt;=199.99,Kargo!$E$2,IF(AO58&lt;=399.99,Kargo!$E$3,$F58)))</f>
        <v/>
      </c>
      <c r="AR58" s="23">
        <f>IF(AQ58="","",AQ58/AO58)</f>
        <v/>
      </c>
      <c r="AS58" s="24">
        <f>IF(OR(AQ58="",AG58=""),"",AQ58-AG58)</f>
        <v/>
      </c>
    </row>
    <row r="59">
      <c r="A59">
        <f>IF('Komisyon Tarifeleri'!A59="","",'Komisyon Tarifeleri'!A59)</f>
        <v/>
      </c>
      <c r="B59">
        <f>IF('Komisyon Tarifeleri'!B59="","",'Komisyon Tarifeleri'!B59&amp;"")</f>
        <v/>
      </c>
      <c r="C59">
        <f>IF($B59="","",'Komisyon Tarifeleri'!F59)</f>
        <v/>
      </c>
      <c r="D59" s="10">
        <f>IF($B59="","",IFERROR(VLOOKUP($B59,Maliyetler!$A:$E,3,FALSE),""))</f>
        <v/>
      </c>
      <c r="E59">
        <f>IF($B59="","",IFERROR(VLOOKUP($B59,Maliyetler!$A:$E,4,FALSE),1))</f>
        <v/>
      </c>
      <c r="F59" s="10">
        <f>IF($B59="","",IFERROR(VLOOKUP(MIN(20,MAX(1,ROUND($E59,0))),Kargo!$A:$B,2,FALSE),99.46))</f>
        <v/>
      </c>
      <c r="G59" s="10">
        <f>IF($B59="","",IF(IF(N('Komisyon Tarifeleri'!AA59)&gt;='Komisyon Tarifeleri'!I59,'Komisyon Tarifeleri'!AA59,'Komisyon Tarifeleri'!I59)="","",IF(N('Komisyon Tarifeleri'!AA59)&gt;='Komisyon Tarifeleri'!I59,'Komisyon Tarifeleri'!AA59,'Komisyon Tarifeleri'!I59)))</f>
        <v/>
      </c>
      <c r="H59" s="11">
        <f>IF(G59="","",IF($AM$1=2,'Komisyon Tarifeleri'!U59,'Komisyon Tarifeleri'!P59))</f>
        <v/>
      </c>
      <c r="I59" s="10">
        <f>IF(OR(G59="",$D59=""),"",G59*(1-H59/100)-$D59-IF(G59&lt;=199.99,Kargo!$E$2,IF(G59&lt;=399.99,Kargo!$E$3,$F59)))</f>
        <v/>
      </c>
      <c r="J59" s="12">
        <f>IF(I59="","",I59/G59)</f>
        <v/>
      </c>
      <c r="K59" s="10">
        <f>IF($B59="","",IF('Komisyon Tarifeleri'!J59="","",'Komisyon Tarifeleri'!J59))</f>
        <v/>
      </c>
      <c r="L59" s="11">
        <f>IF(K59="","",IF($AM$1=2,'Komisyon Tarifeleri'!V59,'Komisyon Tarifeleri'!Q59))</f>
        <v/>
      </c>
      <c r="M59" s="10">
        <f>IF(OR(K59="",$D59=""),"",K59*(1-L59/100)-$D59-IF(K59&lt;=199.99,Kargo!$E$2,IF(K59&lt;=399.99,Kargo!$E$3,$F59)))</f>
        <v/>
      </c>
      <c r="N59" s="12">
        <f>IF(M59="","",M59/K59)</f>
        <v/>
      </c>
      <c r="O59" s="10">
        <f>IF($B59="","",IF('Komisyon Tarifeleri'!L59="","",'Komisyon Tarifeleri'!L59))</f>
        <v/>
      </c>
      <c r="P59" s="11">
        <f>IF(O59="","",IF($AM$1=2,'Komisyon Tarifeleri'!W59,'Komisyon Tarifeleri'!R59))</f>
        <v/>
      </c>
      <c r="Q59" s="10">
        <f>IF(OR(O59="",$D59=""),"",O59*(1-P59/100)-$D59-IF(O59&lt;=199.99,Kargo!$E$2,IF(O59&lt;=399.99,Kargo!$E$3,$F59)))</f>
        <v/>
      </c>
      <c r="R59" s="12">
        <f>IF(Q59="","",Q59/O59)</f>
        <v/>
      </c>
      <c r="S59" s="10">
        <f>IF($B59="","",IF('Komisyon Tarifeleri'!N59="","",'Komisyon Tarifeleri'!N59))</f>
        <v/>
      </c>
      <c r="T59" s="11">
        <f>IF(S59="","",IF($AM$1=2,'Komisyon Tarifeleri'!X59,'Komisyon Tarifeleri'!S59))</f>
        <v/>
      </c>
      <c r="U59" s="10">
        <f>IF(OR(S59="",$D59=""),"",S59*(1-T59/100)-$D59-IF(S59&lt;=199.99,Kargo!$E$2,IF(S59&lt;=399.99,Kargo!$E$3,$F59)))</f>
        <v/>
      </c>
      <c r="V59" s="12">
        <f>IF(U59="","",U59/S59)</f>
        <v/>
      </c>
      <c r="W59" s="12">
        <f>IF($B59="","",IFERROR(VLOOKUP($C59,Hedefler!$A:$C,2,FALSE),0.04))</f>
        <v/>
      </c>
      <c r="X59" s="12">
        <f>IF($B59="","",IFERROR(VLOOKUP($C59,Hedefler!$A:$C,3,FALSE),0.1))</f>
        <v/>
      </c>
      <c r="Y59" s="13">
        <f>IF($B59="","",IFERROR(VLOOKUP($B59,Maliyetler!$A:$E,5,FALSE),""))</f>
        <v/>
      </c>
      <c r="Z59" s="13">
        <f>IF(OR(Y59="",Y59=0),"",Y59-1)</f>
        <v/>
      </c>
      <c r="AA59" s="14">
        <f>IF(Z59="","",IF(Z59&gt;='Komisyon Tarifeleri'!I59,IF($AM$1=2,'Komisyon Tarifeleri'!U59,'Komisyon Tarifeleri'!P59),IF(Z59&gt;='Komisyon Tarifeleri'!K59,IF($AM$1=2,'Komisyon Tarifeleri'!V59,'Komisyon Tarifeleri'!Q59),IF(Z59&gt;='Komisyon Tarifeleri'!M59,IF($AM$1=2,'Komisyon Tarifeleri'!W59,'Komisyon Tarifeleri'!R59),IF($AM$1=2,'Komisyon Tarifeleri'!X59,'Komisyon Tarifeleri'!S59)))))</f>
        <v/>
      </c>
      <c r="AB59" s="13">
        <f>IF(OR(AA59="",$D59=""),"",Z59*(1-AA59/100)-$D59-IF(Z59&lt;=199.99,Kargo!$E$2,IF(Z59&lt;=399.99,Kargo!$E$3,$F59)))</f>
        <v/>
      </c>
      <c r="AC59" s="15">
        <f>IF(AB59="","",AB59/Z59)</f>
        <v/>
      </c>
      <c r="AD59" s="10">
        <f>IF(OR($D59="",$B59=""),"",IF(AND((1-T59/100-W59)&gt;0,CEILING(($D59+$F59)/(1-T59/100-W59),1)&lt;='Komisyon Tarifeleri'!N59),CEILING(($D59+$F59)/(1-T59/100-W59),1),IF(AND((1-P59/100-W59)&gt;0,CEILING(MAX('Komisyon Tarifeleri'!M59,($D59+$F59)/(1-P59/100-W59)),1)&lt;='Komisyon Tarifeleri'!L59),CEILING(MAX('Komisyon Tarifeleri'!M59,($D59+$F59)/(1-P59/100-W59)),1),IF(AND((1-L59/100-W59)&gt;0,CEILING(MAX('Komisyon Tarifeleri'!K59,($D59+$F59)/(1-L59/100-W59)),1)&lt;='Komisyon Tarifeleri'!J59),CEILING(MAX('Komisyon Tarifeleri'!K59,($D59+$F59)/(1-L59/100-W59)),1),IF((1-H59/100-W59)&gt;0,CEILING(MAX('Komisyon Tarifeleri'!I59,($D59+$F59)/(1-H59/100-W59)),1),"İMKÂNSIZ")))))</f>
        <v/>
      </c>
      <c r="AE59" s="10">
        <f>IF(OR($D59="",$B59=""),"",IF(AND((1-T59/100-X59)&gt;0,CEILING(($D59+$F59)/(1-T59/100-X59),1)&lt;='Komisyon Tarifeleri'!N59),CEILING(($D59+$F59)/(1-T59/100-X59),1),IF(AND((1-P59/100-X59)&gt;0,CEILING(MAX('Komisyon Tarifeleri'!M59,($D59+$F59)/(1-P59/100-X59)),1)&lt;='Komisyon Tarifeleri'!L59),CEILING(MAX('Komisyon Tarifeleri'!M59,($D59+$F59)/(1-P59/100-X59)),1),IF(AND((1-L59/100-X59)&gt;0,CEILING(MAX('Komisyon Tarifeleri'!K59,($D59+$F59)/(1-L59/100-X59)),1)&lt;='Komisyon Tarifeleri'!J59),CEILING(MAX('Komisyon Tarifeleri'!K59,($D59+$F59)/(1-L59/100-X59)),1),IF((1-H59/100-X59)&gt;0,CEILING(MAX('Komisyon Tarifeleri'!I59,($D59+$F59)/(1-H59/100-X59)),1),"İMKÂNSIZ")))))</f>
        <v/>
      </c>
      <c r="AF59" s="16">
        <f>IF($D59="","",IF(AND(Y59&lt;&gt;"",AC59&lt;&gt;"",AC59&gt;=W59),Z59,IF(Y59&lt;&gt;"",AD59,AE59)))</f>
        <v/>
      </c>
      <c r="AG59" s="16">
        <f>IF(OR(AF59="",AF59="İMKÂNSIZ"),"",AF59*(1-IF(AF59&gt;='Komisyon Tarifeleri'!I59,IF($AM$1=2,'Komisyon Tarifeleri'!U59,'Komisyon Tarifeleri'!P59),IF(AF59&gt;='Komisyon Tarifeleri'!K59,IF($AM$1=2,'Komisyon Tarifeleri'!V59,'Komisyon Tarifeleri'!Q59),IF(AF59&gt;='Komisyon Tarifeleri'!M59,IF($AM$1=2,'Komisyon Tarifeleri'!W59,'Komisyon Tarifeleri'!R59),IF($AM$1=2,'Komisyon Tarifeleri'!X59,'Komisyon Tarifeleri'!S59))))/100)-$D59-IF(AF59&lt;=199.99,Kargo!$E$2,IF(AF59&lt;=399.99,Kargo!$E$3,$F59)))</f>
        <v/>
      </c>
      <c r="AH59" s="17">
        <f>IF(AG59="","",AG59/AF59)</f>
        <v/>
      </c>
      <c r="AI59" s="18">
        <f>IF($D59="","",IF(Y59="","BUYBOX YOK → hedef kârla min fiyat",IF(AC59&gt;=W59,"✓ BUYBOX ALTINA GİR","BUYBOX ALTI KÂRSIZ → min kârlı fiyat")))</f>
        <v/>
      </c>
      <c r="AJ59" s="10">
        <f>IF($B59="","",IFERROR(VLOOKUP($B59,Maliyetler!$A:$G,6,FALSE),""))</f>
        <v/>
      </c>
      <c r="AK59">
        <f>IF($B59="","",IFERROR(VLOOKUP($B59,Maliyetler!$A:$G,7,FALSE),""))</f>
        <v/>
      </c>
      <c r="AO59" s="21">
        <f>IF($B59="","",IFERROR(VLOOKUP($B59&amp;"",'Plus Tarifeleri'!$C:$Q,11,FALSE),""))</f>
        <v/>
      </c>
      <c r="AP59" s="22">
        <f>IF(AO59="","",IFERROR(IF($AM$1=2,VLOOKUP($B59&amp;"",'Plus Tarifeleri'!$C:$Q,15,FALSE),VLOOKUP($B59&amp;"",'Plus Tarifeleri'!$C:$Q,13,FALSE)),""))</f>
        <v/>
      </c>
      <c r="AQ59" s="21">
        <f>IF(OR(AO59="",AP59="",$D59=""),"",AO59*(1-AP59/100)-$D59-IF(AO59&lt;=199.99,Kargo!$E$2,IF(AO59&lt;=399.99,Kargo!$E$3,$F59)))</f>
        <v/>
      </c>
      <c r="AR59" s="23">
        <f>IF(AQ59="","",AQ59/AO59)</f>
        <v/>
      </c>
      <c r="AS59" s="24">
        <f>IF(OR(AQ59="",AG59=""),"",AQ59-AG59)</f>
        <v/>
      </c>
    </row>
    <row r="60">
      <c r="A60">
        <f>IF('Komisyon Tarifeleri'!A60="","",'Komisyon Tarifeleri'!A60)</f>
        <v/>
      </c>
      <c r="B60">
        <f>IF('Komisyon Tarifeleri'!B60="","",'Komisyon Tarifeleri'!B60&amp;"")</f>
        <v/>
      </c>
      <c r="C60">
        <f>IF($B60="","",'Komisyon Tarifeleri'!F60)</f>
        <v/>
      </c>
      <c r="D60" s="10">
        <f>IF($B60="","",IFERROR(VLOOKUP($B60,Maliyetler!$A:$E,3,FALSE),""))</f>
        <v/>
      </c>
      <c r="E60">
        <f>IF($B60="","",IFERROR(VLOOKUP($B60,Maliyetler!$A:$E,4,FALSE),1))</f>
        <v/>
      </c>
      <c r="F60" s="10">
        <f>IF($B60="","",IFERROR(VLOOKUP(MIN(20,MAX(1,ROUND($E60,0))),Kargo!$A:$B,2,FALSE),99.46))</f>
        <v/>
      </c>
      <c r="G60" s="10">
        <f>IF($B60="","",IF(IF(N('Komisyon Tarifeleri'!AA60)&gt;='Komisyon Tarifeleri'!I60,'Komisyon Tarifeleri'!AA60,'Komisyon Tarifeleri'!I60)="","",IF(N('Komisyon Tarifeleri'!AA60)&gt;='Komisyon Tarifeleri'!I60,'Komisyon Tarifeleri'!AA60,'Komisyon Tarifeleri'!I60)))</f>
        <v/>
      </c>
      <c r="H60" s="11">
        <f>IF(G60="","",IF($AM$1=2,'Komisyon Tarifeleri'!U60,'Komisyon Tarifeleri'!P60))</f>
        <v/>
      </c>
      <c r="I60" s="10">
        <f>IF(OR(G60="",$D60=""),"",G60*(1-H60/100)-$D60-IF(G60&lt;=199.99,Kargo!$E$2,IF(G60&lt;=399.99,Kargo!$E$3,$F60)))</f>
        <v/>
      </c>
      <c r="J60" s="12">
        <f>IF(I60="","",I60/G60)</f>
        <v/>
      </c>
      <c r="K60" s="10">
        <f>IF($B60="","",IF('Komisyon Tarifeleri'!J60="","",'Komisyon Tarifeleri'!J60))</f>
        <v/>
      </c>
      <c r="L60" s="11">
        <f>IF(K60="","",IF($AM$1=2,'Komisyon Tarifeleri'!V60,'Komisyon Tarifeleri'!Q60))</f>
        <v/>
      </c>
      <c r="M60" s="10">
        <f>IF(OR(K60="",$D60=""),"",K60*(1-L60/100)-$D60-IF(K60&lt;=199.99,Kargo!$E$2,IF(K60&lt;=399.99,Kargo!$E$3,$F60)))</f>
        <v/>
      </c>
      <c r="N60" s="12">
        <f>IF(M60="","",M60/K60)</f>
        <v/>
      </c>
      <c r="O60" s="10">
        <f>IF($B60="","",IF('Komisyon Tarifeleri'!L60="","",'Komisyon Tarifeleri'!L60))</f>
        <v/>
      </c>
      <c r="P60" s="11">
        <f>IF(O60="","",IF($AM$1=2,'Komisyon Tarifeleri'!W60,'Komisyon Tarifeleri'!R60))</f>
        <v/>
      </c>
      <c r="Q60" s="10">
        <f>IF(OR(O60="",$D60=""),"",O60*(1-P60/100)-$D60-IF(O60&lt;=199.99,Kargo!$E$2,IF(O60&lt;=399.99,Kargo!$E$3,$F60)))</f>
        <v/>
      </c>
      <c r="R60" s="12">
        <f>IF(Q60="","",Q60/O60)</f>
        <v/>
      </c>
      <c r="S60" s="10">
        <f>IF($B60="","",IF('Komisyon Tarifeleri'!N60="","",'Komisyon Tarifeleri'!N60))</f>
        <v/>
      </c>
      <c r="T60" s="11">
        <f>IF(S60="","",IF($AM$1=2,'Komisyon Tarifeleri'!X60,'Komisyon Tarifeleri'!S60))</f>
        <v/>
      </c>
      <c r="U60" s="10">
        <f>IF(OR(S60="",$D60=""),"",S60*(1-T60/100)-$D60-IF(S60&lt;=199.99,Kargo!$E$2,IF(S60&lt;=399.99,Kargo!$E$3,$F60)))</f>
        <v/>
      </c>
      <c r="V60" s="12">
        <f>IF(U60="","",U60/S60)</f>
        <v/>
      </c>
      <c r="W60" s="12">
        <f>IF($B60="","",IFERROR(VLOOKUP($C60,Hedefler!$A:$C,2,FALSE),0.04))</f>
        <v/>
      </c>
      <c r="X60" s="12">
        <f>IF($B60="","",IFERROR(VLOOKUP($C60,Hedefler!$A:$C,3,FALSE),0.1))</f>
        <v/>
      </c>
      <c r="Y60" s="13">
        <f>IF($B60="","",IFERROR(VLOOKUP($B60,Maliyetler!$A:$E,5,FALSE),""))</f>
        <v/>
      </c>
      <c r="Z60" s="13">
        <f>IF(OR(Y60="",Y60=0),"",Y60-1)</f>
        <v/>
      </c>
      <c r="AA60" s="14">
        <f>IF(Z60="","",IF(Z60&gt;='Komisyon Tarifeleri'!I60,IF($AM$1=2,'Komisyon Tarifeleri'!U60,'Komisyon Tarifeleri'!P60),IF(Z60&gt;='Komisyon Tarifeleri'!K60,IF($AM$1=2,'Komisyon Tarifeleri'!V60,'Komisyon Tarifeleri'!Q60),IF(Z60&gt;='Komisyon Tarifeleri'!M60,IF($AM$1=2,'Komisyon Tarifeleri'!W60,'Komisyon Tarifeleri'!R60),IF($AM$1=2,'Komisyon Tarifeleri'!X60,'Komisyon Tarifeleri'!S60)))))</f>
        <v/>
      </c>
      <c r="AB60" s="13">
        <f>IF(OR(AA60="",$D60=""),"",Z60*(1-AA60/100)-$D60-IF(Z60&lt;=199.99,Kargo!$E$2,IF(Z60&lt;=399.99,Kargo!$E$3,$F60)))</f>
        <v/>
      </c>
      <c r="AC60" s="15">
        <f>IF(AB60="","",AB60/Z60)</f>
        <v/>
      </c>
      <c r="AD60" s="10">
        <f>IF(OR($D60="",$B60=""),"",IF(AND((1-T60/100-W60)&gt;0,CEILING(($D60+$F60)/(1-T60/100-W60),1)&lt;='Komisyon Tarifeleri'!N60),CEILING(($D60+$F60)/(1-T60/100-W60),1),IF(AND((1-P60/100-W60)&gt;0,CEILING(MAX('Komisyon Tarifeleri'!M60,($D60+$F60)/(1-P60/100-W60)),1)&lt;='Komisyon Tarifeleri'!L60),CEILING(MAX('Komisyon Tarifeleri'!M60,($D60+$F60)/(1-P60/100-W60)),1),IF(AND((1-L60/100-W60)&gt;0,CEILING(MAX('Komisyon Tarifeleri'!K60,($D60+$F60)/(1-L60/100-W60)),1)&lt;='Komisyon Tarifeleri'!J60),CEILING(MAX('Komisyon Tarifeleri'!K60,($D60+$F60)/(1-L60/100-W60)),1),IF((1-H60/100-W60)&gt;0,CEILING(MAX('Komisyon Tarifeleri'!I60,($D60+$F60)/(1-H60/100-W60)),1),"İMKÂNSIZ")))))</f>
        <v/>
      </c>
      <c r="AE60" s="10">
        <f>IF(OR($D60="",$B60=""),"",IF(AND((1-T60/100-X60)&gt;0,CEILING(($D60+$F60)/(1-T60/100-X60),1)&lt;='Komisyon Tarifeleri'!N60),CEILING(($D60+$F60)/(1-T60/100-X60),1),IF(AND((1-P60/100-X60)&gt;0,CEILING(MAX('Komisyon Tarifeleri'!M60,($D60+$F60)/(1-P60/100-X60)),1)&lt;='Komisyon Tarifeleri'!L60),CEILING(MAX('Komisyon Tarifeleri'!M60,($D60+$F60)/(1-P60/100-X60)),1),IF(AND((1-L60/100-X60)&gt;0,CEILING(MAX('Komisyon Tarifeleri'!K60,($D60+$F60)/(1-L60/100-X60)),1)&lt;='Komisyon Tarifeleri'!J60),CEILING(MAX('Komisyon Tarifeleri'!K60,($D60+$F60)/(1-L60/100-X60)),1),IF((1-H60/100-X60)&gt;0,CEILING(MAX('Komisyon Tarifeleri'!I60,($D60+$F60)/(1-H60/100-X60)),1),"İMKÂNSIZ")))))</f>
        <v/>
      </c>
      <c r="AF60" s="16">
        <f>IF($D60="","",IF(AND(Y60&lt;&gt;"",AC60&lt;&gt;"",AC60&gt;=W60),Z60,IF(Y60&lt;&gt;"",AD60,AE60)))</f>
        <v/>
      </c>
      <c r="AG60" s="16">
        <f>IF(OR(AF60="",AF60="İMKÂNSIZ"),"",AF60*(1-IF(AF60&gt;='Komisyon Tarifeleri'!I60,IF($AM$1=2,'Komisyon Tarifeleri'!U60,'Komisyon Tarifeleri'!P60),IF(AF60&gt;='Komisyon Tarifeleri'!K60,IF($AM$1=2,'Komisyon Tarifeleri'!V60,'Komisyon Tarifeleri'!Q60),IF(AF60&gt;='Komisyon Tarifeleri'!M60,IF($AM$1=2,'Komisyon Tarifeleri'!W60,'Komisyon Tarifeleri'!R60),IF($AM$1=2,'Komisyon Tarifeleri'!X60,'Komisyon Tarifeleri'!S60))))/100)-$D60-IF(AF60&lt;=199.99,Kargo!$E$2,IF(AF60&lt;=399.99,Kargo!$E$3,$F60)))</f>
        <v/>
      </c>
      <c r="AH60" s="17">
        <f>IF(AG60="","",AG60/AF60)</f>
        <v/>
      </c>
      <c r="AI60" s="18">
        <f>IF($D60="","",IF(Y60="","BUYBOX YOK → hedef kârla min fiyat",IF(AC60&gt;=W60,"✓ BUYBOX ALTINA GİR","BUYBOX ALTI KÂRSIZ → min kârlı fiyat")))</f>
        <v/>
      </c>
      <c r="AJ60" s="10">
        <f>IF($B60="","",IFERROR(VLOOKUP($B60,Maliyetler!$A:$G,6,FALSE),""))</f>
        <v/>
      </c>
      <c r="AK60">
        <f>IF($B60="","",IFERROR(VLOOKUP($B60,Maliyetler!$A:$G,7,FALSE),""))</f>
        <v/>
      </c>
      <c r="AO60" s="21">
        <f>IF($B60="","",IFERROR(VLOOKUP($B60&amp;"",'Plus Tarifeleri'!$C:$Q,11,FALSE),""))</f>
        <v/>
      </c>
      <c r="AP60" s="22">
        <f>IF(AO60="","",IFERROR(IF($AM$1=2,VLOOKUP($B60&amp;"",'Plus Tarifeleri'!$C:$Q,15,FALSE),VLOOKUP($B60&amp;"",'Plus Tarifeleri'!$C:$Q,13,FALSE)),""))</f>
        <v/>
      </c>
      <c r="AQ60" s="21">
        <f>IF(OR(AO60="",AP60="",$D60=""),"",AO60*(1-AP60/100)-$D60-IF(AO60&lt;=199.99,Kargo!$E$2,IF(AO60&lt;=399.99,Kargo!$E$3,$F60)))</f>
        <v/>
      </c>
      <c r="AR60" s="23">
        <f>IF(AQ60="","",AQ60/AO60)</f>
        <v/>
      </c>
      <c r="AS60" s="24">
        <f>IF(OR(AQ60="",AG60=""),"",AQ60-AG60)</f>
        <v/>
      </c>
    </row>
    <row r="61">
      <c r="A61">
        <f>IF('Komisyon Tarifeleri'!A61="","",'Komisyon Tarifeleri'!A61)</f>
        <v/>
      </c>
      <c r="B61">
        <f>IF('Komisyon Tarifeleri'!B61="","",'Komisyon Tarifeleri'!B61&amp;"")</f>
        <v/>
      </c>
      <c r="C61">
        <f>IF($B61="","",'Komisyon Tarifeleri'!F61)</f>
        <v/>
      </c>
      <c r="D61" s="10">
        <f>IF($B61="","",IFERROR(VLOOKUP($B61,Maliyetler!$A:$E,3,FALSE),""))</f>
        <v/>
      </c>
      <c r="E61">
        <f>IF($B61="","",IFERROR(VLOOKUP($B61,Maliyetler!$A:$E,4,FALSE),1))</f>
        <v/>
      </c>
      <c r="F61" s="10">
        <f>IF($B61="","",IFERROR(VLOOKUP(MIN(20,MAX(1,ROUND($E61,0))),Kargo!$A:$B,2,FALSE),99.46))</f>
        <v/>
      </c>
      <c r="G61" s="10">
        <f>IF($B61="","",IF(IF(N('Komisyon Tarifeleri'!AA61)&gt;='Komisyon Tarifeleri'!I61,'Komisyon Tarifeleri'!AA61,'Komisyon Tarifeleri'!I61)="","",IF(N('Komisyon Tarifeleri'!AA61)&gt;='Komisyon Tarifeleri'!I61,'Komisyon Tarifeleri'!AA61,'Komisyon Tarifeleri'!I61)))</f>
        <v/>
      </c>
      <c r="H61" s="11">
        <f>IF(G61="","",IF($AM$1=2,'Komisyon Tarifeleri'!U61,'Komisyon Tarifeleri'!P61))</f>
        <v/>
      </c>
      <c r="I61" s="10">
        <f>IF(OR(G61="",$D61=""),"",G61*(1-H61/100)-$D61-IF(G61&lt;=199.99,Kargo!$E$2,IF(G61&lt;=399.99,Kargo!$E$3,$F61)))</f>
        <v/>
      </c>
      <c r="J61" s="12">
        <f>IF(I61="","",I61/G61)</f>
        <v/>
      </c>
      <c r="K61" s="10">
        <f>IF($B61="","",IF('Komisyon Tarifeleri'!J61="","",'Komisyon Tarifeleri'!J61))</f>
        <v/>
      </c>
      <c r="L61" s="11">
        <f>IF(K61="","",IF($AM$1=2,'Komisyon Tarifeleri'!V61,'Komisyon Tarifeleri'!Q61))</f>
        <v/>
      </c>
      <c r="M61" s="10">
        <f>IF(OR(K61="",$D61=""),"",K61*(1-L61/100)-$D61-IF(K61&lt;=199.99,Kargo!$E$2,IF(K61&lt;=399.99,Kargo!$E$3,$F61)))</f>
        <v/>
      </c>
      <c r="N61" s="12">
        <f>IF(M61="","",M61/K61)</f>
        <v/>
      </c>
      <c r="O61" s="10">
        <f>IF($B61="","",IF('Komisyon Tarifeleri'!L61="","",'Komisyon Tarifeleri'!L61))</f>
        <v/>
      </c>
      <c r="P61" s="11">
        <f>IF(O61="","",IF($AM$1=2,'Komisyon Tarifeleri'!W61,'Komisyon Tarifeleri'!R61))</f>
        <v/>
      </c>
      <c r="Q61" s="10">
        <f>IF(OR(O61="",$D61=""),"",O61*(1-P61/100)-$D61-IF(O61&lt;=199.99,Kargo!$E$2,IF(O61&lt;=399.99,Kargo!$E$3,$F61)))</f>
        <v/>
      </c>
      <c r="R61" s="12">
        <f>IF(Q61="","",Q61/O61)</f>
        <v/>
      </c>
      <c r="S61" s="10">
        <f>IF($B61="","",IF('Komisyon Tarifeleri'!N61="","",'Komisyon Tarifeleri'!N61))</f>
        <v/>
      </c>
      <c r="T61" s="11">
        <f>IF(S61="","",IF($AM$1=2,'Komisyon Tarifeleri'!X61,'Komisyon Tarifeleri'!S61))</f>
        <v/>
      </c>
      <c r="U61" s="10">
        <f>IF(OR(S61="",$D61=""),"",S61*(1-T61/100)-$D61-IF(S61&lt;=199.99,Kargo!$E$2,IF(S61&lt;=399.99,Kargo!$E$3,$F61)))</f>
        <v/>
      </c>
      <c r="V61" s="12">
        <f>IF(U61="","",U61/S61)</f>
        <v/>
      </c>
      <c r="W61" s="12">
        <f>IF($B61="","",IFERROR(VLOOKUP($C61,Hedefler!$A:$C,2,FALSE),0.04))</f>
        <v/>
      </c>
      <c r="X61" s="12">
        <f>IF($B61="","",IFERROR(VLOOKUP($C61,Hedefler!$A:$C,3,FALSE),0.1))</f>
        <v/>
      </c>
      <c r="Y61" s="13">
        <f>IF($B61="","",IFERROR(VLOOKUP($B61,Maliyetler!$A:$E,5,FALSE),""))</f>
        <v/>
      </c>
      <c r="Z61" s="13">
        <f>IF(OR(Y61="",Y61=0),"",Y61-1)</f>
        <v/>
      </c>
      <c r="AA61" s="14">
        <f>IF(Z61="","",IF(Z61&gt;='Komisyon Tarifeleri'!I61,IF($AM$1=2,'Komisyon Tarifeleri'!U61,'Komisyon Tarifeleri'!P61),IF(Z61&gt;='Komisyon Tarifeleri'!K61,IF($AM$1=2,'Komisyon Tarifeleri'!V61,'Komisyon Tarifeleri'!Q61),IF(Z61&gt;='Komisyon Tarifeleri'!M61,IF($AM$1=2,'Komisyon Tarifeleri'!W61,'Komisyon Tarifeleri'!R61),IF($AM$1=2,'Komisyon Tarifeleri'!X61,'Komisyon Tarifeleri'!S61)))))</f>
        <v/>
      </c>
      <c r="AB61" s="13">
        <f>IF(OR(AA61="",$D61=""),"",Z61*(1-AA61/100)-$D61-IF(Z61&lt;=199.99,Kargo!$E$2,IF(Z61&lt;=399.99,Kargo!$E$3,$F61)))</f>
        <v/>
      </c>
      <c r="AC61" s="15">
        <f>IF(AB61="","",AB61/Z61)</f>
        <v/>
      </c>
      <c r="AD61" s="10">
        <f>IF(OR($D61="",$B61=""),"",IF(AND((1-T61/100-W61)&gt;0,CEILING(($D61+$F61)/(1-T61/100-W61),1)&lt;='Komisyon Tarifeleri'!N61),CEILING(($D61+$F61)/(1-T61/100-W61),1),IF(AND((1-P61/100-W61)&gt;0,CEILING(MAX('Komisyon Tarifeleri'!M61,($D61+$F61)/(1-P61/100-W61)),1)&lt;='Komisyon Tarifeleri'!L61),CEILING(MAX('Komisyon Tarifeleri'!M61,($D61+$F61)/(1-P61/100-W61)),1),IF(AND((1-L61/100-W61)&gt;0,CEILING(MAX('Komisyon Tarifeleri'!K61,($D61+$F61)/(1-L61/100-W61)),1)&lt;='Komisyon Tarifeleri'!J61),CEILING(MAX('Komisyon Tarifeleri'!K61,($D61+$F61)/(1-L61/100-W61)),1),IF((1-H61/100-W61)&gt;0,CEILING(MAX('Komisyon Tarifeleri'!I61,($D61+$F61)/(1-H61/100-W61)),1),"İMKÂNSIZ")))))</f>
        <v/>
      </c>
      <c r="AE61" s="10">
        <f>IF(OR($D61="",$B61=""),"",IF(AND((1-T61/100-X61)&gt;0,CEILING(($D61+$F61)/(1-T61/100-X61),1)&lt;='Komisyon Tarifeleri'!N61),CEILING(($D61+$F61)/(1-T61/100-X61),1),IF(AND((1-P61/100-X61)&gt;0,CEILING(MAX('Komisyon Tarifeleri'!M61,($D61+$F61)/(1-P61/100-X61)),1)&lt;='Komisyon Tarifeleri'!L61),CEILING(MAX('Komisyon Tarifeleri'!M61,($D61+$F61)/(1-P61/100-X61)),1),IF(AND((1-L61/100-X61)&gt;0,CEILING(MAX('Komisyon Tarifeleri'!K61,($D61+$F61)/(1-L61/100-X61)),1)&lt;='Komisyon Tarifeleri'!J61),CEILING(MAX('Komisyon Tarifeleri'!K61,($D61+$F61)/(1-L61/100-X61)),1),IF((1-H61/100-X61)&gt;0,CEILING(MAX('Komisyon Tarifeleri'!I61,($D61+$F61)/(1-H61/100-X61)),1),"İMKÂNSIZ")))))</f>
        <v/>
      </c>
      <c r="AF61" s="16">
        <f>IF($D61="","",IF(AND(Y61&lt;&gt;"",AC61&lt;&gt;"",AC61&gt;=W61),Z61,IF(Y61&lt;&gt;"",AD61,AE61)))</f>
        <v/>
      </c>
      <c r="AG61" s="16">
        <f>IF(OR(AF61="",AF61="İMKÂNSIZ"),"",AF61*(1-IF(AF61&gt;='Komisyon Tarifeleri'!I61,IF($AM$1=2,'Komisyon Tarifeleri'!U61,'Komisyon Tarifeleri'!P61),IF(AF61&gt;='Komisyon Tarifeleri'!K61,IF($AM$1=2,'Komisyon Tarifeleri'!V61,'Komisyon Tarifeleri'!Q61),IF(AF61&gt;='Komisyon Tarifeleri'!M61,IF($AM$1=2,'Komisyon Tarifeleri'!W61,'Komisyon Tarifeleri'!R61),IF($AM$1=2,'Komisyon Tarifeleri'!X61,'Komisyon Tarifeleri'!S61))))/100)-$D61-IF(AF61&lt;=199.99,Kargo!$E$2,IF(AF61&lt;=399.99,Kargo!$E$3,$F61)))</f>
        <v/>
      </c>
      <c r="AH61" s="17">
        <f>IF(AG61="","",AG61/AF61)</f>
        <v/>
      </c>
      <c r="AI61" s="18">
        <f>IF($D61="","",IF(Y61="","BUYBOX YOK → hedef kârla min fiyat",IF(AC61&gt;=W61,"✓ BUYBOX ALTINA GİR","BUYBOX ALTI KÂRSIZ → min kârlı fiyat")))</f>
        <v/>
      </c>
      <c r="AJ61" s="10">
        <f>IF($B61="","",IFERROR(VLOOKUP($B61,Maliyetler!$A:$G,6,FALSE),""))</f>
        <v/>
      </c>
      <c r="AK61">
        <f>IF($B61="","",IFERROR(VLOOKUP($B61,Maliyetler!$A:$G,7,FALSE),""))</f>
        <v/>
      </c>
      <c r="AO61" s="21">
        <f>IF($B61="","",IFERROR(VLOOKUP($B61&amp;"",'Plus Tarifeleri'!$C:$Q,11,FALSE),""))</f>
        <v/>
      </c>
      <c r="AP61" s="22">
        <f>IF(AO61="","",IFERROR(IF($AM$1=2,VLOOKUP($B61&amp;"",'Plus Tarifeleri'!$C:$Q,15,FALSE),VLOOKUP($B61&amp;"",'Plus Tarifeleri'!$C:$Q,13,FALSE)),""))</f>
        <v/>
      </c>
      <c r="AQ61" s="21">
        <f>IF(OR(AO61="",AP61="",$D61=""),"",AO61*(1-AP61/100)-$D61-IF(AO61&lt;=199.99,Kargo!$E$2,IF(AO61&lt;=399.99,Kargo!$E$3,$F61)))</f>
        <v/>
      </c>
      <c r="AR61" s="23">
        <f>IF(AQ61="","",AQ61/AO61)</f>
        <v/>
      </c>
      <c r="AS61" s="24">
        <f>IF(OR(AQ61="",AG61=""),"",AQ61-AG61)</f>
        <v/>
      </c>
    </row>
    <row r="62">
      <c r="A62">
        <f>IF('Komisyon Tarifeleri'!A62="","",'Komisyon Tarifeleri'!A62)</f>
        <v/>
      </c>
      <c r="B62">
        <f>IF('Komisyon Tarifeleri'!B62="","",'Komisyon Tarifeleri'!B62&amp;"")</f>
        <v/>
      </c>
      <c r="C62">
        <f>IF($B62="","",'Komisyon Tarifeleri'!F62)</f>
        <v/>
      </c>
      <c r="D62" s="10">
        <f>IF($B62="","",IFERROR(VLOOKUP($B62,Maliyetler!$A:$E,3,FALSE),""))</f>
        <v/>
      </c>
      <c r="E62">
        <f>IF($B62="","",IFERROR(VLOOKUP($B62,Maliyetler!$A:$E,4,FALSE),1))</f>
        <v/>
      </c>
      <c r="F62" s="10">
        <f>IF($B62="","",IFERROR(VLOOKUP(MIN(20,MAX(1,ROUND($E62,0))),Kargo!$A:$B,2,FALSE),99.46))</f>
        <v/>
      </c>
      <c r="G62" s="10">
        <f>IF($B62="","",IF(IF(N('Komisyon Tarifeleri'!AA62)&gt;='Komisyon Tarifeleri'!I62,'Komisyon Tarifeleri'!AA62,'Komisyon Tarifeleri'!I62)="","",IF(N('Komisyon Tarifeleri'!AA62)&gt;='Komisyon Tarifeleri'!I62,'Komisyon Tarifeleri'!AA62,'Komisyon Tarifeleri'!I62)))</f>
        <v/>
      </c>
      <c r="H62" s="11">
        <f>IF(G62="","",IF($AM$1=2,'Komisyon Tarifeleri'!U62,'Komisyon Tarifeleri'!P62))</f>
        <v/>
      </c>
      <c r="I62" s="10">
        <f>IF(OR(G62="",$D62=""),"",G62*(1-H62/100)-$D62-IF(G62&lt;=199.99,Kargo!$E$2,IF(G62&lt;=399.99,Kargo!$E$3,$F62)))</f>
        <v/>
      </c>
      <c r="J62" s="12">
        <f>IF(I62="","",I62/G62)</f>
        <v/>
      </c>
      <c r="K62" s="10">
        <f>IF($B62="","",IF('Komisyon Tarifeleri'!J62="","",'Komisyon Tarifeleri'!J62))</f>
        <v/>
      </c>
      <c r="L62" s="11">
        <f>IF(K62="","",IF($AM$1=2,'Komisyon Tarifeleri'!V62,'Komisyon Tarifeleri'!Q62))</f>
        <v/>
      </c>
      <c r="M62" s="10">
        <f>IF(OR(K62="",$D62=""),"",K62*(1-L62/100)-$D62-IF(K62&lt;=199.99,Kargo!$E$2,IF(K62&lt;=399.99,Kargo!$E$3,$F62)))</f>
        <v/>
      </c>
      <c r="N62" s="12">
        <f>IF(M62="","",M62/K62)</f>
        <v/>
      </c>
      <c r="O62" s="10">
        <f>IF($B62="","",IF('Komisyon Tarifeleri'!L62="","",'Komisyon Tarifeleri'!L62))</f>
        <v/>
      </c>
      <c r="P62" s="11">
        <f>IF(O62="","",IF($AM$1=2,'Komisyon Tarifeleri'!W62,'Komisyon Tarifeleri'!R62))</f>
        <v/>
      </c>
      <c r="Q62" s="10">
        <f>IF(OR(O62="",$D62=""),"",O62*(1-P62/100)-$D62-IF(O62&lt;=199.99,Kargo!$E$2,IF(O62&lt;=399.99,Kargo!$E$3,$F62)))</f>
        <v/>
      </c>
      <c r="R62" s="12">
        <f>IF(Q62="","",Q62/O62)</f>
        <v/>
      </c>
      <c r="S62" s="10">
        <f>IF($B62="","",IF('Komisyon Tarifeleri'!N62="","",'Komisyon Tarifeleri'!N62))</f>
        <v/>
      </c>
      <c r="T62" s="11">
        <f>IF(S62="","",IF($AM$1=2,'Komisyon Tarifeleri'!X62,'Komisyon Tarifeleri'!S62))</f>
        <v/>
      </c>
      <c r="U62" s="10">
        <f>IF(OR(S62="",$D62=""),"",S62*(1-T62/100)-$D62-IF(S62&lt;=199.99,Kargo!$E$2,IF(S62&lt;=399.99,Kargo!$E$3,$F62)))</f>
        <v/>
      </c>
      <c r="V62" s="12">
        <f>IF(U62="","",U62/S62)</f>
        <v/>
      </c>
      <c r="W62" s="12">
        <f>IF($B62="","",IFERROR(VLOOKUP($C62,Hedefler!$A:$C,2,FALSE),0.04))</f>
        <v/>
      </c>
      <c r="X62" s="12">
        <f>IF($B62="","",IFERROR(VLOOKUP($C62,Hedefler!$A:$C,3,FALSE),0.1))</f>
        <v/>
      </c>
      <c r="Y62" s="13">
        <f>IF($B62="","",IFERROR(VLOOKUP($B62,Maliyetler!$A:$E,5,FALSE),""))</f>
        <v/>
      </c>
      <c r="Z62" s="13">
        <f>IF(OR(Y62="",Y62=0),"",Y62-1)</f>
        <v/>
      </c>
      <c r="AA62" s="14">
        <f>IF(Z62="","",IF(Z62&gt;='Komisyon Tarifeleri'!I62,IF($AM$1=2,'Komisyon Tarifeleri'!U62,'Komisyon Tarifeleri'!P62),IF(Z62&gt;='Komisyon Tarifeleri'!K62,IF($AM$1=2,'Komisyon Tarifeleri'!V62,'Komisyon Tarifeleri'!Q62),IF(Z62&gt;='Komisyon Tarifeleri'!M62,IF($AM$1=2,'Komisyon Tarifeleri'!W62,'Komisyon Tarifeleri'!R62),IF($AM$1=2,'Komisyon Tarifeleri'!X62,'Komisyon Tarifeleri'!S62)))))</f>
        <v/>
      </c>
      <c r="AB62" s="13">
        <f>IF(OR(AA62="",$D62=""),"",Z62*(1-AA62/100)-$D62-IF(Z62&lt;=199.99,Kargo!$E$2,IF(Z62&lt;=399.99,Kargo!$E$3,$F62)))</f>
        <v/>
      </c>
      <c r="AC62" s="15">
        <f>IF(AB62="","",AB62/Z62)</f>
        <v/>
      </c>
      <c r="AD62" s="10">
        <f>IF(OR($D62="",$B62=""),"",IF(AND((1-T62/100-W62)&gt;0,CEILING(($D62+$F62)/(1-T62/100-W62),1)&lt;='Komisyon Tarifeleri'!N62),CEILING(($D62+$F62)/(1-T62/100-W62),1),IF(AND((1-P62/100-W62)&gt;0,CEILING(MAX('Komisyon Tarifeleri'!M62,($D62+$F62)/(1-P62/100-W62)),1)&lt;='Komisyon Tarifeleri'!L62),CEILING(MAX('Komisyon Tarifeleri'!M62,($D62+$F62)/(1-P62/100-W62)),1),IF(AND((1-L62/100-W62)&gt;0,CEILING(MAX('Komisyon Tarifeleri'!K62,($D62+$F62)/(1-L62/100-W62)),1)&lt;='Komisyon Tarifeleri'!J62),CEILING(MAX('Komisyon Tarifeleri'!K62,($D62+$F62)/(1-L62/100-W62)),1),IF((1-H62/100-W62)&gt;0,CEILING(MAX('Komisyon Tarifeleri'!I62,($D62+$F62)/(1-H62/100-W62)),1),"İMKÂNSIZ")))))</f>
        <v/>
      </c>
      <c r="AE62" s="10">
        <f>IF(OR($D62="",$B62=""),"",IF(AND((1-T62/100-X62)&gt;0,CEILING(($D62+$F62)/(1-T62/100-X62),1)&lt;='Komisyon Tarifeleri'!N62),CEILING(($D62+$F62)/(1-T62/100-X62),1),IF(AND((1-P62/100-X62)&gt;0,CEILING(MAX('Komisyon Tarifeleri'!M62,($D62+$F62)/(1-P62/100-X62)),1)&lt;='Komisyon Tarifeleri'!L62),CEILING(MAX('Komisyon Tarifeleri'!M62,($D62+$F62)/(1-P62/100-X62)),1),IF(AND((1-L62/100-X62)&gt;0,CEILING(MAX('Komisyon Tarifeleri'!K62,($D62+$F62)/(1-L62/100-X62)),1)&lt;='Komisyon Tarifeleri'!J62),CEILING(MAX('Komisyon Tarifeleri'!K62,($D62+$F62)/(1-L62/100-X62)),1),IF((1-H62/100-X62)&gt;0,CEILING(MAX('Komisyon Tarifeleri'!I62,($D62+$F62)/(1-H62/100-X62)),1),"İMKÂNSIZ")))))</f>
        <v/>
      </c>
      <c r="AF62" s="16">
        <f>IF($D62="","",IF(AND(Y62&lt;&gt;"",AC62&lt;&gt;"",AC62&gt;=W62),Z62,IF(Y62&lt;&gt;"",AD62,AE62)))</f>
        <v/>
      </c>
      <c r="AG62" s="16">
        <f>IF(OR(AF62="",AF62="İMKÂNSIZ"),"",AF62*(1-IF(AF62&gt;='Komisyon Tarifeleri'!I62,IF($AM$1=2,'Komisyon Tarifeleri'!U62,'Komisyon Tarifeleri'!P62),IF(AF62&gt;='Komisyon Tarifeleri'!K62,IF($AM$1=2,'Komisyon Tarifeleri'!V62,'Komisyon Tarifeleri'!Q62),IF(AF62&gt;='Komisyon Tarifeleri'!M62,IF($AM$1=2,'Komisyon Tarifeleri'!W62,'Komisyon Tarifeleri'!R62),IF($AM$1=2,'Komisyon Tarifeleri'!X62,'Komisyon Tarifeleri'!S62))))/100)-$D62-IF(AF62&lt;=199.99,Kargo!$E$2,IF(AF62&lt;=399.99,Kargo!$E$3,$F62)))</f>
        <v/>
      </c>
      <c r="AH62" s="17">
        <f>IF(AG62="","",AG62/AF62)</f>
        <v/>
      </c>
      <c r="AI62" s="18">
        <f>IF($D62="","",IF(Y62="","BUYBOX YOK → hedef kârla min fiyat",IF(AC62&gt;=W62,"✓ BUYBOX ALTINA GİR","BUYBOX ALTI KÂRSIZ → min kârlı fiyat")))</f>
        <v/>
      </c>
      <c r="AJ62" s="10">
        <f>IF($B62="","",IFERROR(VLOOKUP($B62,Maliyetler!$A:$G,6,FALSE),""))</f>
        <v/>
      </c>
      <c r="AK62">
        <f>IF($B62="","",IFERROR(VLOOKUP($B62,Maliyetler!$A:$G,7,FALSE),""))</f>
        <v/>
      </c>
      <c r="AO62" s="21">
        <f>IF($B62="","",IFERROR(VLOOKUP($B62&amp;"",'Plus Tarifeleri'!$C:$Q,11,FALSE),""))</f>
        <v/>
      </c>
      <c r="AP62" s="22">
        <f>IF(AO62="","",IFERROR(IF($AM$1=2,VLOOKUP($B62&amp;"",'Plus Tarifeleri'!$C:$Q,15,FALSE),VLOOKUP($B62&amp;"",'Plus Tarifeleri'!$C:$Q,13,FALSE)),""))</f>
        <v/>
      </c>
      <c r="AQ62" s="21">
        <f>IF(OR(AO62="",AP62="",$D62=""),"",AO62*(1-AP62/100)-$D62-IF(AO62&lt;=199.99,Kargo!$E$2,IF(AO62&lt;=399.99,Kargo!$E$3,$F62)))</f>
        <v/>
      </c>
      <c r="AR62" s="23">
        <f>IF(AQ62="","",AQ62/AO62)</f>
        <v/>
      </c>
      <c r="AS62" s="24">
        <f>IF(OR(AQ62="",AG62=""),"",AQ62-AG62)</f>
        <v/>
      </c>
    </row>
    <row r="63">
      <c r="A63">
        <f>IF('Komisyon Tarifeleri'!A63="","",'Komisyon Tarifeleri'!A63)</f>
        <v/>
      </c>
      <c r="B63">
        <f>IF('Komisyon Tarifeleri'!B63="","",'Komisyon Tarifeleri'!B63&amp;"")</f>
        <v/>
      </c>
      <c r="C63">
        <f>IF($B63="","",'Komisyon Tarifeleri'!F63)</f>
        <v/>
      </c>
      <c r="D63" s="10">
        <f>IF($B63="","",IFERROR(VLOOKUP($B63,Maliyetler!$A:$E,3,FALSE),""))</f>
        <v/>
      </c>
      <c r="E63">
        <f>IF($B63="","",IFERROR(VLOOKUP($B63,Maliyetler!$A:$E,4,FALSE),1))</f>
        <v/>
      </c>
      <c r="F63" s="10">
        <f>IF($B63="","",IFERROR(VLOOKUP(MIN(20,MAX(1,ROUND($E63,0))),Kargo!$A:$B,2,FALSE),99.46))</f>
        <v/>
      </c>
      <c r="G63" s="10">
        <f>IF($B63="","",IF(IF(N('Komisyon Tarifeleri'!AA63)&gt;='Komisyon Tarifeleri'!I63,'Komisyon Tarifeleri'!AA63,'Komisyon Tarifeleri'!I63)="","",IF(N('Komisyon Tarifeleri'!AA63)&gt;='Komisyon Tarifeleri'!I63,'Komisyon Tarifeleri'!AA63,'Komisyon Tarifeleri'!I63)))</f>
        <v/>
      </c>
      <c r="H63" s="11">
        <f>IF(G63="","",IF($AM$1=2,'Komisyon Tarifeleri'!U63,'Komisyon Tarifeleri'!P63))</f>
        <v/>
      </c>
      <c r="I63" s="10">
        <f>IF(OR(G63="",$D63=""),"",G63*(1-H63/100)-$D63-IF(G63&lt;=199.99,Kargo!$E$2,IF(G63&lt;=399.99,Kargo!$E$3,$F63)))</f>
        <v/>
      </c>
      <c r="J63" s="12">
        <f>IF(I63="","",I63/G63)</f>
        <v/>
      </c>
      <c r="K63" s="10">
        <f>IF($B63="","",IF('Komisyon Tarifeleri'!J63="","",'Komisyon Tarifeleri'!J63))</f>
        <v/>
      </c>
      <c r="L63" s="11">
        <f>IF(K63="","",IF($AM$1=2,'Komisyon Tarifeleri'!V63,'Komisyon Tarifeleri'!Q63))</f>
        <v/>
      </c>
      <c r="M63" s="10">
        <f>IF(OR(K63="",$D63=""),"",K63*(1-L63/100)-$D63-IF(K63&lt;=199.99,Kargo!$E$2,IF(K63&lt;=399.99,Kargo!$E$3,$F63)))</f>
        <v/>
      </c>
      <c r="N63" s="12">
        <f>IF(M63="","",M63/K63)</f>
        <v/>
      </c>
      <c r="O63" s="10">
        <f>IF($B63="","",IF('Komisyon Tarifeleri'!L63="","",'Komisyon Tarifeleri'!L63))</f>
        <v/>
      </c>
      <c r="P63" s="11">
        <f>IF(O63="","",IF($AM$1=2,'Komisyon Tarifeleri'!W63,'Komisyon Tarifeleri'!R63))</f>
        <v/>
      </c>
      <c r="Q63" s="10">
        <f>IF(OR(O63="",$D63=""),"",O63*(1-P63/100)-$D63-IF(O63&lt;=199.99,Kargo!$E$2,IF(O63&lt;=399.99,Kargo!$E$3,$F63)))</f>
        <v/>
      </c>
      <c r="R63" s="12">
        <f>IF(Q63="","",Q63/O63)</f>
        <v/>
      </c>
      <c r="S63" s="10">
        <f>IF($B63="","",IF('Komisyon Tarifeleri'!N63="","",'Komisyon Tarifeleri'!N63))</f>
        <v/>
      </c>
      <c r="T63" s="11">
        <f>IF(S63="","",IF($AM$1=2,'Komisyon Tarifeleri'!X63,'Komisyon Tarifeleri'!S63))</f>
        <v/>
      </c>
      <c r="U63" s="10">
        <f>IF(OR(S63="",$D63=""),"",S63*(1-T63/100)-$D63-IF(S63&lt;=199.99,Kargo!$E$2,IF(S63&lt;=399.99,Kargo!$E$3,$F63)))</f>
        <v/>
      </c>
      <c r="V63" s="12">
        <f>IF(U63="","",U63/S63)</f>
        <v/>
      </c>
      <c r="W63" s="12">
        <f>IF($B63="","",IFERROR(VLOOKUP($C63,Hedefler!$A:$C,2,FALSE),0.04))</f>
        <v/>
      </c>
      <c r="X63" s="12">
        <f>IF($B63="","",IFERROR(VLOOKUP($C63,Hedefler!$A:$C,3,FALSE),0.1))</f>
        <v/>
      </c>
      <c r="Y63" s="13">
        <f>IF($B63="","",IFERROR(VLOOKUP($B63,Maliyetler!$A:$E,5,FALSE),""))</f>
        <v/>
      </c>
      <c r="Z63" s="13">
        <f>IF(OR(Y63="",Y63=0),"",Y63-1)</f>
        <v/>
      </c>
      <c r="AA63" s="14">
        <f>IF(Z63="","",IF(Z63&gt;='Komisyon Tarifeleri'!I63,IF($AM$1=2,'Komisyon Tarifeleri'!U63,'Komisyon Tarifeleri'!P63),IF(Z63&gt;='Komisyon Tarifeleri'!K63,IF($AM$1=2,'Komisyon Tarifeleri'!V63,'Komisyon Tarifeleri'!Q63),IF(Z63&gt;='Komisyon Tarifeleri'!M63,IF($AM$1=2,'Komisyon Tarifeleri'!W63,'Komisyon Tarifeleri'!R63),IF($AM$1=2,'Komisyon Tarifeleri'!X63,'Komisyon Tarifeleri'!S63)))))</f>
        <v/>
      </c>
      <c r="AB63" s="13">
        <f>IF(OR(AA63="",$D63=""),"",Z63*(1-AA63/100)-$D63-IF(Z63&lt;=199.99,Kargo!$E$2,IF(Z63&lt;=399.99,Kargo!$E$3,$F63)))</f>
        <v/>
      </c>
      <c r="AC63" s="15">
        <f>IF(AB63="","",AB63/Z63)</f>
        <v/>
      </c>
      <c r="AD63" s="10">
        <f>IF(OR($D63="",$B63=""),"",IF(AND((1-T63/100-W63)&gt;0,CEILING(($D63+$F63)/(1-T63/100-W63),1)&lt;='Komisyon Tarifeleri'!N63),CEILING(($D63+$F63)/(1-T63/100-W63),1),IF(AND((1-P63/100-W63)&gt;0,CEILING(MAX('Komisyon Tarifeleri'!M63,($D63+$F63)/(1-P63/100-W63)),1)&lt;='Komisyon Tarifeleri'!L63),CEILING(MAX('Komisyon Tarifeleri'!M63,($D63+$F63)/(1-P63/100-W63)),1),IF(AND((1-L63/100-W63)&gt;0,CEILING(MAX('Komisyon Tarifeleri'!K63,($D63+$F63)/(1-L63/100-W63)),1)&lt;='Komisyon Tarifeleri'!J63),CEILING(MAX('Komisyon Tarifeleri'!K63,($D63+$F63)/(1-L63/100-W63)),1),IF((1-H63/100-W63)&gt;0,CEILING(MAX('Komisyon Tarifeleri'!I63,($D63+$F63)/(1-H63/100-W63)),1),"İMKÂNSIZ")))))</f>
        <v/>
      </c>
      <c r="AE63" s="10">
        <f>IF(OR($D63="",$B63=""),"",IF(AND((1-T63/100-X63)&gt;0,CEILING(($D63+$F63)/(1-T63/100-X63),1)&lt;='Komisyon Tarifeleri'!N63),CEILING(($D63+$F63)/(1-T63/100-X63),1),IF(AND((1-P63/100-X63)&gt;0,CEILING(MAX('Komisyon Tarifeleri'!M63,($D63+$F63)/(1-P63/100-X63)),1)&lt;='Komisyon Tarifeleri'!L63),CEILING(MAX('Komisyon Tarifeleri'!M63,($D63+$F63)/(1-P63/100-X63)),1),IF(AND((1-L63/100-X63)&gt;0,CEILING(MAX('Komisyon Tarifeleri'!K63,($D63+$F63)/(1-L63/100-X63)),1)&lt;='Komisyon Tarifeleri'!J63),CEILING(MAX('Komisyon Tarifeleri'!K63,($D63+$F63)/(1-L63/100-X63)),1),IF((1-H63/100-X63)&gt;0,CEILING(MAX('Komisyon Tarifeleri'!I63,($D63+$F63)/(1-H63/100-X63)),1),"İMKÂNSIZ")))))</f>
        <v/>
      </c>
      <c r="AF63" s="16">
        <f>IF($D63="","",IF(AND(Y63&lt;&gt;"",AC63&lt;&gt;"",AC63&gt;=W63),Z63,IF(Y63&lt;&gt;"",AD63,AE63)))</f>
        <v/>
      </c>
      <c r="AG63" s="16">
        <f>IF(OR(AF63="",AF63="İMKÂNSIZ"),"",AF63*(1-IF(AF63&gt;='Komisyon Tarifeleri'!I63,IF($AM$1=2,'Komisyon Tarifeleri'!U63,'Komisyon Tarifeleri'!P63),IF(AF63&gt;='Komisyon Tarifeleri'!K63,IF($AM$1=2,'Komisyon Tarifeleri'!V63,'Komisyon Tarifeleri'!Q63),IF(AF63&gt;='Komisyon Tarifeleri'!M63,IF($AM$1=2,'Komisyon Tarifeleri'!W63,'Komisyon Tarifeleri'!R63),IF($AM$1=2,'Komisyon Tarifeleri'!X63,'Komisyon Tarifeleri'!S63))))/100)-$D63-IF(AF63&lt;=199.99,Kargo!$E$2,IF(AF63&lt;=399.99,Kargo!$E$3,$F63)))</f>
        <v/>
      </c>
      <c r="AH63" s="17">
        <f>IF(AG63="","",AG63/AF63)</f>
        <v/>
      </c>
      <c r="AI63" s="18">
        <f>IF($D63="","",IF(Y63="","BUYBOX YOK → hedef kârla min fiyat",IF(AC63&gt;=W63,"✓ BUYBOX ALTINA GİR","BUYBOX ALTI KÂRSIZ → min kârlı fiyat")))</f>
        <v/>
      </c>
      <c r="AJ63" s="10">
        <f>IF($B63="","",IFERROR(VLOOKUP($B63,Maliyetler!$A:$G,6,FALSE),""))</f>
        <v/>
      </c>
      <c r="AK63">
        <f>IF($B63="","",IFERROR(VLOOKUP($B63,Maliyetler!$A:$G,7,FALSE),""))</f>
        <v/>
      </c>
      <c r="AO63" s="21">
        <f>IF($B63="","",IFERROR(VLOOKUP($B63&amp;"",'Plus Tarifeleri'!$C:$Q,11,FALSE),""))</f>
        <v/>
      </c>
      <c r="AP63" s="22">
        <f>IF(AO63="","",IFERROR(IF($AM$1=2,VLOOKUP($B63&amp;"",'Plus Tarifeleri'!$C:$Q,15,FALSE),VLOOKUP($B63&amp;"",'Plus Tarifeleri'!$C:$Q,13,FALSE)),""))</f>
        <v/>
      </c>
      <c r="AQ63" s="21">
        <f>IF(OR(AO63="",AP63="",$D63=""),"",AO63*(1-AP63/100)-$D63-IF(AO63&lt;=199.99,Kargo!$E$2,IF(AO63&lt;=399.99,Kargo!$E$3,$F63)))</f>
        <v/>
      </c>
      <c r="AR63" s="23">
        <f>IF(AQ63="","",AQ63/AO63)</f>
        <v/>
      </c>
      <c r="AS63" s="24">
        <f>IF(OR(AQ63="",AG63=""),"",AQ63-AG63)</f>
        <v/>
      </c>
    </row>
    <row r="64">
      <c r="A64">
        <f>IF('Komisyon Tarifeleri'!A64="","",'Komisyon Tarifeleri'!A64)</f>
        <v/>
      </c>
      <c r="B64">
        <f>IF('Komisyon Tarifeleri'!B64="","",'Komisyon Tarifeleri'!B64&amp;"")</f>
        <v/>
      </c>
      <c r="C64">
        <f>IF($B64="","",'Komisyon Tarifeleri'!F64)</f>
        <v/>
      </c>
      <c r="D64" s="10">
        <f>IF($B64="","",IFERROR(VLOOKUP($B64,Maliyetler!$A:$E,3,FALSE),""))</f>
        <v/>
      </c>
      <c r="E64">
        <f>IF($B64="","",IFERROR(VLOOKUP($B64,Maliyetler!$A:$E,4,FALSE),1))</f>
        <v/>
      </c>
      <c r="F64" s="10">
        <f>IF($B64="","",IFERROR(VLOOKUP(MIN(20,MAX(1,ROUND($E64,0))),Kargo!$A:$B,2,FALSE),99.46))</f>
        <v/>
      </c>
      <c r="G64" s="10">
        <f>IF($B64="","",IF(IF(N('Komisyon Tarifeleri'!AA64)&gt;='Komisyon Tarifeleri'!I64,'Komisyon Tarifeleri'!AA64,'Komisyon Tarifeleri'!I64)="","",IF(N('Komisyon Tarifeleri'!AA64)&gt;='Komisyon Tarifeleri'!I64,'Komisyon Tarifeleri'!AA64,'Komisyon Tarifeleri'!I64)))</f>
        <v/>
      </c>
      <c r="H64" s="11">
        <f>IF(G64="","",IF($AM$1=2,'Komisyon Tarifeleri'!U64,'Komisyon Tarifeleri'!P64))</f>
        <v/>
      </c>
      <c r="I64" s="10">
        <f>IF(OR(G64="",$D64=""),"",G64*(1-H64/100)-$D64-IF(G64&lt;=199.99,Kargo!$E$2,IF(G64&lt;=399.99,Kargo!$E$3,$F64)))</f>
        <v/>
      </c>
      <c r="J64" s="12">
        <f>IF(I64="","",I64/G64)</f>
        <v/>
      </c>
      <c r="K64" s="10">
        <f>IF($B64="","",IF('Komisyon Tarifeleri'!J64="","",'Komisyon Tarifeleri'!J64))</f>
        <v/>
      </c>
      <c r="L64" s="11">
        <f>IF(K64="","",IF($AM$1=2,'Komisyon Tarifeleri'!V64,'Komisyon Tarifeleri'!Q64))</f>
        <v/>
      </c>
      <c r="M64" s="10">
        <f>IF(OR(K64="",$D64=""),"",K64*(1-L64/100)-$D64-IF(K64&lt;=199.99,Kargo!$E$2,IF(K64&lt;=399.99,Kargo!$E$3,$F64)))</f>
        <v/>
      </c>
      <c r="N64" s="12">
        <f>IF(M64="","",M64/K64)</f>
        <v/>
      </c>
      <c r="O64" s="10">
        <f>IF($B64="","",IF('Komisyon Tarifeleri'!L64="","",'Komisyon Tarifeleri'!L64))</f>
        <v/>
      </c>
      <c r="P64" s="11">
        <f>IF(O64="","",IF($AM$1=2,'Komisyon Tarifeleri'!W64,'Komisyon Tarifeleri'!R64))</f>
        <v/>
      </c>
      <c r="Q64" s="10">
        <f>IF(OR(O64="",$D64=""),"",O64*(1-P64/100)-$D64-IF(O64&lt;=199.99,Kargo!$E$2,IF(O64&lt;=399.99,Kargo!$E$3,$F64)))</f>
        <v/>
      </c>
      <c r="R64" s="12">
        <f>IF(Q64="","",Q64/O64)</f>
        <v/>
      </c>
      <c r="S64" s="10">
        <f>IF($B64="","",IF('Komisyon Tarifeleri'!N64="","",'Komisyon Tarifeleri'!N64))</f>
        <v/>
      </c>
      <c r="T64" s="11">
        <f>IF(S64="","",IF($AM$1=2,'Komisyon Tarifeleri'!X64,'Komisyon Tarifeleri'!S64))</f>
        <v/>
      </c>
      <c r="U64" s="10">
        <f>IF(OR(S64="",$D64=""),"",S64*(1-T64/100)-$D64-IF(S64&lt;=199.99,Kargo!$E$2,IF(S64&lt;=399.99,Kargo!$E$3,$F64)))</f>
        <v/>
      </c>
      <c r="V64" s="12">
        <f>IF(U64="","",U64/S64)</f>
        <v/>
      </c>
      <c r="W64" s="12">
        <f>IF($B64="","",IFERROR(VLOOKUP($C64,Hedefler!$A:$C,2,FALSE),0.04))</f>
        <v/>
      </c>
      <c r="X64" s="12">
        <f>IF($B64="","",IFERROR(VLOOKUP($C64,Hedefler!$A:$C,3,FALSE),0.1))</f>
        <v/>
      </c>
      <c r="Y64" s="13">
        <f>IF($B64="","",IFERROR(VLOOKUP($B64,Maliyetler!$A:$E,5,FALSE),""))</f>
        <v/>
      </c>
      <c r="Z64" s="13">
        <f>IF(OR(Y64="",Y64=0),"",Y64-1)</f>
        <v/>
      </c>
      <c r="AA64" s="14">
        <f>IF(Z64="","",IF(Z64&gt;='Komisyon Tarifeleri'!I64,IF($AM$1=2,'Komisyon Tarifeleri'!U64,'Komisyon Tarifeleri'!P64),IF(Z64&gt;='Komisyon Tarifeleri'!K64,IF($AM$1=2,'Komisyon Tarifeleri'!V64,'Komisyon Tarifeleri'!Q64),IF(Z64&gt;='Komisyon Tarifeleri'!M64,IF($AM$1=2,'Komisyon Tarifeleri'!W64,'Komisyon Tarifeleri'!R64),IF($AM$1=2,'Komisyon Tarifeleri'!X64,'Komisyon Tarifeleri'!S64)))))</f>
        <v/>
      </c>
      <c r="AB64" s="13">
        <f>IF(OR(AA64="",$D64=""),"",Z64*(1-AA64/100)-$D64-IF(Z64&lt;=199.99,Kargo!$E$2,IF(Z64&lt;=399.99,Kargo!$E$3,$F64)))</f>
        <v/>
      </c>
      <c r="AC64" s="15">
        <f>IF(AB64="","",AB64/Z64)</f>
        <v/>
      </c>
      <c r="AD64" s="10">
        <f>IF(OR($D64="",$B64=""),"",IF(AND((1-T64/100-W64)&gt;0,CEILING(($D64+$F64)/(1-T64/100-W64),1)&lt;='Komisyon Tarifeleri'!N64),CEILING(($D64+$F64)/(1-T64/100-W64),1),IF(AND((1-P64/100-W64)&gt;0,CEILING(MAX('Komisyon Tarifeleri'!M64,($D64+$F64)/(1-P64/100-W64)),1)&lt;='Komisyon Tarifeleri'!L64),CEILING(MAX('Komisyon Tarifeleri'!M64,($D64+$F64)/(1-P64/100-W64)),1),IF(AND((1-L64/100-W64)&gt;0,CEILING(MAX('Komisyon Tarifeleri'!K64,($D64+$F64)/(1-L64/100-W64)),1)&lt;='Komisyon Tarifeleri'!J64),CEILING(MAX('Komisyon Tarifeleri'!K64,($D64+$F64)/(1-L64/100-W64)),1),IF((1-H64/100-W64)&gt;0,CEILING(MAX('Komisyon Tarifeleri'!I64,($D64+$F64)/(1-H64/100-W64)),1),"İMKÂNSIZ")))))</f>
        <v/>
      </c>
      <c r="AE64" s="10">
        <f>IF(OR($D64="",$B64=""),"",IF(AND((1-T64/100-X64)&gt;0,CEILING(($D64+$F64)/(1-T64/100-X64),1)&lt;='Komisyon Tarifeleri'!N64),CEILING(($D64+$F64)/(1-T64/100-X64),1),IF(AND((1-P64/100-X64)&gt;0,CEILING(MAX('Komisyon Tarifeleri'!M64,($D64+$F64)/(1-P64/100-X64)),1)&lt;='Komisyon Tarifeleri'!L64),CEILING(MAX('Komisyon Tarifeleri'!M64,($D64+$F64)/(1-P64/100-X64)),1),IF(AND((1-L64/100-X64)&gt;0,CEILING(MAX('Komisyon Tarifeleri'!K64,($D64+$F64)/(1-L64/100-X64)),1)&lt;='Komisyon Tarifeleri'!J64),CEILING(MAX('Komisyon Tarifeleri'!K64,($D64+$F64)/(1-L64/100-X64)),1),IF((1-H64/100-X64)&gt;0,CEILING(MAX('Komisyon Tarifeleri'!I64,($D64+$F64)/(1-H64/100-X64)),1),"İMKÂNSIZ")))))</f>
        <v/>
      </c>
      <c r="AF64" s="16">
        <f>IF($D64="","",IF(AND(Y64&lt;&gt;"",AC64&lt;&gt;"",AC64&gt;=W64),Z64,IF(Y64&lt;&gt;"",AD64,AE64)))</f>
        <v/>
      </c>
      <c r="AG64" s="16">
        <f>IF(OR(AF64="",AF64="İMKÂNSIZ"),"",AF64*(1-IF(AF64&gt;='Komisyon Tarifeleri'!I64,IF($AM$1=2,'Komisyon Tarifeleri'!U64,'Komisyon Tarifeleri'!P64),IF(AF64&gt;='Komisyon Tarifeleri'!K64,IF($AM$1=2,'Komisyon Tarifeleri'!V64,'Komisyon Tarifeleri'!Q64),IF(AF64&gt;='Komisyon Tarifeleri'!M64,IF($AM$1=2,'Komisyon Tarifeleri'!W64,'Komisyon Tarifeleri'!R64),IF($AM$1=2,'Komisyon Tarifeleri'!X64,'Komisyon Tarifeleri'!S64))))/100)-$D64-IF(AF64&lt;=199.99,Kargo!$E$2,IF(AF64&lt;=399.99,Kargo!$E$3,$F64)))</f>
        <v/>
      </c>
      <c r="AH64" s="17">
        <f>IF(AG64="","",AG64/AF64)</f>
        <v/>
      </c>
      <c r="AI64" s="18">
        <f>IF($D64="","",IF(Y64="","BUYBOX YOK → hedef kârla min fiyat",IF(AC64&gt;=W64,"✓ BUYBOX ALTINA GİR","BUYBOX ALTI KÂRSIZ → min kârlı fiyat")))</f>
        <v/>
      </c>
      <c r="AJ64" s="10">
        <f>IF($B64="","",IFERROR(VLOOKUP($B64,Maliyetler!$A:$G,6,FALSE),""))</f>
        <v/>
      </c>
      <c r="AK64">
        <f>IF($B64="","",IFERROR(VLOOKUP($B64,Maliyetler!$A:$G,7,FALSE),""))</f>
        <v/>
      </c>
      <c r="AO64" s="21">
        <f>IF($B64="","",IFERROR(VLOOKUP($B64&amp;"",'Plus Tarifeleri'!$C:$Q,11,FALSE),""))</f>
        <v/>
      </c>
      <c r="AP64" s="22">
        <f>IF(AO64="","",IFERROR(IF($AM$1=2,VLOOKUP($B64&amp;"",'Plus Tarifeleri'!$C:$Q,15,FALSE),VLOOKUP($B64&amp;"",'Plus Tarifeleri'!$C:$Q,13,FALSE)),""))</f>
        <v/>
      </c>
      <c r="AQ64" s="21">
        <f>IF(OR(AO64="",AP64="",$D64=""),"",AO64*(1-AP64/100)-$D64-IF(AO64&lt;=199.99,Kargo!$E$2,IF(AO64&lt;=399.99,Kargo!$E$3,$F64)))</f>
        <v/>
      </c>
      <c r="AR64" s="23">
        <f>IF(AQ64="","",AQ64/AO64)</f>
        <v/>
      </c>
      <c r="AS64" s="24">
        <f>IF(OR(AQ64="",AG64=""),"",AQ64-AG64)</f>
        <v/>
      </c>
    </row>
    <row r="65">
      <c r="A65">
        <f>IF('Komisyon Tarifeleri'!A65="","",'Komisyon Tarifeleri'!A65)</f>
        <v/>
      </c>
      <c r="B65">
        <f>IF('Komisyon Tarifeleri'!B65="","",'Komisyon Tarifeleri'!B65&amp;"")</f>
        <v/>
      </c>
      <c r="C65">
        <f>IF($B65="","",'Komisyon Tarifeleri'!F65)</f>
        <v/>
      </c>
      <c r="D65" s="10">
        <f>IF($B65="","",IFERROR(VLOOKUP($B65,Maliyetler!$A:$E,3,FALSE),""))</f>
        <v/>
      </c>
      <c r="E65">
        <f>IF($B65="","",IFERROR(VLOOKUP($B65,Maliyetler!$A:$E,4,FALSE),1))</f>
        <v/>
      </c>
      <c r="F65" s="10">
        <f>IF($B65="","",IFERROR(VLOOKUP(MIN(20,MAX(1,ROUND($E65,0))),Kargo!$A:$B,2,FALSE),99.46))</f>
        <v/>
      </c>
      <c r="G65" s="10">
        <f>IF($B65="","",IF(IF(N('Komisyon Tarifeleri'!AA65)&gt;='Komisyon Tarifeleri'!I65,'Komisyon Tarifeleri'!AA65,'Komisyon Tarifeleri'!I65)="","",IF(N('Komisyon Tarifeleri'!AA65)&gt;='Komisyon Tarifeleri'!I65,'Komisyon Tarifeleri'!AA65,'Komisyon Tarifeleri'!I65)))</f>
        <v/>
      </c>
      <c r="H65" s="11">
        <f>IF(G65="","",IF($AM$1=2,'Komisyon Tarifeleri'!U65,'Komisyon Tarifeleri'!P65))</f>
        <v/>
      </c>
      <c r="I65" s="10">
        <f>IF(OR(G65="",$D65=""),"",G65*(1-H65/100)-$D65-IF(G65&lt;=199.99,Kargo!$E$2,IF(G65&lt;=399.99,Kargo!$E$3,$F65)))</f>
        <v/>
      </c>
      <c r="J65" s="12">
        <f>IF(I65="","",I65/G65)</f>
        <v/>
      </c>
      <c r="K65" s="10">
        <f>IF($B65="","",IF('Komisyon Tarifeleri'!J65="","",'Komisyon Tarifeleri'!J65))</f>
        <v/>
      </c>
      <c r="L65" s="11">
        <f>IF(K65="","",IF($AM$1=2,'Komisyon Tarifeleri'!V65,'Komisyon Tarifeleri'!Q65))</f>
        <v/>
      </c>
      <c r="M65" s="10">
        <f>IF(OR(K65="",$D65=""),"",K65*(1-L65/100)-$D65-IF(K65&lt;=199.99,Kargo!$E$2,IF(K65&lt;=399.99,Kargo!$E$3,$F65)))</f>
        <v/>
      </c>
      <c r="N65" s="12">
        <f>IF(M65="","",M65/K65)</f>
        <v/>
      </c>
      <c r="O65" s="10">
        <f>IF($B65="","",IF('Komisyon Tarifeleri'!L65="","",'Komisyon Tarifeleri'!L65))</f>
        <v/>
      </c>
      <c r="P65" s="11">
        <f>IF(O65="","",IF($AM$1=2,'Komisyon Tarifeleri'!W65,'Komisyon Tarifeleri'!R65))</f>
        <v/>
      </c>
      <c r="Q65" s="10">
        <f>IF(OR(O65="",$D65=""),"",O65*(1-P65/100)-$D65-IF(O65&lt;=199.99,Kargo!$E$2,IF(O65&lt;=399.99,Kargo!$E$3,$F65)))</f>
        <v/>
      </c>
      <c r="R65" s="12">
        <f>IF(Q65="","",Q65/O65)</f>
        <v/>
      </c>
      <c r="S65" s="10">
        <f>IF($B65="","",IF('Komisyon Tarifeleri'!N65="","",'Komisyon Tarifeleri'!N65))</f>
        <v/>
      </c>
      <c r="T65" s="11">
        <f>IF(S65="","",IF($AM$1=2,'Komisyon Tarifeleri'!X65,'Komisyon Tarifeleri'!S65))</f>
        <v/>
      </c>
      <c r="U65" s="10">
        <f>IF(OR(S65="",$D65=""),"",S65*(1-T65/100)-$D65-IF(S65&lt;=199.99,Kargo!$E$2,IF(S65&lt;=399.99,Kargo!$E$3,$F65)))</f>
        <v/>
      </c>
      <c r="V65" s="12">
        <f>IF(U65="","",U65/S65)</f>
        <v/>
      </c>
      <c r="W65" s="12">
        <f>IF($B65="","",IFERROR(VLOOKUP($C65,Hedefler!$A:$C,2,FALSE),0.04))</f>
        <v/>
      </c>
      <c r="X65" s="12">
        <f>IF($B65="","",IFERROR(VLOOKUP($C65,Hedefler!$A:$C,3,FALSE),0.1))</f>
        <v/>
      </c>
      <c r="Y65" s="13">
        <f>IF($B65="","",IFERROR(VLOOKUP($B65,Maliyetler!$A:$E,5,FALSE),""))</f>
        <v/>
      </c>
      <c r="Z65" s="13">
        <f>IF(OR(Y65="",Y65=0),"",Y65-1)</f>
        <v/>
      </c>
      <c r="AA65" s="14">
        <f>IF(Z65="","",IF(Z65&gt;='Komisyon Tarifeleri'!I65,IF($AM$1=2,'Komisyon Tarifeleri'!U65,'Komisyon Tarifeleri'!P65),IF(Z65&gt;='Komisyon Tarifeleri'!K65,IF($AM$1=2,'Komisyon Tarifeleri'!V65,'Komisyon Tarifeleri'!Q65),IF(Z65&gt;='Komisyon Tarifeleri'!M65,IF($AM$1=2,'Komisyon Tarifeleri'!W65,'Komisyon Tarifeleri'!R65),IF($AM$1=2,'Komisyon Tarifeleri'!X65,'Komisyon Tarifeleri'!S65)))))</f>
        <v/>
      </c>
      <c r="AB65" s="13">
        <f>IF(OR(AA65="",$D65=""),"",Z65*(1-AA65/100)-$D65-IF(Z65&lt;=199.99,Kargo!$E$2,IF(Z65&lt;=399.99,Kargo!$E$3,$F65)))</f>
        <v/>
      </c>
      <c r="AC65" s="15">
        <f>IF(AB65="","",AB65/Z65)</f>
        <v/>
      </c>
      <c r="AD65" s="10">
        <f>IF(OR($D65="",$B65=""),"",IF(AND((1-T65/100-W65)&gt;0,CEILING(($D65+$F65)/(1-T65/100-W65),1)&lt;='Komisyon Tarifeleri'!N65),CEILING(($D65+$F65)/(1-T65/100-W65),1),IF(AND((1-P65/100-W65)&gt;0,CEILING(MAX('Komisyon Tarifeleri'!M65,($D65+$F65)/(1-P65/100-W65)),1)&lt;='Komisyon Tarifeleri'!L65),CEILING(MAX('Komisyon Tarifeleri'!M65,($D65+$F65)/(1-P65/100-W65)),1),IF(AND((1-L65/100-W65)&gt;0,CEILING(MAX('Komisyon Tarifeleri'!K65,($D65+$F65)/(1-L65/100-W65)),1)&lt;='Komisyon Tarifeleri'!J65),CEILING(MAX('Komisyon Tarifeleri'!K65,($D65+$F65)/(1-L65/100-W65)),1),IF((1-H65/100-W65)&gt;0,CEILING(MAX('Komisyon Tarifeleri'!I65,($D65+$F65)/(1-H65/100-W65)),1),"İMKÂNSIZ")))))</f>
        <v/>
      </c>
      <c r="AE65" s="10">
        <f>IF(OR($D65="",$B65=""),"",IF(AND((1-T65/100-X65)&gt;0,CEILING(($D65+$F65)/(1-T65/100-X65),1)&lt;='Komisyon Tarifeleri'!N65),CEILING(($D65+$F65)/(1-T65/100-X65),1),IF(AND((1-P65/100-X65)&gt;0,CEILING(MAX('Komisyon Tarifeleri'!M65,($D65+$F65)/(1-P65/100-X65)),1)&lt;='Komisyon Tarifeleri'!L65),CEILING(MAX('Komisyon Tarifeleri'!M65,($D65+$F65)/(1-P65/100-X65)),1),IF(AND((1-L65/100-X65)&gt;0,CEILING(MAX('Komisyon Tarifeleri'!K65,($D65+$F65)/(1-L65/100-X65)),1)&lt;='Komisyon Tarifeleri'!J65),CEILING(MAX('Komisyon Tarifeleri'!K65,($D65+$F65)/(1-L65/100-X65)),1),IF((1-H65/100-X65)&gt;0,CEILING(MAX('Komisyon Tarifeleri'!I65,($D65+$F65)/(1-H65/100-X65)),1),"İMKÂNSIZ")))))</f>
        <v/>
      </c>
      <c r="AF65" s="16">
        <f>IF($D65="","",IF(AND(Y65&lt;&gt;"",AC65&lt;&gt;"",AC65&gt;=W65),Z65,IF(Y65&lt;&gt;"",AD65,AE65)))</f>
        <v/>
      </c>
      <c r="AG65" s="16">
        <f>IF(OR(AF65="",AF65="İMKÂNSIZ"),"",AF65*(1-IF(AF65&gt;='Komisyon Tarifeleri'!I65,IF($AM$1=2,'Komisyon Tarifeleri'!U65,'Komisyon Tarifeleri'!P65),IF(AF65&gt;='Komisyon Tarifeleri'!K65,IF($AM$1=2,'Komisyon Tarifeleri'!V65,'Komisyon Tarifeleri'!Q65),IF(AF65&gt;='Komisyon Tarifeleri'!M65,IF($AM$1=2,'Komisyon Tarifeleri'!W65,'Komisyon Tarifeleri'!R65),IF($AM$1=2,'Komisyon Tarifeleri'!X65,'Komisyon Tarifeleri'!S65))))/100)-$D65-IF(AF65&lt;=199.99,Kargo!$E$2,IF(AF65&lt;=399.99,Kargo!$E$3,$F65)))</f>
        <v/>
      </c>
      <c r="AH65" s="17">
        <f>IF(AG65="","",AG65/AF65)</f>
        <v/>
      </c>
      <c r="AI65" s="18">
        <f>IF($D65="","",IF(Y65="","BUYBOX YOK → hedef kârla min fiyat",IF(AC65&gt;=W65,"✓ BUYBOX ALTINA GİR","BUYBOX ALTI KÂRSIZ → min kârlı fiyat")))</f>
        <v/>
      </c>
      <c r="AJ65" s="10">
        <f>IF($B65="","",IFERROR(VLOOKUP($B65,Maliyetler!$A:$G,6,FALSE),""))</f>
        <v/>
      </c>
      <c r="AK65">
        <f>IF($B65="","",IFERROR(VLOOKUP($B65,Maliyetler!$A:$G,7,FALSE),""))</f>
        <v/>
      </c>
      <c r="AO65" s="21">
        <f>IF($B65="","",IFERROR(VLOOKUP($B65&amp;"",'Plus Tarifeleri'!$C:$Q,11,FALSE),""))</f>
        <v/>
      </c>
      <c r="AP65" s="22">
        <f>IF(AO65="","",IFERROR(IF($AM$1=2,VLOOKUP($B65&amp;"",'Plus Tarifeleri'!$C:$Q,15,FALSE),VLOOKUP($B65&amp;"",'Plus Tarifeleri'!$C:$Q,13,FALSE)),""))</f>
        <v/>
      </c>
      <c r="AQ65" s="21">
        <f>IF(OR(AO65="",AP65="",$D65=""),"",AO65*(1-AP65/100)-$D65-IF(AO65&lt;=199.99,Kargo!$E$2,IF(AO65&lt;=399.99,Kargo!$E$3,$F65)))</f>
        <v/>
      </c>
      <c r="AR65" s="23">
        <f>IF(AQ65="","",AQ65/AO65)</f>
        <v/>
      </c>
      <c r="AS65" s="24">
        <f>IF(OR(AQ65="",AG65=""),"",AQ65-AG65)</f>
        <v/>
      </c>
    </row>
    <row r="66">
      <c r="A66">
        <f>IF('Komisyon Tarifeleri'!A66="","",'Komisyon Tarifeleri'!A66)</f>
        <v/>
      </c>
      <c r="B66">
        <f>IF('Komisyon Tarifeleri'!B66="","",'Komisyon Tarifeleri'!B66&amp;"")</f>
        <v/>
      </c>
      <c r="C66">
        <f>IF($B66="","",'Komisyon Tarifeleri'!F66)</f>
        <v/>
      </c>
      <c r="D66" s="10">
        <f>IF($B66="","",IFERROR(VLOOKUP($B66,Maliyetler!$A:$E,3,FALSE),""))</f>
        <v/>
      </c>
      <c r="E66">
        <f>IF($B66="","",IFERROR(VLOOKUP($B66,Maliyetler!$A:$E,4,FALSE),1))</f>
        <v/>
      </c>
      <c r="F66" s="10">
        <f>IF($B66="","",IFERROR(VLOOKUP(MIN(20,MAX(1,ROUND($E66,0))),Kargo!$A:$B,2,FALSE),99.46))</f>
        <v/>
      </c>
      <c r="G66" s="10">
        <f>IF($B66="","",IF(IF(N('Komisyon Tarifeleri'!AA66)&gt;='Komisyon Tarifeleri'!I66,'Komisyon Tarifeleri'!AA66,'Komisyon Tarifeleri'!I66)="","",IF(N('Komisyon Tarifeleri'!AA66)&gt;='Komisyon Tarifeleri'!I66,'Komisyon Tarifeleri'!AA66,'Komisyon Tarifeleri'!I66)))</f>
        <v/>
      </c>
      <c r="H66" s="11">
        <f>IF(G66="","",IF($AM$1=2,'Komisyon Tarifeleri'!U66,'Komisyon Tarifeleri'!P66))</f>
        <v/>
      </c>
      <c r="I66" s="10">
        <f>IF(OR(G66="",$D66=""),"",G66*(1-H66/100)-$D66-IF(G66&lt;=199.99,Kargo!$E$2,IF(G66&lt;=399.99,Kargo!$E$3,$F66)))</f>
        <v/>
      </c>
      <c r="J66" s="12">
        <f>IF(I66="","",I66/G66)</f>
        <v/>
      </c>
      <c r="K66" s="10">
        <f>IF($B66="","",IF('Komisyon Tarifeleri'!J66="","",'Komisyon Tarifeleri'!J66))</f>
        <v/>
      </c>
      <c r="L66" s="11">
        <f>IF(K66="","",IF($AM$1=2,'Komisyon Tarifeleri'!V66,'Komisyon Tarifeleri'!Q66))</f>
        <v/>
      </c>
      <c r="M66" s="10">
        <f>IF(OR(K66="",$D66=""),"",K66*(1-L66/100)-$D66-IF(K66&lt;=199.99,Kargo!$E$2,IF(K66&lt;=399.99,Kargo!$E$3,$F66)))</f>
        <v/>
      </c>
      <c r="N66" s="12">
        <f>IF(M66="","",M66/K66)</f>
        <v/>
      </c>
      <c r="O66" s="10">
        <f>IF($B66="","",IF('Komisyon Tarifeleri'!L66="","",'Komisyon Tarifeleri'!L66))</f>
        <v/>
      </c>
      <c r="P66" s="11">
        <f>IF(O66="","",IF($AM$1=2,'Komisyon Tarifeleri'!W66,'Komisyon Tarifeleri'!R66))</f>
        <v/>
      </c>
      <c r="Q66" s="10">
        <f>IF(OR(O66="",$D66=""),"",O66*(1-P66/100)-$D66-IF(O66&lt;=199.99,Kargo!$E$2,IF(O66&lt;=399.99,Kargo!$E$3,$F66)))</f>
        <v/>
      </c>
      <c r="R66" s="12">
        <f>IF(Q66="","",Q66/O66)</f>
        <v/>
      </c>
      <c r="S66" s="10">
        <f>IF($B66="","",IF('Komisyon Tarifeleri'!N66="","",'Komisyon Tarifeleri'!N66))</f>
        <v/>
      </c>
      <c r="T66" s="11">
        <f>IF(S66="","",IF($AM$1=2,'Komisyon Tarifeleri'!X66,'Komisyon Tarifeleri'!S66))</f>
        <v/>
      </c>
      <c r="U66" s="10">
        <f>IF(OR(S66="",$D66=""),"",S66*(1-T66/100)-$D66-IF(S66&lt;=199.99,Kargo!$E$2,IF(S66&lt;=399.99,Kargo!$E$3,$F66)))</f>
        <v/>
      </c>
      <c r="V66" s="12">
        <f>IF(U66="","",U66/S66)</f>
        <v/>
      </c>
      <c r="W66" s="12">
        <f>IF($B66="","",IFERROR(VLOOKUP($C66,Hedefler!$A:$C,2,FALSE),0.04))</f>
        <v/>
      </c>
      <c r="X66" s="12">
        <f>IF($B66="","",IFERROR(VLOOKUP($C66,Hedefler!$A:$C,3,FALSE),0.1))</f>
        <v/>
      </c>
      <c r="Y66" s="13">
        <f>IF($B66="","",IFERROR(VLOOKUP($B66,Maliyetler!$A:$E,5,FALSE),""))</f>
        <v/>
      </c>
      <c r="Z66" s="13">
        <f>IF(OR(Y66="",Y66=0),"",Y66-1)</f>
        <v/>
      </c>
      <c r="AA66" s="14">
        <f>IF(Z66="","",IF(Z66&gt;='Komisyon Tarifeleri'!I66,IF($AM$1=2,'Komisyon Tarifeleri'!U66,'Komisyon Tarifeleri'!P66),IF(Z66&gt;='Komisyon Tarifeleri'!K66,IF($AM$1=2,'Komisyon Tarifeleri'!V66,'Komisyon Tarifeleri'!Q66),IF(Z66&gt;='Komisyon Tarifeleri'!M66,IF($AM$1=2,'Komisyon Tarifeleri'!W66,'Komisyon Tarifeleri'!R66),IF($AM$1=2,'Komisyon Tarifeleri'!X66,'Komisyon Tarifeleri'!S66)))))</f>
        <v/>
      </c>
      <c r="AB66" s="13">
        <f>IF(OR(AA66="",$D66=""),"",Z66*(1-AA66/100)-$D66-IF(Z66&lt;=199.99,Kargo!$E$2,IF(Z66&lt;=399.99,Kargo!$E$3,$F66)))</f>
        <v/>
      </c>
      <c r="AC66" s="15">
        <f>IF(AB66="","",AB66/Z66)</f>
        <v/>
      </c>
      <c r="AD66" s="10">
        <f>IF(OR($D66="",$B66=""),"",IF(AND((1-T66/100-W66)&gt;0,CEILING(($D66+$F66)/(1-T66/100-W66),1)&lt;='Komisyon Tarifeleri'!N66),CEILING(($D66+$F66)/(1-T66/100-W66),1),IF(AND((1-P66/100-W66)&gt;0,CEILING(MAX('Komisyon Tarifeleri'!M66,($D66+$F66)/(1-P66/100-W66)),1)&lt;='Komisyon Tarifeleri'!L66),CEILING(MAX('Komisyon Tarifeleri'!M66,($D66+$F66)/(1-P66/100-W66)),1),IF(AND((1-L66/100-W66)&gt;0,CEILING(MAX('Komisyon Tarifeleri'!K66,($D66+$F66)/(1-L66/100-W66)),1)&lt;='Komisyon Tarifeleri'!J66),CEILING(MAX('Komisyon Tarifeleri'!K66,($D66+$F66)/(1-L66/100-W66)),1),IF((1-H66/100-W66)&gt;0,CEILING(MAX('Komisyon Tarifeleri'!I66,($D66+$F66)/(1-H66/100-W66)),1),"İMKÂNSIZ")))))</f>
        <v/>
      </c>
      <c r="AE66" s="10">
        <f>IF(OR($D66="",$B66=""),"",IF(AND((1-T66/100-X66)&gt;0,CEILING(($D66+$F66)/(1-T66/100-X66),1)&lt;='Komisyon Tarifeleri'!N66),CEILING(($D66+$F66)/(1-T66/100-X66),1),IF(AND((1-P66/100-X66)&gt;0,CEILING(MAX('Komisyon Tarifeleri'!M66,($D66+$F66)/(1-P66/100-X66)),1)&lt;='Komisyon Tarifeleri'!L66),CEILING(MAX('Komisyon Tarifeleri'!M66,($D66+$F66)/(1-P66/100-X66)),1),IF(AND((1-L66/100-X66)&gt;0,CEILING(MAX('Komisyon Tarifeleri'!K66,($D66+$F66)/(1-L66/100-X66)),1)&lt;='Komisyon Tarifeleri'!J66),CEILING(MAX('Komisyon Tarifeleri'!K66,($D66+$F66)/(1-L66/100-X66)),1),IF((1-H66/100-X66)&gt;0,CEILING(MAX('Komisyon Tarifeleri'!I66,($D66+$F66)/(1-H66/100-X66)),1),"İMKÂNSIZ")))))</f>
        <v/>
      </c>
      <c r="AF66" s="16">
        <f>IF($D66="","",IF(AND(Y66&lt;&gt;"",AC66&lt;&gt;"",AC66&gt;=W66),Z66,IF(Y66&lt;&gt;"",AD66,AE66)))</f>
        <v/>
      </c>
      <c r="AG66" s="16">
        <f>IF(OR(AF66="",AF66="İMKÂNSIZ"),"",AF66*(1-IF(AF66&gt;='Komisyon Tarifeleri'!I66,IF($AM$1=2,'Komisyon Tarifeleri'!U66,'Komisyon Tarifeleri'!P66),IF(AF66&gt;='Komisyon Tarifeleri'!K66,IF($AM$1=2,'Komisyon Tarifeleri'!V66,'Komisyon Tarifeleri'!Q66),IF(AF66&gt;='Komisyon Tarifeleri'!M66,IF($AM$1=2,'Komisyon Tarifeleri'!W66,'Komisyon Tarifeleri'!R66),IF($AM$1=2,'Komisyon Tarifeleri'!X66,'Komisyon Tarifeleri'!S66))))/100)-$D66-IF(AF66&lt;=199.99,Kargo!$E$2,IF(AF66&lt;=399.99,Kargo!$E$3,$F66)))</f>
        <v/>
      </c>
      <c r="AH66" s="17">
        <f>IF(AG66="","",AG66/AF66)</f>
        <v/>
      </c>
      <c r="AI66" s="18">
        <f>IF($D66="","",IF(Y66="","BUYBOX YOK → hedef kârla min fiyat",IF(AC66&gt;=W66,"✓ BUYBOX ALTINA GİR","BUYBOX ALTI KÂRSIZ → min kârlı fiyat")))</f>
        <v/>
      </c>
      <c r="AJ66" s="10">
        <f>IF($B66="","",IFERROR(VLOOKUP($B66,Maliyetler!$A:$G,6,FALSE),""))</f>
        <v/>
      </c>
      <c r="AK66">
        <f>IF($B66="","",IFERROR(VLOOKUP($B66,Maliyetler!$A:$G,7,FALSE),""))</f>
        <v/>
      </c>
      <c r="AO66" s="21">
        <f>IF($B66="","",IFERROR(VLOOKUP($B66&amp;"",'Plus Tarifeleri'!$C:$Q,11,FALSE),""))</f>
        <v/>
      </c>
      <c r="AP66" s="22">
        <f>IF(AO66="","",IFERROR(IF($AM$1=2,VLOOKUP($B66&amp;"",'Plus Tarifeleri'!$C:$Q,15,FALSE),VLOOKUP($B66&amp;"",'Plus Tarifeleri'!$C:$Q,13,FALSE)),""))</f>
        <v/>
      </c>
      <c r="AQ66" s="21">
        <f>IF(OR(AO66="",AP66="",$D66=""),"",AO66*(1-AP66/100)-$D66-IF(AO66&lt;=199.99,Kargo!$E$2,IF(AO66&lt;=399.99,Kargo!$E$3,$F66)))</f>
        <v/>
      </c>
      <c r="AR66" s="23">
        <f>IF(AQ66="","",AQ66/AO66)</f>
        <v/>
      </c>
      <c r="AS66" s="24">
        <f>IF(OR(AQ66="",AG66=""),"",AQ66-AG66)</f>
        <v/>
      </c>
    </row>
    <row r="67">
      <c r="A67">
        <f>IF('Komisyon Tarifeleri'!A67="","",'Komisyon Tarifeleri'!A67)</f>
        <v/>
      </c>
      <c r="B67">
        <f>IF('Komisyon Tarifeleri'!B67="","",'Komisyon Tarifeleri'!B67&amp;"")</f>
        <v/>
      </c>
      <c r="C67">
        <f>IF($B67="","",'Komisyon Tarifeleri'!F67)</f>
        <v/>
      </c>
      <c r="D67" s="10">
        <f>IF($B67="","",IFERROR(VLOOKUP($B67,Maliyetler!$A:$E,3,FALSE),""))</f>
        <v/>
      </c>
      <c r="E67">
        <f>IF($B67="","",IFERROR(VLOOKUP($B67,Maliyetler!$A:$E,4,FALSE),1))</f>
        <v/>
      </c>
      <c r="F67" s="10">
        <f>IF($B67="","",IFERROR(VLOOKUP(MIN(20,MAX(1,ROUND($E67,0))),Kargo!$A:$B,2,FALSE),99.46))</f>
        <v/>
      </c>
      <c r="G67" s="10">
        <f>IF($B67="","",IF(IF(N('Komisyon Tarifeleri'!AA67)&gt;='Komisyon Tarifeleri'!I67,'Komisyon Tarifeleri'!AA67,'Komisyon Tarifeleri'!I67)="","",IF(N('Komisyon Tarifeleri'!AA67)&gt;='Komisyon Tarifeleri'!I67,'Komisyon Tarifeleri'!AA67,'Komisyon Tarifeleri'!I67)))</f>
        <v/>
      </c>
      <c r="H67" s="11">
        <f>IF(G67="","",IF($AM$1=2,'Komisyon Tarifeleri'!U67,'Komisyon Tarifeleri'!P67))</f>
        <v/>
      </c>
      <c r="I67" s="10">
        <f>IF(OR(G67="",$D67=""),"",G67*(1-H67/100)-$D67-IF(G67&lt;=199.99,Kargo!$E$2,IF(G67&lt;=399.99,Kargo!$E$3,$F67)))</f>
        <v/>
      </c>
      <c r="J67" s="12">
        <f>IF(I67="","",I67/G67)</f>
        <v/>
      </c>
      <c r="K67" s="10">
        <f>IF($B67="","",IF('Komisyon Tarifeleri'!J67="","",'Komisyon Tarifeleri'!J67))</f>
        <v/>
      </c>
      <c r="L67" s="11">
        <f>IF(K67="","",IF($AM$1=2,'Komisyon Tarifeleri'!V67,'Komisyon Tarifeleri'!Q67))</f>
        <v/>
      </c>
      <c r="M67" s="10">
        <f>IF(OR(K67="",$D67=""),"",K67*(1-L67/100)-$D67-IF(K67&lt;=199.99,Kargo!$E$2,IF(K67&lt;=399.99,Kargo!$E$3,$F67)))</f>
        <v/>
      </c>
      <c r="N67" s="12">
        <f>IF(M67="","",M67/K67)</f>
        <v/>
      </c>
      <c r="O67" s="10">
        <f>IF($B67="","",IF('Komisyon Tarifeleri'!L67="","",'Komisyon Tarifeleri'!L67))</f>
        <v/>
      </c>
      <c r="P67" s="11">
        <f>IF(O67="","",IF($AM$1=2,'Komisyon Tarifeleri'!W67,'Komisyon Tarifeleri'!R67))</f>
        <v/>
      </c>
      <c r="Q67" s="10">
        <f>IF(OR(O67="",$D67=""),"",O67*(1-P67/100)-$D67-IF(O67&lt;=199.99,Kargo!$E$2,IF(O67&lt;=399.99,Kargo!$E$3,$F67)))</f>
        <v/>
      </c>
      <c r="R67" s="12">
        <f>IF(Q67="","",Q67/O67)</f>
        <v/>
      </c>
      <c r="S67" s="10">
        <f>IF($B67="","",IF('Komisyon Tarifeleri'!N67="","",'Komisyon Tarifeleri'!N67))</f>
        <v/>
      </c>
      <c r="T67" s="11">
        <f>IF(S67="","",IF($AM$1=2,'Komisyon Tarifeleri'!X67,'Komisyon Tarifeleri'!S67))</f>
        <v/>
      </c>
      <c r="U67" s="10">
        <f>IF(OR(S67="",$D67=""),"",S67*(1-T67/100)-$D67-IF(S67&lt;=199.99,Kargo!$E$2,IF(S67&lt;=399.99,Kargo!$E$3,$F67)))</f>
        <v/>
      </c>
      <c r="V67" s="12">
        <f>IF(U67="","",U67/S67)</f>
        <v/>
      </c>
      <c r="W67" s="12">
        <f>IF($B67="","",IFERROR(VLOOKUP($C67,Hedefler!$A:$C,2,FALSE),0.04))</f>
        <v/>
      </c>
      <c r="X67" s="12">
        <f>IF($B67="","",IFERROR(VLOOKUP($C67,Hedefler!$A:$C,3,FALSE),0.1))</f>
        <v/>
      </c>
      <c r="Y67" s="13">
        <f>IF($B67="","",IFERROR(VLOOKUP($B67,Maliyetler!$A:$E,5,FALSE),""))</f>
        <v/>
      </c>
      <c r="Z67" s="13">
        <f>IF(OR(Y67="",Y67=0),"",Y67-1)</f>
        <v/>
      </c>
      <c r="AA67" s="14">
        <f>IF(Z67="","",IF(Z67&gt;='Komisyon Tarifeleri'!I67,IF($AM$1=2,'Komisyon Tarifeleri'!U67,'Komisyon Tarifeleri'!P67),IF(Z67&gt;='Komisyon Tarifeleri'!K67,IF($AM$1=2,'Komisyon Tarifeleri'!V67,'Komisyon Tarifeleri'!Q67),IF(Z67&gt;='Komisyon Tarifeleri'!M67,IF($AM$1=2,'Komisyon Tarifeleri'!W67,'Komisyon Tarifeleri'!R67),IF($AM$1=2,'Komisyon Tarifeleri'!X67,'Komisyon Tarifeleri'!S67)))))</f>
        <v/>
      </c>
      <c r="AB67" s="13">
        <f>IF(OR(AA67="",$D67=""),"",Z67*(1-AA67/100)-$D67-IF(Z67&lt;=199.99,Kargo!$E$2,IF(Z67&lt;=399.99,Kargo!$E$3,$F67)))</f>
        <v/>
      </c>
      <c r="AC67" s="15">
        <f>IF(AB67="","",AB67/Z67)</f>
        <v/>
      </c>
      <c r="AD67" s="10">
        <f>IF(OR($D67="",$B67=""),"",IF(AND((1-T67/100-W67)&gt;0,CEILING(($D67+$F67)/(1-T67/100-W67),1)&lt;='Komisyon Tarifeleri'!N67),CEILING(($D67+$F67)/(1-T67/100-W67),1),IF(AND((1-P67/100-W67)&gt;0,CEILING(MAX('Komisyon Tarifeleri'!M67,($D67+$F67)/(1-P67/100-W67)),1)&lt;='Komisyon Tarifeleri'!L67),CEILING(MAX('Komisyon Tarifeleri'!M67,($D67+$F67)/(1-P67/100-W67)),1),IF(AND((1-L67/100-W67)&gt;0,CEILING(MAX('Komisyon Tarifeleri'!K67,($D67+$F67)/(1-L67/100-W67)),1)&lt;='Komisyon Tarifeleri'!J67),CEILING(MAX('Komisyon Tarifeleri'!K67,($D67+$F67)/(1-L67/100-W67)),1),IF((1-H67/100-W67)&gt;0,CEILING(MAX('Komisyon Tarifeleri'!I67,($D67+$F67)/(1-H67/100-W67)),1),"İMKÂNSIZ")))))</f>
        <v/>
      </c>
      <c r="AE67" s="10">
        <f>IF(OR($D67="",$B67=""),"",IF(AND((1-T67/100-X67)&gt;0,CEILING(($D67+$F67)/(1-T67/100-X67),1)&lt;='Komisyon Tarifeleri'!N67),CEILING(($D67+$F67)/(1-T67/100-X67),1),IF(AND((1-P67/100-X67)&gt;0,CEILING(MAX('Komisyon Tarifeleri'!M67,($D67+$F67)/(1-P67/100-X67)),1)&lt;='Komisyon Tarifeleri'!L67),CEILING(MAX('Komisyon Tarifeleri'!M67,($D67+$F67)/(1-P67/100-X67)),1),IF(AND((1-L67/100-X67)&gt;0,CEILING(MAX('Komisyon Tarifeleri'!K67,($D67+$F67)/(1-L67/100-X67)),1)&lt;='Komisyon Tarifeleri'!J67),CEILING(MAX('Komisyon Tarifeleri'!K67,($D67+$F67)/(1-L67/100-X67)),1),IF((1-H67/100-X67)&gt;0,CEILING(MAX('Komisyon Tarifeleri'!I67,($D67+$F67)/(1-H67/100-X67)),1),"İMKÂNSIZ")))))</f>
        <v/>
      </c>
      <c r="AF67" s="16">
        <f>IF($D67="","",IF(AND(Y67&lt;&gt;"",AC67&lt;&gt;"",AC67&gt;=W67),Z67,IF(Y67&lt;&gt;"",AD67,AE67)))</f>
        <v/>
      </c>
      <c r="AG67" s="16">
        <f>IF(OR(AF67="",AF67="İMKÂNSIZ"),"",AF67*(1-IF(AF67&gt;='Komisyon Tarifeleri'!I67,IF($AM$1=2,'Komisyon Tarifeleri'!U67,'Komisyon Tarifeleri'!P67),IF(AF67&gt;='Komisyon Tarifeleri'!K67,IF($AM$1=2,'Komisyon Tarifeleri'!V67,'Komisyon Tarifeleri'!Q67),IF(AF67&gt;='Komisyon Tarifeleri'!M67,IF($AM$1=2,'Komisyon Tarifeleri'!W67,'Komisyon Tarifeleri'!R67),IF($AM$1=2,'Komisyon Tarifeleri'!X67,'Komisyon Tarifeleri'!S67))))/100)-$D67-IF(AF67&lt;=199.99,Kargo!$E$2,IF(AF67&lt;=399.99,Kargo!$E$3,$F67)))</f>
        <v/>
      </c>
      <c r="AH67" s="17">
        <f>IF(AG67="","",AG67/AF67)</f>
        <v/>
      </c>
      <c r="AI67" s="18">
        <f>IF($D67="","",IF(Y67="","BUYBOX YOK → hedef kârla min fiyat",IF(AC67&gt;=W67,"✓ BUYBOX ALTINA GİR","BUYBOX ALTI KÂRSIZ → min kârlı fiyat")))</f>
        <v/>
      </c>
      <c r="AJ67" s="10">
        <f>IF($B67="","",IFERROR(VLOOKUP($B67,Maliyetler!$A:$G,6,FALSE),""))</f>
        <v/>
      </c>
      <c r="AK67">
        <f>IF($B67="","",IFERROR(VLOOKUP($B67,Maliyetler!$A:$G,7,FALSE),""))</f>
        <v/>
      </c>
      <c r="AO67" s="21">
        <f>IF($B67="","",IFERROR(VLOOKUP($B67&amp;"",'Plus Tarifeleri'!$C:$Q,11,FALSE),""))</f>
        <v/>
      </c>
      <c r="AP67" s="22">
        <f>IF(AO67="","",IFERROR(IF($AM$1=2,VLOOKUP($B67&amp;"",'Plus Tarifeleri'!$C:$Q,15,FALSE),VLOOKUP($B67&amp;"",'Plus Tarifeleri'!$C:$Q,13,FALSE)),""))</f>
        <v/>
      </c>
      <c r="AQ67" s="21">
        <f>IF(OR(AO67="",AP67="",$D67=""),"",AO67*(1-AP67/100)-$D67-IF(AO67&lt;=199.99,Kargo!$E$2,IF(AO67&lt;=399.99,Kargo!$E$3,$F67)))</f>
        <v/>
      </c>
      <c r="AR67" s="23">
        <f>IF(AQ67="","",AQ67/AO67)</f>
        <v/>
      </c>
      <c r="AS67" s="24">
        <f>IF(OR(AQ67="",AG67=""),"",AQ67-AG67)</f>
        <v/>
      </c>
    </row>
    <row r="68">
      <c r="A68">
        <f>IF('Komisyon Tarifeleri'!A68="","",'Komisyon Tarifeleri'!A68)</f>
        <v/>
      </c>
      <c r="B68">
        <f>IF('Komisyon Tarifeleri'!B68="","",'Komisyon Tarifeleri'!B68&amp;"")</f>
        <v/>
      </c>
      <c r="C68">
        <f>IF($B68="","",'Komisyon Tarifeleri'!F68)</f>
        <v/>
      </c>
      <c r="D68" s="10">
        <f>IF($B68="","",IFERROR(VLOOKUP($B68,Maliyetler!$A:$E,3,FALSE),""))</f>
        <v/>
      </c>
      <c r="E68">
        <f>IF($B68="","",IFERROR(VLOOKUP($B68,Maliyetler!$A:$E,4,FALSE),1))</f>
        <v/>
      </c>
      <c r="F68" s="10">
        <f>IF($B68="","",IFERROR(VLOOKUP(MIN(20,MAX(1,ROUND($E68,0))),Kargo!$A:$B,2,FALSE),99.46))</f>
        <v/>
      </c>
      <c r="G68" s="10">
        <f>IF($B68="","",IF(IF(N('Komisyon Tarifeleri'!AA68)&gt;='Komisyon Tarifeleri'!I68,'Komisyon Tarifeleri'!AA68,'Komisyon Tarifeleri'!I68)="","",IF(N('Komisyon Tarifeleri'!AA68)&gt;='Komisyon Tarifeleri'!I68,'Komisyon Tarifeleri'!AA68,'Komisyon Tarifeleri'!I68)))</f>
        <v/>
      </c>
      <c r="H68" s="11">
        <f>IF(G68="","",IF($AM$1=2,'Komisyon Tarifeleri'!U68,'Komisyon Tarifeleri'!P68))</f>
        <v/>
      </c>
      <c r="I68" s="10">
        <f>IF(OR(G68="",$D68=""),"",G68*(1-H68/100)-$D68-IF(G68&lt;=199.99,Kargo!$E$2,IF(G68&lt;=399.99,Kargo!$E$3,$F68)))</f>
        <v/>
      </c>
      <c r="J68" s="12">
        <f>IF(I68="","",I68/G68)</f>
        <v/>
      </c>
      <c r="K68" s="10">
        <f>IF($B68="","",IF('Komisyon Tarifeleri'!J68="","",'Komisyon Tarifeleri'!J68))</f>
        <v/>
      </c>
      <c r="L68" s="11">
        <f>IF(K68="","",IF($AM$1=2,'Komisyon Tarifeleri'!V68,'Komisyon Tarifeleri'!Q68))</f>
        <v/>
      </c>
      <c r="M68" s="10">
        <f>IF(OR(K68="",$D68=""),"",K68*(1-L68/100)-$D68-IF(K68&lt;=199.99,Kargo!$E$2,IF(K68&lt;=399.99,Kargo!$E$3,$F68)))</f>
        <v/>
      </c>
      <c r="N68" s="12">
        <f>IF(M68="","",M68/K68)</f>
        <v/>
      </c>
      <c r="O68" s="10">
        <f>IF($B68="","",IF('Komisyon Tarifeleri'!L68="","",'Komisyon Tarifeleri'!L68))</f>
        <v/>
      </c>
      <c r="P68" s="11">
        <f>IF(O68="","",IF($AM$1=2,'Komisyon Tarifeleri'!W68,'Komisyon Tarifeleri'!R68))</f>
        <v/>
      </c>
      <c r="Q68" s="10">
        <f>IF(OR(O68="",$D68=""),"",O68*(1-P68/100)-$D68-IF(O68&lt;=199.99,Kargo!$E$2,IF(O68&lt;=399.99,Kargo!$E$3,$F68)))</f>
        <v/>
      </c>
      <c r="R68" s="12">
        <f>IF(Q68="","",Q68/O68)</f>
        <v/>
      </c>
      <c r="S68" s="10">
        <f>IF($B68="","",IF('Komisyon Tarifeleri'!N68="","",'Komisyon Tarifeleri'!N68))</f>
        <v/>
      </c>
      <c r="T68" s="11">
        <f>IF(S68="","",IF($AM$1=2,'Komisyon Tarifeleri'!X68,'Komisyon Tarifeleri'!S68))</f>
        <v/>
      </c>
      <c r="U68" s="10">
        <f>IF(OR(S68="",$D68=""),"",S68*(1-T68/100)-$D68-IF(S68&lt;=199.99,Kargo!$E$2,IF(S68&lt;=399.99,Kargo!$E$3,$F68)))</f>
        <v/>
      </c>
      <c r="V68" s="12">
        <f>IF(U68="","",U68/S68)</f>
        <v/>
      </c>
      <c r="W68" s="12">
        <f>IF($B68="","",IFERROR(VLOOKUP($C68,Hedefler!$A:$C,2,FALSE),0.04))</f>
        <v/>
      </c>
      <c r="X68" s="12">
        <f>IF($B68="","",IFERROR(VLOOKUP($C68,Hedefler!$A:$C,3,FALSE),0.1))</f>
        <v/>
      </c>
      <c r="Y68" s="13">
        <f>IF($B68="","",IFERROR(VLOOKUP($B68,Maliyetler!$A:$E,5,FALSE),""))</f>
        <v/>
      </c>
      <c r="Z68" s="13">
        <f>IF(OR(Y68="",Y68=0),"",Y68-1)</f>
        <v/>
      </c>
      <c r="AA68" s="14">
        <f>IF(Z68="","",IF(Z68&gt;='Komisyon Tarifeleri'!I68,IF($AM$1=2,'Komisyon Tarifeleri'!U68,'Komisyon Tarifeleri'!P68),IF(Z68&gt;='Komisyon Tarifeleri'!K68,IF($AM$1=2,'Komisyon Tarifeleri'!V68,'Komisyon Tarifeleri'!Q68),IF(Z68&gt;='Komisyon Tarifeleri'!M68,IF($AM$1=2,'Komisyon Tarifeleri'!W68,'Komisyon Tarifeleri'!R68),IF($AM$1=2,'Komisyon Tarifeleri'!X68,'Komisyon Tarifeleri'!S68)))))</f>
        <v/>
      </c>
      <c r="AB68" s="13">
        <f>IF(OR(AA68="",$D68=""),"",Z68*(1-AA68/100)-$D68-IF(Z68&lt;=199.99,Kargo!$E$2,IF(Z68&lt;=399.99,Kargo!$E$3,$F68)))</f>
        <v/>
      </c>
      <c r="AC68" s="15">
        <f>IF(AB68="","",AB68/Z68)</f>
        <v/>
      </c>
      <c r="AD68" s="10">
        <f>IF(OR($D68="",$B68=""),"",IF(AND((1-T68/100-W68)&gt;0,CEILING(($D68+$F68)/(1-T68/100-W68),1)&lt;='Komisyon Tarifeleri'!N68),CEILING(($D68+$F68)/(1-T68/100-W68),1),IF(AND((1-P68/100-W68)&gt;0,CEILING(MAX('Komisyon Tarifeleri'!M68,($D68+$F68)/(1-P68/100-W68)),1)&lt;='Komisyon Tarifeleri'!L68),CEILING(MAX('Komisyon Tarifeleri'!M68,($D68+$F68)/(1-P68/100-W68)),1),IF(AND((1-L68/100-W68)&gt;0,CEILING(MAX('Komisyon Tarifeleri'!K68,($D68+$F68)/(1-L68/100-W68)),1)&lt;='Komisyon Tarifeleri'!J68),CEILING(MAX('Komisyon Tarifeleri'!K68,($D68+$F68)/(1-L68/100-W68)),1),IF((1-H68/100-W68)&gt;0,CEILING(MAX('Komisyon Tarifeleri'!I68,($D68+$F68)/(1-H68/100-W68)),1),"İMKÂNSIZ")))))</f>
        <v/>
      </c>
      <c r="AE68" s="10">
        <f>IF(OR($D68="",$B68=""),"",IF(AND((1-T68/100-X68)&gt;0,CEILING(($D68+$F68)/(1-T68/100-X68),1)&lt;='Komisyon Tarifeleri'!N68),CEILING(($D68+$F68)/(1-T68/100-X68),1),IF(AND((1-P68/100-X68)&gt;0,CEILING(MAX('Komisyon Tarifeleri'!M68,($D68+$F68)/(1-P68/100-X68)),1)&lt;='Komisyon Tarifeleri'!L68),CEILING(MAX('Komisyon Tarifeleri'!M68,($D68+$F68)/(1-P68/100-X68)),1),IF(AND((1-L68/100-X68)&gt;0,CEILING(MAX('Komisyon Tarifeleri'!K68,($D68+$F68)/(1-L68/100-X68)),1)&lt;='Komisyon Tarifeleri'!J68),CEILING(MAX('Komisyon Tarifeleri'!K68,($D68+$F68)/(1-L68/100-X68)),1),IF((1-H68/100-X68)&gt;0,CEILING(MAX('Komisyon Tarifeleri'!I68,($D68+$F68)/(1-H68/100-X68)),1),"İMKÂNSIZ")))))</f>
        <v/>
      </c>
      <c r="AF68" s="16">
        <f>IF($D68="","",IF(AND(Y68&lt;&gt;"",AC68&lt;&gt;"",AC68&gt;=W68),Z68,IF(Y68&lt;&gt;"",AD68,AE68)))</f>
        <v/>
      </c>
      <c r="AG68" s="16">
        <f>IF(OR(AF68="",AF68="İMKÂNSIZ"),"",AF68*(1-IF(AF68&gt;='Komisyon Tarifeleri'!I68,IF($AM$1=2,'Komisyon Tarifeleri'!U68,'Komisyon Tarifeleri'!P68),IF(AF68&gt;='Komisyon Tarifeleri'!K68,IF($AM$1=2,'Komisyon Tarifeleri'!V68,'Komisyon Tarifeleri'!Q68),IF(AF68&gt;='Komisyon Tarifeleri'!M68,IF($AM$1=2,'Komisyon Tarifeleri'!W68,'Komisyon Tarifeleri'!R68),IF($AM$1=2,'Komisyon Tarifeleri'!X68,'Komisyon Tarifeleri'!S68))))/100)-$D68-IF(AF68&lt;=199.99,Kargo!$E$2,IF(AF68&lt;=399.99,Kargo!$E$3,$F68)))</f>
        <v/>
      </c>
      <c r="AH68" s="17">
        <f>IF(AG68="","",AG68/AF68)</f>
        <v/>
      </c>
      <c r="AI68" s="18">
        <f>IF($D68="","",IF(Y68="","BUYBOX YOK → hedef kârla min fiyat",IF(AC68&gt;=W68,"✓ BUYBOX ALTINA GİR","BUYBOX ALTI KÂRSIZ → min kârlı fiyat")))</f>
        <v/>
      </c>
      <c r="AJ68" s="10">
        <f>IF($B68="","",IFERROR(VLOOKUP($B68,Maliyetler!$A:$G,6,FALSE),""))</f>
        <v/>
      </c>
      <c r="AK68">
        <f>IF($B68="","",IFERROR(VLOOKUP($B68,Maliyetler!$A:$G,7,FALSE),""))</f>
        <v/>
      </c>
      <c r="AO68" s="21">
        <f>IF($B68="","",IFERROR(VLOOKUP($B68&amp;"",'Plus Tarifeleri'!$C:$Q,11,FALSE),""))</f>
        <v/>
      </c>
      <c r="AP68" s="22">
        <f>IF(AO68="","",IFERROR(IF($AM$1=2,VLOOKUP($B68&amp;"",'Plus Tarifeleri'!$C:$Q,15,FALSE),VLOOKUP($B68&amp;"",'Plus Tarifeleri'!$C:$Q,13,FALSE)),""))</f>
        <v/>
      </c>
      <c r="AQ68" s="21">
        <f>IF(OR(AO68="",AP68="",$D68=""),"",AO68*(1-AP68/100)-$D68-IF(AO68&lt;=199.99,Kargo!$E$2,IF(AO68&lt;=399.99,Kargo!$E$3,$F68)))</f>
        <v/>
      </c>
      <c r="AR68" s="23">
        <f>IF(AQ68="","",AQ68/AO68)</f>
        <v/>
      </c>
      <c r="AS68" s="24">
        <f>IF(OR(AQ68="",AG68=""),"",AQ68-AG68)</f>
        <v/>
      </c>
    </row>
    <row r="69">
      <c r="A69">
        <f>IF('Komisyon Tarifeleri'!A69="","",'Komisyon Tarifeleri'!A69)</f>
        <v/>
      </c>
      <c r="B69">
        <f>IF('Komisyon Tarifeleri'!B69="","",'Komisyon Tarifeleri'!B69&amp;"")</f>
        <v/>
      </c>
      <c r="C69">
        <f>IF($B69="","",'Komisyon Tarifeleri'!F69)</f>
        <v/>
      </c>
      <c r="D69" s="10">
        <f>IF($B69="","",IFERROR(VLOOKUP($B69,Maliyetler!$A:$E,3,FALSE),""))</f>
        <v/>
      </c>
      <c r="E69">
        <f>IF($B69="","",IFERROR(VLOOKUP($B69,Maliyetler!$A:$E,4,FALSE),1))</f>
        <v/>
      </c>
      <c r="F69" s="10">
        <f>IF($B69="","",IFERROR(VLOOKUP(MIN(20,MAX(1,ROUND($E69,0))),Kargo!$A:$B,2,FALSE),99.46))</f>
        <v/>
      </c>
      <c r="G69" s="10">
        <f>IF($B69="","",IF(IF(N('Komisyon Tarifeleri'!AA69)&gt;='Komisyon Tarifeleri'!I69,'Komisyon Tarifeleri'!AA69,'Komisyon Tarifeleri'!I69)="","",IF(N('Komisyon Tarifeleri'!AA69)&gt;='Komisyon Tarifeleri'!I69,'Komisyon Tarifeleri'!AA69,'Komisyon Tarifeleri'!I69)))</f>
        <v/>
      </c>
      <c r="H69" s="11">
        <f>IF(G69="","",IF($AM$1=2,'Komisyon Tarifeleri'!U69,'Komisyon Tarifeleri'!P69))</f>
        <v/>
      </c>
      <c r="I69" s="10">
        <f>IF(OR(G69="",$D69=""),"",G69*(1-H69/100)-$D69-IF(G69&lt;=199.99,Kargo!$E$2,IF(G69&lt;=399.99,Kargo!$E$3,$F69)))</f>
        <v/>
      </c>
      <c r="J69" s="12">
        <f>IF(I69="","",I69/G69)</f>
        <v/>
      </c>
      <c r="K69" s="10">
        <f>IF($B69="","",IF('Komisyon Tarifeleri'!J69="","",'Komisyon Tarifeleri'!J69))</f>
        <v/>
      </c>
      <c r="L69" s="11">
        <f>IF(K69="","",IF($AM$1=2,'Komisyon Tarifeleri'!V69,'Komisyon Tarifeleri'!Q69))</f>
        <v/>
      </c>
      <c r="M69" s="10">
        <f>IF(OR(K69="",$D69=""),"",K69*(1-L69/100)-$D69-IF(K69&lt;=199.99,Kargo!$E$2,IF(K69&lt;=399.99,Kargo!$E$3,$F69)))</f>
        <v/>
      </c>
      <c r="N69" s="12">
        <f>IF(M69="","",M69/K69)</f>
        <v/>
      </c>
      <c r="O69" s="10">
        <f>IF($B69="","",IF('Komisyon Tarifeleri'!L69="","",'Komisyon Tarifeleri'!L69))</f>
        <v/>
      </c>
      <c r="P69" s="11">
        <f>IF(O69="","",IF($AM$1=2,'Komisyon Tarifeleri'!W69,'Komisyon Tarifeleri'!R69))</f>
        <v/>
      </c>
      <c r="Q69" s="10">
        <f>IF(OR(O69="",$D69=""),"",O69*(1-P69/100)-$D69-IF(O69&lt;=199.99,Kargo!$E$2,IF(O69&lt;=399.99,Kargo!$E$3,$F69)))</f>
        <v/>
      </c>
      <c r="R69" s="12">
        <f>IF(Q69="","",Q69/O69)</f>
        <v/>
      </c>
      <c r="S69" s="10">
        <f>IF($B69="","",IF('Komisyon Tarifeleri'!N69="","",'Komisyon Tarifeleri'!N69))</f>
        <v/>
      </c>
      <c r="T69" s="11">
        <f>IF(S69="","",IF($AM$1=2,'Komisyon Tarifeleri'!X69,'Komisyon Tarifeleri'!S69))</f>
        <v/>
      </c>
      <c r="U69" s="10">
        <f>IF(OR(S69="",$D69=""),"",S69*(1-T69/100)-$D69-IF(S69&lt;=199.99,Kargo!$E$2,IF(S69&lt;=399.99,Kargo!$E$3,$F69)))</f>
        <v/>
      </c>
      <c r="V69" s="12">
        <f>IF(U69="","",U69/S69)</f>
        <v/>
      </c>
      <c r="W69" s="12">
        <f>IF($B69="","",IFERROR(VLOOKUP($C69,Hedefler!$A:$C,2,FALSE),0.04))</f>
        <v/>
      </c>
      <c r="X69" s="12">
        <f>IF($B69="","",IFERROR(VLOOKUP($C69,Hedefler!$A:$C,3,FALSE),0.1))</f>
        <v/>
      </c>
      <c r="Y69" s="13">
        <f>IF($B69="","",IFERROR(VLOOKUP($B69,Maliyetler!$A:$E,5,FALSE),""))</f>
        <v/>
      </c>
      <c r="Z69" s="13">
        <f>IF(OR(Y69="",Y69=0),"",Y69-1)</f>
        <v/>
      </c>
      <c r="AA69" s="14">
        <f>IF(Z69="","",IF(Z69&gt;='Komisyon Tarifeleri'!I69,IF($AM$1=2,'Komisyon Tarifeleri'!U69,'Komisyon Tarifeleri'!P69),IF(Z69&gt;='Komisyon Tarifeleri'!K69,IF($AM$1=2,'Komisyon Tarifeleri'!V69,'Komisyon Tarifeleri'!Q69),IF(Z69&gt;='Komisyon Tarifeleri'!M69,IF($AM$1=2,'Komisyon Tarifeleri'!W69,'Komisyon Tarifeleri'!R69),IF($AM$1=2,'Komisyon Tarifeleri'!X69,'Komisyon Tarifeleri'!S69)))))</f>
        <v/>
      </c>
      <c r="AB69" s="13">
        <f>IF(OR(AA69="",$D69=""),"",Z69*(1-AA69/100)-$D69-IF(Z69&lt;=199.99,Kargo!$E$2,IF(Z69&lt;=399.99,Kargo!$E$3,$F69)))</f>
        <v/>
      </c>
      <c r="AC69" s="15">
        <f>IF(AB69="","",AB69/Z69)</f>
        <v/>
      </c>
      <c r="AD69" s="10">
        <f>IF(OR($D69="",$B69=""),"",IF(AND((1-T69/100-W69)&gt;0,CEILING(($D69+$F69)/(1-T69/100-W69),1)&lt;='Komisyon Tarifeleri'!N69),CEILING(($D69+$F69)/(1-T69/100-W69),1),IF(AND((1-P69/100-W69)&gt;0,CEILING(MAX('Komisyon Tarifeleri'!M69,($D69+$F69)/(1-P69/100-W69)),1)&lt;='Komisyon Tarifeleri'!L69),CEILING(MAX('Komisyon Tarifeleri'!M69,($D69+$F69)/(1-P69/100-W69)),1),IF(AND((1-L69/100-W69)&gt;0,CEILING(MAX('Komisyon Tarifeleri'!K69,($D69+$F69)/(1-L69/100-W69)),1)&lt;='Komisyon Tarifeleri'!J69),CEILING(MAX('Komisyon Tarifeleri'!K69,($D69+$F69)/(1-L69/100-W69)),1),IF((1-H69/100-W69)&gt;0,CEILING(MAX('Komisyon Tarifeleri'!I69,($D69+$F69)/(1-H69/100-W69)),1),"İMKÂNSIZ")))))</f>
        <v/>
      </c>
      <c r="AE69" s="10">
        <f>IF(OR($D69="",$B69=""),"",IF(AND((1-T69/100-X69)&gt;0,CEILING(($D69+$F69)/(1-T69/100-X69),1)&lt;='Komisyon Tarifeleri'!N69),CEILING(($D69+$F69)/(1-T69/100-X69),1),IF(AND((1-P69/100-X69)&gt;0,CEILING(MAX('Komisyon Tarifeleri'!M69,($D69+$F69)/(1-P69/100-X69)),1)&lt;='Komisyon Tarifeleri'!L69),CEILING(MAX('Komisyon Tarifeleri'!M69,($D69+$F69)/(1-P69/100-X69)),1),IF(AND((1-L69/100-X69)&gt;0,CEILING(MAX('Komisyon Tarifeleri'!K69,($D69+$F69)/(1-L69/100-X69)),1)&lt;='Komisyon Tarifeleri'!J69),CEILING(MAX('Komisyon Tarifeleri'!K69,($D69+$F69)/(1-L69/100-X69)),1),IF((1-H69/100-X69)&gt;0,CEILING(MAX('Komisyon Tarifeleri'!I69,($D69+$F69)/(1-H69/100-X69)),1),"İMKÂNSIZ")))))</f>
        <v/>
      </c>
      <c r="AF69" s="16">
        <f>IF($D69="","",IF(AND(Y69&lt;&gt;"",AC69&lt;&gt;"",AC69&gt;=W69),Z69,IF(Y69&lt;&gt;"",AD69,AE69)))</f>
        <v/>
      </c>
      <c r="AG69" s="16">
        <f>IF(OR(AF69="",AF69="İMKÂNSIZ"),"",AF69*(1-IF(AF69&gt;='Komisyon Tarifeleri'!I69,IF($AM$1=2,'Komisyon Tarifeleri'!U69,'Komisyon Tarifeleri'!P69),IF(AF69&gt;='Komisyon Tarifeleri'!K69,IF($AM$1=2,'Komisyon Tarifeleri'!V69,'Komisyon Tarifeleri'!Q69),IF(AF69&gt;='Komisyon Tarifeleri'!M69,IF($AM$1=2,'Komisyon Tarifeleri'!W69,'Komisyon Tarifeleri'!R69),IF($AM$1=2,'Komisyon Tarifeleri'!X69,'Komisyon Tarifeleri'!S69))))/100)-$D69-IF(AF69&lt;=199.99,Kargo!$E$2,IF(AF69&lt;=399.99,Kargo!$E$3,$F69)))</f>
        <v/>
      </c>
      <c r="AH69" s="17">
        <f>IF(AG69="","",AG69/AF69)</f>
        <v/>
      </c>
      <c r="AI69" s="18">
        <f>IF($D69="","",IF(Y69="","BUYBOX YOK → hedef kârla min fiyat",IF(AC69&gt;=W69,"✓ BUYBOX ALTINA GİR","BUYBOX ALTI KÂRSIZ → min kârlı fiyat")))</f>
        <v/>
      </c>
      <c r="AJ69" s="10">
        <f>IF($B69="","",IFERROR(VLOOKUP($B69,Maliyetler!$A:$G,6,FALSE),""))</f>
        <v/>
      </c>
      <c r="AK69">
        <f>IF($B69="","",IFERROR(VLOOKUP($B69,Maliyetler!$A:$G,7,FALSE),""))</f>
        <v/>
      </c>
      <c r="AO69" s="21">
        <f>IF($B69="","",IFERROR(VLOOKUP($B69&amp;"",'Plus Tarifeleri'!$C:$Q,11,FALSE),""))</f>
        <v/>
      </c>
      <c r="AP69" s="22">
        <f>IF(AO69="","",IFERROR(IF($AM$1=2,VLOOKUP($B69&amp;"",'Plus Tarifeleri'!$C:$Q,15,FALSE),VLOOKUP($B69&amp;"",'Plus Tarifeleri'!$C:$Q,13,FALSE)),""))</f>
        <v/>
      </c>
      <c r="AQ69" s="21">
        <f>IF(OR(AO69="",AP69="",$D69=""),"",AO69*(1-AP69/100)-$D69-IF(AO69&lt;=199.99,Kargo!$E$2,IF(AO69&lt;=399.99,Kargo!$E$3,$F69)))</f>
        <v/>
      </c>
      <c r="AR69" s="23">
        <f>IF(AQ69="","",AQ69/AO69)</f>
        <v/>
      </c>
      <c r="AS69" s="24">
        <f>IF(OR(AQ69="",AG69=""),"",AQ69-AG69)</f>
        <v/>
      </c>
    </row>
    <row r="70">
      <c r="A70">
        <f>IF('Komisyon Tarifeleri'!A70="","",'Komisyon Tarifeleri'!A70)</f>
        <v/>
      </c>
      <c r="B70">
        <f>IF('Komisyon Tarifeleri'!B70="","",'Komisyon Tarifeleri'!B70&amp;"")</f>
        <v/>
      </c>
      <c r="C70">
        <f>IF($B70="","",'Komisyon Tarifeleri'!F70)</f>
        <v/>
      </c>
      <c r="D70" s="10">
        <f>IF($B70="","",IFERROR(VLOOKUP($B70,Maliyetler!$A:$E,3,FALSE),""))</f>
        <v/>
      </c>
      <c r="E70">
        <f>IF($B70="","",IFERROR(VLOOKUP($B70,Maliyetler!$A:$E,4,FALSE),1))</f>
        <v/>
      </c>
      <c r="F70" s="10">
        <f>IF($B70="","",IFERROR(VLOOKUP(MIN(20,MAX(1,ROUND($E70,0))),Kargo!$A:$B,2,FALSE),99.46))</f>
        <v/>
      </c>
      <c r="G70" s="10">
        <f>IF($B70="","",IF(IF(N('Komisyon Tarifeleri'!AA70)&gt;='Komisyon Tarifeleri'!I70,'Komisyon Tarifeleri'!AA70,'Komisyon Tarifeleri'!I70)="","",IF(N('Komisyon Tarifeleri'!AA70)&gt;='Komisyon Tarifeleri'!I70,'Komisyon Tarifeleri'!AA70,'Komisyon Tarifeleri'!I70)))</f>
        <v/>
      </c>
      <c r="H70" s="11">
        <f>IF(G70="","",IF($AM$1=2,'Komisyon Tarifeleri'!U70,'Komisyon Tarifeleri'!P70))</f>
        <v/>
      </c>
      <c r="I70" s="10">
        <f>IF(OR(G70="",$D70=""),"",G70*(1-H70/100)-$D70-IF(G70&lt;=199.99,Kargo!$E$2,IF(G70&lt;=399.99,Kargo!$E$3,$F70)))</f>
        <v/>
      </c>
      <c r="J70" s="12">
        <f>IF(I70="","",I70/G70)</f>
        <v/>
      </c>
      <c r="K70" s="10">
        <f>IF($B70="","",IF('Komisyon Tarifeleri'!J70="","",'Komisyon Tarifeleri'!J70))</f>
        <v/>
      </c>
      <c r="L70" s="11">
        <f>IF(K70="","",IF($AM$1=2,'Komisyon Tarifeleri'!V70,'Komisyon Tarifeleri'!Q70))</f>
        <v/>
      </c>
      <c r="M70" s="10">
        <f>IF(OR(K70="",$D70=""),"",K70*(1-L70/100)-$D70-IF(K70&lt;=199.99,Kargo!$E$2,IF(K70&lt;=399.99,Kargo!$E$3,$F70)))</f>
        <v/>
      </c>
      <c r="N70" s="12">
        <f>IF(M70="","",M70/K70)</f>
        <v/>
      </c>
      <c r="O70" s="10">
        <f>IF($B70="","",IF('Komisyon Tarifeleri'!L70="","",'Komisyon Tarifeleri'!L70))</f>
        <v/>
      </c>
      <c r="P70" s="11">
        <f>IF(O70="","",IF($AM$1=2,'Komisyon Tarifeleri'!W70,'Komisyon Tarifeleri'!R70))</f>
        <v/>
      </c>
      <c r="Q70" s="10">
        <f>IF(OR(O70="",$D70=""),"",O70*(1-P70/100)-$D70-IF(O70&lt;=199.99,Kargo!$E$2,IF(O70&lt;=399.99,Kargo!$E$3,$F70)))</f>
        <v/>
      </c>
      <c r="R70" s="12">
        <f>IF(Q70="","",Q70/O70)</f>
        <v/>
      </c>
      <c r="S70" s="10">
        <f>IF($B70="","",IF('Komisyon Tarifeleri'!N70="","",'Komisyon Tarifeleri'!N70))</f>
        <v/>
      </c>
      <c r="T70" s="11">
        <f>IF(S70="","",IF($AM$1=2,'Komisyon Tarifeleri'!X70,'Komisyon Tarifeleri'!S70))</f>
        <v/>
      </c>
      <c r="U70" s="10">
        <f>IF(OR(S70="",$D70=""),"",S70*(1-T70/100)-$D70-IF(S70&lt;=199.99,Kargo!$E$2,IF(S70&lt;=399.99,Kargo!$E$3,$F70)))</f>
        <v/>
      </c>
      <c r="V70" s="12">
        <f>IF(U70="","",U70/S70)</f>
        <v/>
      </c>
      <c r="W70" s="12">
        <f>IF($B70="","",IFERROR(VLOOKUP($C70,Hedefler!$A:$C,2,FALSE),0.04))</f>
        <v/>
      </c>
      <c r="X70" s="12">
        <f>IF($B70="","",IFERROR(VLOOKUP($C70,Hedefler!$A:$C,3,FALSE),0.1))</f>
        <v/>
      </c>
      <c r="Y70" s="13">
        <f>IF($B70="","",IFERROR(VLOOKUP($B70,Maliyetler!$A:$E,5,FALSE),""))</f>
        <v/>
      </c>
      <c r="Z70" s="13">
        <f>IF(OR(Y70="",Y70=0),"",Y70-1)</f>
        <v/>
      </c>
      <c r="AA70" s="14">
        <f>IF(Z70="","",IF(Z70&gt;='Komisyon Tarifeleri'!I70,IF($AM$1=2,'Komisyon Tarifeleri'!U70,'Komisyon Tarifeleri'!P70),IF(Z70&gt;='Komisyon Tarifeleri'!K70,IF($AM$1=2,'Komisyon Tarifeleri'!V70,'Komisyon Tarifeleri'!Q70),IF(Z70&gt;='Komisyon Tarifeleri'!M70,IF($AM$1=2,'Komisyon Tarifeleri'!W70,'Komisyon Tarifeleri'!R70),IF($AM$1=2,'Komisyon Tarifeleri'!X70,'Komisyon Tarifeleri'!S70)))))</f>
        <v/>
      </c>
      <c r="AB70" s="13">
        <f>IF(OR(AA70="",$D70=""),"",Z70*(1-AA70/100)-$D70-IF(Z70&lt;=199.99,Kargo!$E$2,IF(Z70&lt;=399.99,Kargo!$E$3,$F70)))</f>
        <v/>
      </c>
      <c r="AC70" s="15">
        <f>IF(AB70="","",AB70/Z70)</f>
        <v/>
      </c>
      <c r="AD70" s="10">
        <f>IF(OR($D70="",$B70=""),"",IF(AND((1-T70/100-W70)&gt;0,CEILING(($D70+$F70)/(1-T70/100-W70),1)&lt;='Komisyon Tarifeleri'!N70),CEILING(($D70+$F70)/(1-T70/100-W70),1),IF(AND((1-P70/100-W70)&gt;0,CEILING(MAX('Komisyon Tarifeleri'!M70,($D70+$F70)/(1-P70/100-W70)),1)&lt;='Komisyon Tarifeleri'!L70),CEILING(MAX('Komisyon Tarifeleri'!M70,($D70+$F70)/(1-P70/100-W70)),1),IF(AND((1-L70/100-W70)&gt;0,CEILING(MAX('Komisyon Tarifeleri'!K70,($D70+$F70)/(1-L70/100-W70)),1)&lt;='Komisyon Tarifeleri'!J70),CEILING(MAX('Komisyon Tarifeleri'!K70,($D70+$F70)/(1-L70/100-W70)),1),IF((1-H70/100-W70)&gt;0,CEILING(MAX('Komisyon Tarifeleri'!I70,($D70+$F70)/(1-H70/100-W70)),1),"İMKÂNSIZ")))))</f>
        <v/>
      </c>
      <c r="AE70" s="10">
        <f>IF(OR($D70="",$B70=""),"",IF(AND((1-T70/100-X70)&gt;0,CEILING(($D70+$F70)/(1-T70/100-X70),1)&lt;='Komisyon Tarifeleri'!N70),CEILING(($D70+$F70)/(1-T70/100-X70),1),IF(AND((1-P70/100-X70)&gt;0,CEILING(MAX('Komisyon Tarifeleri'!M70,($D70+$F70)/(1-P70/100-X70)),1)&lt;='Komisyon Tarifeleri'!L70),CEILING(MAX('Komisyon Tarifeleri'!M70,($D70+$F70)/(1-P70/100-X70)),1),IF(AND((1-L70/100-X70)&gt;0,CEILING(MAX('Komisyon Tarifeleri'!K70,($D70+$F70)/(1-L70/100-X70)),1)&lt;='Komisyon Tarifeleri'!J70),CEILING(MAX('Komisyon Tarifeleri'!K70,($D70+$F70)/(1-L70/100-X70)),1),IF((1-H70/100-X70)&gt;0,CEILING(MAX('Komisyon Tarifeleri'!I70,($D70+$F70)/(1-H70/100-X70)),1),"İMKÂNSIZ")))))</f>
        <v/>
      </c>
      <c r="AF70" s="16">
        <f>IF($D70="","",IF(AND(Y70&lt;&gt;"",AC70&lt;&gt;"",AC70&gt;=W70),Z70,IF(Y70&lt;&gt;"",AD70,AE70)))</f>
        <v/>
      </c>
      <c r="AG70" s="16">
        <f>IF(OR(AF70="",AF70="İMKÂNSIZ"),"",AF70*(1-IF(AF70&gt;='Komisyon Tarifeleri'!I70,IF($AM$1=2,'Komisyon Tarifeleri'!U70,'Komisyon Tarifeleri'!P70),IF(AF70&gt;='Komisyon Tarifeleri'!K70,IF($AM$1=2,'Komisyon Tarifeleri'!V70,'Komisyon Tarifeleri'!Q70),IF(AF70&gt;='Komisyon Tarifeleri'!M70,IF($AM$1=2,'Komisyon Tarifeleri'!W70,'Komisyon Tarifeleri'!R70),IF($AM$1=2,'Komisyon Tarifeleri'!X70,'Komisyon Tarifeleri'!S70))))/100)-$D70-IF(AF70&lt;=199.99,Kargo!$E$2,IF(AF70&lt;=399.99,Kargo!$E$3,$F70)))</f>
        <v/>
      </c>
      <c r="AH70" s="17">
        <f>IF(AG70="","",AG70/AF70)</f>
        <v/>
      </c>
      <c r="AI70" s="18">
        <f>IF($D70="","",IF(Y70="","BUYBOX YOK → hedef kârla min fiyat",IF(AC70&gt;=W70,"✓ BUYBOX ALTINA GİR","BUYBOX ALTI KÂRSIZ → min kârlı fiyat")))</f>
        <v/>
      </c>
      <c r="AJ70" s="10">
        <f>IF($B70="","",IFERROR(VLOOKUP($B70,Maliyetler!$A:$G,6,FALSE),""))</f>
        <v/>
      </c>
      <c r="AK70">
        <f>IF($B70="","",IFERROR(VLOOKUP($B70,Maliyetler!$A:$G,7,FALSE),""))</f>
        <v/>
      </c>
      <c r="AO70" s="21">
        <f>IF($B70="","",IFERROR(VLOOKUP($B70&amp;"",'Plus Tarifeleri'!$C:$Q,11,FALSE),""))</f>
        <v/>
      </c>
      <c r="AP70" s="22">
        <f>IF(AO70="","",IFERROR(IF($AM$1=2,VLOOKUP($B70&amp;"",'Plus Tarifeleri'!$C:$Q,15,FALSE),VLOOKUP($B70&amp;"",'Plus Tarifeleri'!$C:$Q,13,FALSE)),""))</f>
        <v/>
      </c>
      <c r="AQ70" s="21">
        <f>IF(OR(AO70="",AP70="",$D70=""),"",AO70*(1-AP70/100)-$D70-IF(AO70&lt;=199.99,Kargo!$E$2,IF(AO70&lt;=399.99,Kargo!$E$3,$F70)))</f>
        <v/>
      </c>
      <c r="AR70" s="23">
        <f>IF(AQ70="","",AQ70/AO70)</f>
        <v/>
      </c>
      <c r="AS70" s="24">
        <f>IF(OR(AQ70="",AG70=""),"",AQ70-AG70)</f>
        <v/>
      </c>
    </row>
    <row r="71">
      <c r="A71">
        <f>IF('Komisyon Tarifeleri'!A71="","",'Komisyon Tarifeleri'!A71)</f>
        <v/>
      </c>
      <c r="B71">
        <f>IF('Komisyon Tarifeleri'!B71="","",'Komisyon Tarifeleri'!B71&amp;"")</f>
        <v/>
      </c>
      <c r="C71">
        <f>IF($B71="","",'Komisyon Tarifeleri'!F71)</f>
        <v/>
      </c>
      <c r="D71" s="10">
        <f>IF($B71="","",IFERROR(VLOOKUP($B71,Maliyetler!$A:$E,3,FALSE),""))</f>
        <v/>
      </c>
      <c r="E71">
        <f>IF($B71="","",IFERROR(VLOOKUP($B71,Maliyetler!$A:$E,4,FALSE),1))</f>
        <v/>
      </c>
      <c r="F71" s="10">
        <f>IF($B71="","",IFERROR(VLOOKUP(MIN(20,MAX(1,ROUND($E71,0))),Kargo!$A:$B,2,FALSE),99.46))</f>
        <v/>
      </c>
      <c r="G71" s="10">
        <f>IF($B71="","",IF(IF(N('Komisyon Tarifeleri'!AA71)&gt;='Komisyon Tarifeleri'!I71,'Komisyon Tarifeleri'!AA71,'Komisyon Tarifeleri'!I71)="","",IF(N('Komisyon Tarifeleri'!AA71)&gt;='Komisyon Tarifeleri'!I71,'Komisyon Tarifeleri'!AA71,'Komisyon Tarifeleri'!I71)))</f>
        <v/>
      </c>
      <c r="H71" s="11">
        <f>IF(G71="","",IF($AM$1=2,'Komisyon Tarifeleri'!U71,'Komisyon Tarifeleri'!P71))</f>
        <v/>
      </c>
      <c r="I71" s="10">
        <f>IF(OR(G71="",$D71=""),"",G71*(1-H71/100)-$D71-IF(G71&lt;=199.99,Kargo!$E$2,IF(G71&lt;=399.99,Kargo!$E$3,$F71)))</f>
        <v/>
      </c>
      <c r="J71" s="12">
        <f>IF(I71="","",I71/G71)</f>
        <v/>
      </c>
      <c r="K71" s="10">
        <f>IF($B71="","",IF('Komisyon Tarifeleri'!J71="","",'Komisyon Tarifeleri'!J71))</f>
        <v/>
      </c>
      <c r="L71" s="11">
        <f>IF(K71="","",IF($AM$1=2,'Komisyon Tarifeleri'!V71,'Komisyon Tarifeleri'!Q71))</f>
        <v/>
      </c>
      <c r="M71" s="10">
        <f>IF(OR(K71="",$D71=""),"",K71*(1-L71/100)-$D71-IF(K71&lt;=199.99,Kargo!$E$2,IF(K71&lt;=399.99,Kargo!$E$3,$F71)))</f>
        <v/>
      </c>
      <c r="N71" s="12">
        <f>IF(M71="","",M71/K71)</f>
        <v/>
      </c>
      <c r="O71" s="10">
        <f>IF($B71="","",IF('Komisyon Tarifeleri'!L71="","",'Komisyon Tarifeleri'!L71))</f>
        <v/>
      </c>
      <c r="P71" s="11">
        <f>IF(O71="","",IF($AM$1=2,'Komisyon Tarifeleri'!W71,'Komisyon Tarifeleri'!R71))</f>
        <v/>
      </c>
      <c r="Q71" s="10">
        <f>IF(OR(O71="",$D71=""),"",O71*(1-P71/100)-$D71-IF(O71&lt;=199.99,Kargo!$E$2,IF(O71&lt;=399.99,Kargo!$E$3,$F71)))</f>
        <v/>
      </c>
      <c r="R71" s="12">
        <f>IF(Q71="","",Q71/O71)</f>
        <v/>
      </c>
      <c r="S71" s="10">
        <f>IF($B71="","",IF('Komisyon Tarifeleri'!N71="","",'Komisyon Tarifeleri'!N71))</f>
        <v/>
      </c>
      <c r="T71" s="11">
        <f>IF(S71="","",IF($AM$1=2,'Komisyon Tarifeleri'!X71,'Komisyon Tarifeleri'!S71))</f>
        <v/>
      </c>
      <c r="U71" s="10">
        <f>IF(OR(S71="",$D71=""),"",S71*(1-T71/100)-$D71-IF(S71&lt;=199.99,Kargo!$E$2,IF(S71&lt;=399.99,Kargo!$E$3,$F71)))</f>
        <v/>
      </c>
      <c r="V71" s="12">
        <f>IF(U71="","",U71/S71)</f>
        <v/>
      </c>
      <c r="W71" s="12">
        <f>IF($B71="","",IFERROR(VLOOKUP($C71,Hedefler!$A:$C,2,FALSE),0.04))</f>
        <v/>
      </c>
      <c r="X71" s="12">
        <f>IF($B71="","",IFERROR(VLOOKUP($C71,Hedefler!$A:$C,3,FALSE),0.1))</f>
        <v/>
      </c>
      <c r="Y71" s="13">
        <f>IF($B71="","",IFERROR(VLOOKUP($B71,Maliyetler!$A:$E,5,FALSE),""))</f>
        <v/>
      </c>
      <c r="Z71" s="13">
        <f>IF(OR(Y71="",Y71=0),"",Y71-1)</f>
        <v/>
      </c>
      <c r="AA71" s="14">
        <f>IF(Z71="","",IF(Z71&gt;='Komisyon Tarifeleri'!I71,IF($AM$1=2,'Komisyon Tarifeleri'!U71,'Komisyon Tarifeleri'!P71),IF(Z71&gt;='Komisyon Tarifeleri'!K71,IF($AM$1=2,'Komisyon Tarifeleri'!V71,'Komisyon Tarifeleri'!Q71),IF(Z71&gt;='Komisyon Tarifeleri'!M71,IF($AM$1=2,'Komisyon Tarifeleri'!W71,'Komisyon Tarifeleri'!R71),IF($AM$1=2,'Komisyon Tarifeleri'!X71,'Komisyon Tarifeleri'!S71)))))</f>
        <v/>
      </c>
      <c r="AB71" s="13">
        <f>IF(OR(AA71="",$D71=""),"",Z71*(1-AA71/100)-$D71-IF(Z71&lt;=199.99,Kargo!$E$2,IF(Z71&lt;=399.99,Kargo!$E$3,$F71)))</f>
        <v/>
      </c>
      <c r="AC71" s="15">
        <f>IF(AB71="","",AB71/Z71)</f>
        <v/>
      </c>
      <c r="AD71" s="10">
        <f>IF(OR($D71="",$B71=""),"",IF(AND((1-T71/100-W71)&gt;0,CEILING(($D71+$F71)/(1-T71/100-W71),1)&lt;='Komisyon Tarifeleri'!N71),CEILING(($D71+$F71)/(1-T71/100-W71),1),IF(AND((1-P71/100-W71)&gt;0,CEILING(MAX('Komisyon Tarifeleri'!M71,($D71+$F71)/(1-P71/100-W71)),1)&lt;='Komisyon Tarifeleri'!L71),CEILING(MAX('Komisyon Tarifeleri'!M71,($D71+$F71)/(1-P71/100-W71)),1),IF(AND((1-L71/100-W71)&gt;0,CEILING(MAX('Komisyon Tarifeleri'!K71,($D71+$F71)/(1-L71/100-W71)),1)&lt;='Komisyon Tarifeleri'!J71),CEILING(MAX('Komisyon Tarifeleri'!K71,($D71+$F71)/(1-L71/100-W71)),1),IF((1-H71/100-W71)&gt;0,CEILING(MAX('Komisyon Tarifeleri'!I71,($D71+$F71)/(1-H71/100-W71)),1),"İMKÂNSIZ")))))</f>
        <v/>
      </c>
      <c r="AE71" s="10">
        <f>IF(OR($D71="",$B71=""),"",IF(AND((1-T71/100-X71)&gt;0,CEILING(($D71+$F71)/(1-T71/100-X71),1)&lt;='Komisyon Tarifeleri'!N71),CEILING(($D71+$F71)/(1-T71/100-X71),1),IF(AND((1-P71/100-X71)&gt;0,CEILING(MAX('Komisyon Tarifeleri'!M71,($D71+$F71)/(1-P71/100-X71)),1)&lt;='Komisyon Tarifeleri'!L71),CEILING(MAX('Komisyon Tarifeleri'!M71,($D71+$F71)/(1-P71/100-X71)),1),IF(AND((1-L71/100-X71)&gt;0,CEILING(MAX('Komisyon Tarifeleri'!K71,($D71+$F71)/(1-L71/100-X71)),1)&lt;='Komisyon Tarifeleri'!J71),CEILING(MAX('Komisyon Tarifeleri'!K71,($D71+$F71)/(1-L71/100-X71)),1),IF((1-H71/100-X71)&gt;0,CEILING(MAX('Komisyon Tarifeleri'!I71,($D71+$F71)/(1-H71/100-X71)),1),"İMKÂNSIZ")))))</f>
        <v/>
      </c>
      <c r="AF71" s="16">
        <f>IF($D71="","",IF(AND(Y71&lt;&gt;"",AC71&lt;&gt;"",AC71&gt;=W71),Z71,IF(Y71&lt;&gt;"",AD71,AE71)))</f>
        <v/>
      </c>
      <c r="AG71" s="16">
        <f>IF(OR(AF71="",AF71="İMKÂNSIZ"),"",AF71*(1-IF(AF71&gt;='Komisyon Tarifeleri'!I71,IF($AM$1=2,'Komisyon Tarifeleri'!U71,'Komisyon Tarifeleri'!P71),IF(AF71&gt;='Komisyon Tarifeleri'!K71,IF($AM$1=2,'Komisyon Tarifeleri'!V71,'Komisyon Tarifeleri'!Q71),IF(AF71&gt;='Komisyon Tarifeleri'!M71,IF($AM$1=2,'Komisyon Tarifeleri'!W71,'Komisyon Tarifeleri'!R71),IF($AM$1=2,'Komisyon Tarifeleri'!X71,'Komisyon Tarifeleri'!S71))))/100)-$D71-IF(AF71&lt;=199.99,Kargo!$E$2,IF(AF71&lt;=399.99,Kargo!$E$3,$F71)))</f>
        <v/>
      </c>
      <c r="AH71" s="17">
        <f>IF(AG71="","",AG71/AF71)</f>
        <v/>
      </c>
      <c r="AI71" s="18">
        <f>IF($D71="","",IF(Y71="","BUYBOX YOK → hedef kârla min fiyat",IF(AC71&gt;=W71,"✓ BUYBOX ALTINA GİR","BUYBOX ALTI KÂRSIZ → min kârlı fiyat")))</f>
        <v/>
      </c>
      <c r="AJ71" s="10">
        <f>IF($B71="","",IFERROR(VLOOKUP($B71,Maliyetler!$A:$G,6,FALSE),""))</f>
        <v/>
      </c>
      <c r="AK71">
        <f>IF($B71="","",IFERROR(VLOOKUP($B71,Maliyetler!$A:$G,7,FALSE),""))</f>
        <v/>
      </c>
      <c r="AO71" s="21">
        <f>IF($B71="","",IFERROR(VLOOKUP($B71&amp;"",'Plus Tarifeleri'!$C:$Q,11,FALSE),""))</f>
        <v/>
      </c>
      <c r="AP71" s="22">
        <f>IF(AO71="","",IFERROR(IF($AM$1=2,VLOOKUP($B71&amp;"",'Plus Tarifeleri'!$C:$Q,15,FALSE),VLOOKUP($B71&amp;"",'Plus Tarifeleri'!$C:$Q,13,FALSE)),""))</f>
        <v/>
      </c>
      <c r="AQ71" s="21">
        <f>IF(OR(AO71="",AP71="",$D71=""),"",AO71*(1-AP71/100)-$D71-IF(AO71&lt;=199.99,Kargo!$E$2,IF(AO71&lt;=399.99,Kargo!$E$3,$F71)))</f>
        <v/>
      </c>
      <c r="AR71" s="23">
        <f>IF(AQ71="","",AQ71/AO71)</f>
        <v/>
      </c>
      <c r="AS71" s="24">
        <f>IF(OR(AQ71="",AG71=""),"",AQ71-AG71)</f>
        <v/>
      </c>
    </row>
    <row r="72">
      <c r="A72">
        <f>IF('Komisyon Tarifeleri'!A72="","",'Komisyon Tarifeleri'!A72)</f>
        <v/>
      </c>
      <c r="B72">
        <f>IF('Komisyon Tarifeleri'!B72="","",'Komisyon Tarifeleri'!B72&amp;"")</f>
        <v/>
      </c>
      <c r="C72">
        <f>IF($B72="","",'Komisyon Tarifeleri'!F72)</f>
        <v/>
      </c>
      <c r="D72" s="10">
        <f>IF($B72="","",IFERROR(VLOOKUP($B72,Maliyetler!$A:$E,3,FALSE),""))</f>
        <v/>
      </c>
      <c r="E72">
        <f>IF($B72="","",IFERROR(VLOOKUP($B72,Maliyetler!$A:$E,4,FALSE),1))</f>
        <v/>
      </c>
      <c r="F72" s="10">
        <f>IF($B72="","",IFERROR(VLOOKUP(MIN(20,MAX(1,ROUND($E72,0))),Kargo!$A:$B,2,FALSE),99.46))</f>
        <v/>
      </c>
      <c r="G72" s="10">
        <f>IF($B72="","",IF(IF(N('Komisyon Tarifeleri'!AA72)&gt;='Komisyon Tarifeleri'!I72,'Komisyon Tarifeleri'!AA72,'Komisyon Tarifeleri'!I72)="","",IF(N('Komisyon Tarifeleri'!AA72)&gt;='Komisyon Tarifeleri'!I72,'Komisyon Tarifeleri'!AA72,'Komisyon Tarifeleri'!I72)))</f>
        <v/>
      </c>
      <c r="H72" s="11">
        <f>IF(G72="","",IF($AM$1=2,'Komisyon Tarifeleri'!U72,'Komisyon Tarifeleri'!P72))</f>
        <v/>
      </c>
      <c r="I72" s="10">
        <f>IF(OR(G72="",$D72=""),"",G72*(1-H72/100)-$D72-IF(G72&lt;=199.99,Kargo!$E$2,IF(G72&lt;=399.99,Kargo!$E$3,$F72)))</f>
        <v/>
      </c>
      <c r="J72" s="12">
        <f>IF(I72="","",I72/G72)</f>
        <v/>
      </c>
      <c r="K72" s="10">
        <f>IF($B72="","",IF('Komisyon Tarifeleri'!J72="","",'Komisyon Tarifeleri'!J72))</f>
        <v/>
      </c>
      <c r="L72" s="11">
        <f>IF(K72="","",IF($AM$1=2,'Komisyon Tarifeleri'!V72,'Komisyon Tarifeleri'!Q72))</f>
        <v/>
      </c>
      <c r="M72" s="10">
        <f>IF(OR(K72="",$D72=""),"",K72*(1-L72/100)-$D72-IF(K72&lt;=199.99,Kargo!$E$2,IF(K72&lt;=399.99,Kargo!$E$3,$F72)))</f>
        <v/>
      </c>
      <c r="N72" s="12">
        <f>IF(M72="","",M72/K72)</f>
        <v/>
      </c>
      <c r="O72" s="10">
        <f>IF($B72="","",IF('Komisyon Tarifeleri'!L72="","",'Komisyon Tarifeleri'!L72))</f>
        <v/>
      </c>
      <c r="P72" s="11">
        <f>IF(O72="","",IF($AM$1=2,'Komisyon Tarifeleri'!W72,'Komisyon Tarifeleri'!R72))</f>
        <v/>
      </c>
      <c r="Q72" s="10">
        <f>IF(OR(O72="",$D72=""),"",O72*(1-P72/100)-$D72-IF(O72&lt;=199.99,Kargo!$E$2,IF(O72&lt;=399.99,Kargo!$E$3,$F72)))</f>
        <v/>
      </c>
      <c r="R72" s="12">
        <f>IF(Q72="","",Q72/O72)</f>
        <v/>
      </c>
      <c r="S72" s="10">
        <f>IF($B72="","",IF('Komisyon Tarifeleri'!N72="","",'Komisyon Tarifeleri'!N72))</f>
        <v/>
      </c>
      <c r="T72" s="11">
        <f>IF(S72="","",IF($AM$1=2,'Komisyon Tarifeleri'!X72,'Komisyon Tarifeleri'!S72))</f>
        <v/>
      </c>
      <c r="U72" s="10">
        <f>IF(OR(S72="",$D72=""),"",S72*(1-T72/100)-$D72-IF(S72&lt;=199.99,Kargo!$E$2,IF(S72&lt;=399.99,Kargo!$E$3,$F72)))</f>
        <v/>
      </c>
      <c r="V72" s="12">
        <f>IF(U72="","",U72/S72)</f>
        <v/>
      </c>
      <c r="W72" s="12">
        <f>IF($B72="","",IFERROR(VLOOKUP($C72,Hedefler!$A:$C,2,FALSE),0.04))</f>
        <v/>
      </c>
      <c r="X72" s="12">
        <f>IF($B72="","",IFERROR(VLOOKUP($C72,Hedefler!$A:$C,3,FALSE),0.1))</f>
        <v/>
      </c>
      <c r="Y72" s="13">
        <f>IF($B72="","",IFERROR(VLOOKUP($B72,Maliyetler!$A:$E,5,FALSE),""))</f>
        <v/>
      </c>
      <c r="Z72" s="13">
        <f>IF(OR(Y72="",Y72=0),"",Y72-1)</f>
        <v/>
      </c>
      <c r="AA72" s="14">
        <f>IF(Z72="","",IF(Z72&gt;='Komisyon Tarifeleri'!I72,IF($AM$1=2,'Komisyon Tarifeleri'!U72,'Komisyon Tarifeleri'!P72),IF(Z72&gt;='Komisyon Tarifeleri'!K72,IF($AM$1=2,'Komisyon Tarifeleri'!V72,'Komisyon Tarifeleri'!Q72),IF(Z72&gt;='Komisyon Tarifeleri'!M72,IF($AM$1=2,'Komisyon Tarifeleri'!W72,'Komisyon Tarifeleri'!R72),IF($AM$1=2,'Komisyon Tarifeleri'!X72,'Komisyon Tarifeleri'!S72)))))</f>
        <v/>
      </c>
      <c r="AB72" s="13">
        <f>IF(OR(AA72="",$D72=""),"",Z72*(1-AA72/100)-$D72-IF(Z72&lt;=199.99,Kargo!$E$2,IF(Z72&lt;=399.99,Kargo!$E$3,$F72)))</f>
        <v/>
      </c>
      <c r="AC72" s="15">
        <f>IF(AB72="","",AB72/Z72)</f>
        <v/>
      </c>
      <c r="AD72" s="10">
        <f>IF(OR($D72="",$B72=""),"",IF(AND((1-T72/100-W72)&gt;0,CEILING(($D72+$F72)/(1-T72/100-W72),1)&lt;='Komisyon Tarifeleri'!N72),CEILING(($D72+$F72)/(1-T72/100-W72),1),IF(AND((1-P72/100-W72)&gt;0,CEILING(MAX('Komisyon Tarifeleri'!M72,($D72+$F72)/(1-P72/100-W72)),1)&lt;='Komisyon Tarifeleri'!L72),CEILING(MAX('Komisyon Tarifeleri'!M72,($D72+$F72)/(1-P72/100-W72)),1),IF(AND((1-L72/100-W72)&gt;0,CEILING(MAX('Komisyon Tarifeleri'!K72,($D72+$F72)/(1-L72/100-W72)),1)&lt;='Komisyon Tarifeleri'!J72),CEILING(MAX('Komisyon Tarifeleri'!K72,($D72+$F72)/(1-L72/100-W72)),1),IF((1-H72/100-W72)&gt;0,CEILING(MAX('Komisyon Tarifeleri'!I72,($D72+$F72)/(1-H72/100-W72)),1),"İMKÂNSIZ")))))</f>
        <v/>
      </c>
      <c r="AE72" s="10">
        <f>IF(OR($D72="",$B72=""),"",IF(AND((1-T72/100-X72)&gt;0,CEILING(($D72+$F72)/(1-T72/100-X72),1)&lt;='Komisyon Tarifeleri'!N72),CEILING(($D72+$F72)/(1-T72/100-X72),1),IF(AND((1-P72/100-X72)&gt;0,CEILING(MAX('Komisyon Tarifeleri'!M72,($D72+$F72)/(1-P72/100-X72)),1)&lt;='Komisyon Tarifeleri'!L72),CEILING(MAX('Komisyon Tarifeleri'!M72,($D72+$F72)/(1-P72/100-X72)),1),IF(AND((1-L72/100-X72)&gt;0,CEILING(MAX('Komisyon Tarifeleri'!K72,($D72+$F72)/(1-L72/100-X72)),1)&lt;='Komisyon Tarifeleri'!J72),CEILING(MAX('Komisyon Tarifeleri'!K72,($D72+$F72)/(1-L72/100-X72)),1),IF((1-H72/100-X72)&gt;0,CEILING(MAX('Komisyon Tarifeleri'!I72,($D72+$F72)/(1-H72/100-X72)),1),"İMKÂNSIZ")))))</f>
        <v/>
      </c>
      <c r="AF72" s="16">
        <f>IF($D72="","",IF(AND(Y72&lt;&gt;"",AC72&lt;&gt;"",AC72&gt;=W72),Z72,IF(Y72&lt;&gt;"",AD72,AE72)))</f>
        <v/>
      </c>
      <c r="AG72" s="16">
        <f>IF(OR(AF72="",AF72="İMKÂNSIZ"),"",AF72*(1-IF(AF72&gt;='Komisyon Tarifeleri'!I72,IF($AM$1=2,'Komisyon Tarifeleri'!U72,'Komisyon Tarifeleri'!P72),IF(AF72&gt;='Komisyon Tarifeleri'!K72,IF($AM$1=2,'Komisyon Tarifeleri'!V72,'Komisyon Tarifeleri'!Q72),IF(AF72&gt;='Komisyon Tarifeleri'!M72,IF($AM$1=2,'Komisyon Tarifeleri'!W72,'Komisyon Tarifeleri'!R72),IF($AM$1=2,'Komisyon Tarifeleri'!X72,'Komisyon Tarifeleri'!S72))))/100)-$D72-IF(AF72&lt;=199.99,Kargo!$E$2,IF(AF72&lt;=399.99,Kargo!$E$3,$F72)))</f>
        <v/>
      </c>
      <c r="AH72" s="17">
        <f>IF(AG72="","",AG72/AF72)</f>
        <v/>
      </c>
      <c r="AI72" s="18">
        <f>IF($D72="","",IF(Y72="","BUYBOX YOK → hedef kârla min fiyat",IF(AC72&gt;=W72,"✓ BUYBOX ALTINA GİR","BUYBOX ALTI KÂRSIZ → min kârlı fiyat")))</f>
        <v/>
      </c>
      <c r="AJ72" s="10">
        <f>IF($B72="","",IFERROR(VLOOKUP($B72,Maliyetler!$A:$G,6,FALSE),""))</f>
        <v/>
      </c>
      <c r="AK72">
        <f>IF($B72="","",IFERROR(VLOOKUP($B72,Maliyetler!$A:$G,7,FALSE),""))</f>
        <v/>
      </c>
      <c r="AO72" s="21">
        <f>IF($B72="","",IFERROR(VLOOKUP($B72&amp;"",'Plus Tarifeleri'!$C:$Q,11,FALSE),""))</f>
        <v/>
      </c>
      <c r="AP72" s="22">
        <f>IF(AO72="","",IFERROR(IF($AM$1=2,VLOOKUP($B72&amp;"",'Plus Tarifeleri'!$C:$Q,15,FALSE),VLOOKUP($B72&amp;"",'Plus Tarifeleri'!$C:$Q,13,FALSE)),""))</f>
        <v/>
      </c>
      <c r="AQ72" s="21">
        <f>IF(OR(AO72="",AP72="",$D72=""),"",AO72*(1-AP72/100)-$D72-IF(AO72&lt;=199.99,Kargo!$E$2,IF(AO72&lt;=399.99,Kargo!$E$3,$F72)))</f>
        <v/>
      </c>
      <c r="AR72" s="23">
        <f>IF(AQ72="","",AQ72/AO72)</f>
        <v/>
      </c>
      <c r="AS72" s="24">
        <f>IF(OR(AQ72="",AG72=""),"",AQ72-AG72)</f>
        <v/>
      </c>
    </row>
    <row r="73">
      <c r="A73">
        <f>IF('Komisyon Tarifeleri'!A73="","",'Komisyon Tarifeleri'!A73)</f>
        <v/>
      </c>
      <c r="B73">
        <f>IF('Komisyon Tarifeleri'!B73="","",'Komisyon Tarifeleri'!B73&amp;"")</f>
        <v/>
      </c>
      <c r="C73">
        <f>IF($B73="","",'Komisyon Tarifeleri'!F73)</f>
        <v/>
      </c>
      <c r="D73" s="10">
        <f>IF($B73="","",IFERROR(VLOOKUP($B73,Maliyetler!$A:$E,3,FALSE),""))</f>
        <v/>
      </c>
      <c r="E73">
        <f>IF($B73="","",IFERROR(VLOOKUP($B73,Maliyetler!$A:$E,4,FALSE),1))</f>
        <v/>
      </c>
      <c r="F73" s="10">
        <f>IF($B73="","",IFERROR(VLOOKUP(MIN(20,MAX(1,ROUND($E73,0))),Kargo!$A:$B,2,FALSE),99.46))</f>
        <v/>
      </c>
      <c r="G73" s="10">
        <f>IF($B73="","",IF(IF(N('Komisyon Tarifeleri'!AA73)&gt;='Komisyon Tarifeleri'!I73,'Komisyon Tarifeleri'!AA73,'Komisyon Tarifeleri'!I73)="","",IF(N('Komisyon Tarifeleri'!AA73)&gt;='Komisyon Tarifeleri'!I73,'Komisyon Tarifeleri'!AA73,'Komisyon Tarifeleri'!I73)))</f>
        <v/>
      </c>
      <c r="H73" s="11">
        <f>IF(G73="","",IF($AM$1=2,'Komisyon Tarifeleri'!U73,'Komisyon Tarifeleri'!P73))</f>
        <v/>
      </c>
      <c r="I73" s="10">
        <f>IF(OR(G73="",$D73=""),"",G73*(1-H73/100)-$D73-IF(G73&lt;=199.99,Kargo!$E$2,IF(G73&lt;=399.99,Kargo!$E$3,$F73)))</f>
        <v/>
      </c>
      <c r="J73" s="12">
        <f>IF(I73="","",I73/G73)</f>
        <v/>
      </c>
      <c r="K73" s="10">
        <f>IF($B73="","",IF('Komisyon Tarifeleri'!J73="","",'Komisyon Tarifeleri'!J73))</f>
        <v/>
      </c>
      <c r="L73" s="11">
        <f>IF(K73="","",IF($AM$1=2,'Komisyon Tarifeleri'!V73,'Komisyon Tarifeleri'!Q73))</f>
        <v/>
      </c>
      <c r="M73" s="10">
        <f>IF(OR(K73="",$D73=""),"",K73*(1-L73/100)-$D73-IF(K73&lt;=199.99,Kargo!$E$2,IF(K73&lt;=399.99,Kargo!$E$3,$F73)))</f>
        <v/>
      </c>
      <c r="N73" s="12">
        <f>IF(M73="","",M73/K73)</f>
        <v/>
      </c>
      <c r="O73" s="10">
        <f>IF($B73="","",IF('Komisyon Tarifeleri'!L73="","",'Komisyon Tarifeleri'!L73))</f>
        <v/>
      </c>
      <c r="P73" s="11">
        <f>IF(O73="","",IF($AM$1=2,'Komisyon Tarifeleri'!W73,'Komisyon Tarifeleri'!R73))</f>
        <v/>
      </c>
      <c r="Q73" s="10">
        <f>IF(OR(O73="",$D73=""),"",O73*(1-P73/100)-$D73-IF(O73&lt;=199.99,Kargo!$E$2,IF(O73&lt;=399.99,Kargo!$E$3,$F73)))</f>
        <v/>
      </c>
      <c r="R73" s="12">
        <f>IF(Q73="","",Q73/O73)</f>
        <v/>
      </c>
      <c r="S73" s="10">
        <f>IF($B73="","",IF('Komisyon Tarifeleri'!N73="","",'Komisyon Tarifeleri'!N73))</f>
        <v/>
      </c>
      <c r="T73" s="11">
        <f>IF(S73="","",IF($AM$1=2,'Komisyon Tarifeleri'!X73,'Komisyon Tarifeleri'!S73))</f>
        <v/>
      </c>
      <c r="U73" s="10">
        <f>IF(OR(S73="",$D73=""),"",S73*(1-T73/100)-$D73-IF(S73&lt;=199.99,Kargo!$E$2,IF(S73&lt;=399.99,Kargo!$E$3,$F73)))</f>
        <v/>
      </c>
      <c r="V73" s="12">
        <f>IF(U73="","",U73/S73)</f>
        <v/>
      </c>
      <c r="W73" s="12">
        <f>IF($B73="","",IFERROR(VLOOKUP($C73,Hedefler!$A:$C,2,FALSE),0.04))</f>
        <v/>
      </c>
      <c r="X73" s="12">
        <f>IF($B73="","",IFERROR(VLOOKUP($C73,Hedefler!$A:$C,3,FALSE),0.1))</f>
        <v/>
      </c>
      <c r="Y73" s="13">
        <f>IF($B73="","",IFERROR(VLOOKUP($B73,Maliyetler!$A:$E,5,FALSE),""))</f>
        <v/>
      </c>
      <c r="Z73" s="13">
        <f>IF(OR(Y73="",Y73=0),"",Y73-1)</f>
        <v/>
      </c>
      <c r="AA73" s="14">
        <f>IF(Z73="","",IF(Z73&gt;='Komisyon Tarifeleri'!I73,IF($AM$1=2,'Komisyon Tarifeleri'!U73,'Komisyon Tarifeleri'!P73),IF(Z73&gt;='Komisyon Tarifeleri'!K73,IF($AM$1=2,'Komisyon Tarifeleri'!V73,'Komisyon Tarifeleri'!Q73),IF(Z73&gt;='Komisyon Tarifeleri'!M73,IF($AM$1=2,'Komisyon Tarifeleri'!W73,'Komisyon Tarifeleri'!R73),IF($AM$1=2,'Komisyon Tarifeleri'!X73,'Komisyon Tarifeleri'!S73)))))</f>
        <v/>
      </c>
      <c r="AB73" s="13">
        <f>IF(OR(AA73="",$D73=""),"",Z73*(1-AA73/100)-$D73-IF(Z73&lt;=199.99,Kargo!$E$2,IF(Z73&lt;=399.99,Kargo!$E$3,$F73)))</f>
        <v/>
      </c>
      <c r="AC73" s="15">
        <f>IF(AB73="","",AB73/Z73)</f>
        <v/>
      </c>
      <c r="AD73" s="10">
        <f>IF(OR($D73="",$B73=""),"",IF(AND((1-T73/100-W73)&gt;0,CEILING(($D73+$F73)/(1-T73/100-W73),1)&lt;='Komisyon Tarifeleri'!N73),CEILING(($D73+$F73)/(1-T73/100-W73),1),IF(AND((1-P73/100-W73)&gt;0,CEILING(MAX('Komisyon Tarifeleri'!M73,($D73+$F73)/(1-P73/100-W73)),1)&lt;='Komisyon Tarifeleri'!L73),CEILING(MAX('Komisyon Tarifeleri'!M73,($D73+$F73)/(1-P73/100-W73)),1),IF(AND((1-L73/100-W73)&gt;0,CEILING(MAX('Komisyon Tarifeleri'!K73,($D73+$F73)/(1-L73/100-W73)),1)&lt;='Komisyon Tarifeleri'!J73),CEILING(MAX('Komisyon Tarifeleri'!K73,($D73+$F73)/(1-L73/100-W73)),1),IF((1-H73/100-W73)&gt;0,CEILING(MAX('Komisyon Tarifeleri'!I73,($D73+$F73)/(1-H73/100-W73)),1),"İMKÂNSIZ")))))</f>
        <v/>
      </c>
      <c r="AE73" s="10">
        <f>IF(OR($D73="",$B73=""),"",IF(AND((1-T73/100-X73)&gt;0,CEILING(($D73+$F73)/(1-T73/100-X73),1)&lt;='Komisyon Tarifeleri'!N73),CEILING(($D73+$F73)/(1-T73/100-X73),1),IF(AND((1-P73/100-X73)&gt;0,CEILING(MAX('Komisyon Tarifeleri'!M73,($D73+$F73)/(1-P73/100-X73)),1)&lt;='Komisyon Tarifeleri'!L73),CEILING(MAX('Komisyon Tarifeleri'!M73,($D73+$F73)/(1-P73/100-X73)),1),IF(AND((1-L73/100-X73)&gt;0,CEILING(MAX('Komisyon Tarifeleri'!K73,($D73+$F73)/(1-L73/100-X73)),1)&lt;='Komisyon Tarifeleri'!J73),CEILING(MAX('Komisyon Tarifeleri'!K73,($D73+$F73)/(1-L73/100-X73)),1),IF((1-H73/100-X73)&gt;0,CEILING(MAX('Komisyon Tarifeleri'!I73,($D73+$F73)/(1-H73/100-X73)),1),"İMKÂNSIZ")))))</f>
        <v/>
      </c>
      <c r="AF73" s="16">
        <f>IF($D73="","",IF(AND(Y73&lt;&gt;"",AC73&lt;&gt;"",AC73&gt;=W73),Z73,IF(Y73&lt;&gt;"",AD73,AE73)))</f>
        <v/>
      </c>
      <c r="AG73" s="16">
        <f>IF(OR(AF73="",AF73="İMKÂNSIZ"),"",AF73*(1-IF(AF73&gt;='Komisyon Tarifeleri'!I73,IF($AM$1=2,'Komisyon Tarifeleri'!U73,'Komisyon Tarifeleri'!P73),IF(AF73&gt;='Komisyon Tarifeleri'!K73,IF($AM$1=2,'Komisyon Tarifeleri'!V73,'Komisyon Tarifeleri'!Q73),IF(AF73&gt;='Komisyon Tarifeleri'!M73,IF($AM$1=2,'Komisyon Tarifeleri'!W73,'Komisyon Tarifeleri'!R73),IF($AM$1=2,'Komisyon Tarifeleri'!X73,'Komisyon Tarifeleri'!S73))))/100)-$D73-IF(AF73&lt;=199.99,Kargo!$E$2,IF(AF73&lt;=399.99,Kargo!$E$3,$F73)))</f>
        <v/>
      </c>
      <c r="AH73" s="17">
        <f>IF(AG73="","",AG73/AF73)</f>
        <v/>
      </c>
      <c r="AI73" s="18">
        <f>IF($D73="","",IF(Y73="","BUYBOX YOK → hedef kârla min fiyat",IF(AC73&gt;=W73,"✓ BUYBOX ALTINA GİR","BUYBOX ALTI KÂRSIZ → min kârlı fiyat")))</f>
        <v/>
      </c>
      <c r="AJ73" s="10">
        <f>IF($B73="","",IFERROR(VLOOKUP($B73,Maliyetler!$A:$G,6,FALSE),""))</f>
        <v/>
      </c>
      <c r="AK73">
        <f>IF($B73="","",IFERROR(VLOOKUP($B73,Maliyetler!$A:$G,7,FALSE),""))</f>
        <v/>
      </c>
      <c r="AO73" s="21">
        <f>IF($B73="","",IFERROR(VLOOKUP($B73&amp;"",'Plus Tarifeleri'!$C:$Q,11,FALSE),""))</f>
        <v/>
      </c>
      <c r="AP73" s="22">
        <f>IF(AO73="","",IFERROR(IF($AM$1=2,VLOOKUP($B73&amp;"",'Plus Tarifeleri'!$C:$Q,15,FALSE),VLOOKUP($B73&amp;"",'Plus Tarifeleri'!$C:$Q,13,FALSE)),""))</f>
        <v/>
      </c>
      <c r="AQ73" s="21">
        <f>IF(OR(AO73="",AP73="",$D73=""),"",AO73*(1-AP73/100)-$D73-IF(AO73&lt;=199.99,Kargo!$E$2,IF(AO73&lt;=399.99,Kargo!$E$3,$F73)))</f>
        <v/>
      </c>
      <c r="AR73" s="23">
        <f>IF(AQ73="","",AQ73/AO73)</f>
        <v/>
      </c>
      <c r="AS73" s="24">
        <f>IF(OR(AQ73="",AG73=""),"",AQ73-AG73)</f>
        <v/>
      </c>
    </row>
    <row r="74">
      <c r="A74">
        <f>IF('Komisyon Tarifeleri'!A74="","",'Komisyon Tarifeleri'!A74)</f>
        <v/>
      </c>
      <c r="B74">
        <f>IF('Komisyon Tarifeleri'!B74="","",'Komisyon Tarifeleri'!B74&amp;"")</f>
        <v/>
      </c>
      <c r="C74">
        <f>IF($B74="","",'Komisyon Tarifeleri'!F74)</f>
        <v/>
      </c>
      <c r="D74" s="10">
        <f>IF($B74="","",IFERROR(VLOOKUP($B74,Maliyetler!$A:$E,3,FALSE),""))</f>
        <v/>
      </c>
      <c r="E74">
        <f>IF($B74="","",IFERROR(VLOOKUP($B74,Maliyetler!$A:$E,4,FALSE),1))</f>
        <v/>
      </c>
      <c r="F74" s="10">
        <f>IF($B74="","",IFERROR(VLOOKUP(MIN(20,MAX(1,ROUND($E74,0))),Kargo!$A:$B,2,FALSE),99.46))</f>
        <v/>
      </c>
      <c r="G74" s="10">
        <f>IF($B74="","",IF(IF(N('Komisyon Tarifeleri'!AA74)&gt;='Komisyon Tarifeleri'!I74,'Komisyon Tarifeleri'!AA74,'Komisyon Tarifeleri'!I74)="","",IF(N('Komisyon Tarifeleri'!AA74)&gt;='Komisyon Tarifeleri'!I74,'Komisyon Tarifeleri'!AA74,'Komisyon Tarifeleri'!I74)))</f>
        <v/>
      </c>
      <c r="H74" s="11">
        <f>IF(G74="","",IF($AM$1=2,'Komisyon Tarifeleri'!U74,'Komisyon Tarifeleri'!P74))</f>
        <v/>
      </c>
      <c r="I74" s="10">
        <f>IF(OR(G74="",$D74=""),"",G74*(1-H74/100)-$D74-IF(G74&lt;=199.99,Kargo!$E$2,IF(G74&lt;=399.99,Kargo!$E$3,$F74)))</f>
        <v/>
      </c>
      <c r="J74" s="12">
        <f>IF(I74="","",I74/G74)</f>
        <v/>
      </c>
      <c r="K74" s="10">
        <f>IF($B74="","",IF('Komisyon Tarifeleri'!J74="","",'Komisyon Tarifeleri'!J74))</f>
        <v/>
      </c>
      <c r="L74" s="11">
        <f>IF(K74="","",IF($AM$1=2,'Komisyon Tarifeleri'!V74,'Komisyon Tarifeleri'!Q74))</f>
        <v/>
      </c>
      <c r="M74" s="10">
        <f>IF(OR(K74="",$D74=""),"",K74*(1-L74/100)-$D74-IF(K74&lt;=199.99,Kargo!$E$2,IF(K74&lt;=399.99,Kargo!$E$3,$F74)))</f>
        <v/>
      </c>
      <c r="N74" s="12">
        <f>IF(M74="","",M74/K74)</f>
        <v/>
      </c>
      <c r="O74" s="10">
        <f>IF($B74="","",IF('Komisyon Tarifeleri'!L74="","",'Komisyon Tarifeleri'!L74))</f>
        <v/>
      </c>
      <c r="P74" s="11">
        <f>IF(O74="","",IF($AM$1=2,'Komisyon Tarifeleri'!W74,'Komisyon Tarifeleri'!R74))</f>
        <v/>
      </c>
      <c r="Q74" s="10">
        <f>IF(OR(O74="",$D74=""),"",O74*(1-P74/100)-$D74-IF(O74&lt;=199.99,Kargo!$E$2,IF(O74&lt;=399.99,Kargo!$E$3,$F74)))</f>
        <v/>
      </c>
      <c r="R74" s="12">
        <f>IF(Q74="","",Q74/O74)</f>
        <v/>
      </c>
      <c r="S74" s="10">
        <f>IF($B74="","",IF('Komisyon Tarifeleri'!N74="","",'Komisyon Tarifeleri'!N74))</f>
        <v/>
      </c>
      <c r="T74" s="11">
        <f>IF(S74="","",IF($AM$1=2,'Komisyon Tarifeleri'!X74,'Komisyon Tarifeleri'!S74))</f>
        <v/>
      </c>
      <c r="U74" s="10">
        <f>IF(OR(S74="",$D74=""),"",S74*(1-T74/100)-$D74-IF(S74&lt;=199.99,Kargo!$E$2,IF(S74&lt;=399.99,Kargo!$E$3,$F74)))</f>
        <v/>
      </c>
      <c r="V74" s="12">
        <f>IF(U74="","",U74/S74)</f>
        <v/>
      </c>
      <c r="W74" s="12">
        <f>IF($B74="","",IFERROR(VLOOKUP($C74,Hedefler!$A:$C,2,FALSE),0.04))</f>
        <v/>
      </c>
      <c r="X74" s="12">
        <f>IF($B74="","",IFERROR(VLOOKUP($C74,Hedefler!$A:$C,3,FALSE),0.1))</f>
        <v/>
      </c>
      <c r="Y74" s="13">
        <f>IF($B74="","",IFERROR(VLOOKUP($B74,Maliyetler!$A:$E,5,FALSE),""))</f>
        <v/>
      </c>
      <c r="Z74" s="13">
        <f>IF(OR(Y74="",Y74=0),"",Y74-1)</f>
        <v/>
      </c>
      <c r="AA74" s="14">
        <f>IF(Z74="","",IF(Z74&gt;='Komisyon Tarifeleri'!I74,IF($AM$1=2,'Komisyon Tarifeleri'!U74,'Komisyon Tarifeleri'!P74),IF(Z74&gt;='Komisyon Tarifeleri'!K74,IF($AM$1=2,'Komisyon Tarifeleri'!V74,'Komisyon Tarifeleri'!Q74),IF(Z74&gt;='Komisyon Tarifeleri'!M74,IF($AM$1=2,'Komisyon Tarifeleri'!W74,'Komisyon Tarifeleri'!R74),IF($AM$1=2,'Komisyon Tarifeleri'!X74,'Komisyon Tarifeleri'!S74)))))</f>
        <v/>
      </c>
      <c r="AB74" s="13">
        <f>IF(OR(AA74="",$D74=""),"",Z74*(1-AA74/100)-$D74-IF(Z74&lt;=199.99,Kargo!$E$2,IF(Z74&lt;=399.99,Kargo!$E$3,$F74)))</f>
        <v/>
      </c>
      <c r="AC74" s="15">
        <f>IF(AB74="","",AB74/Z74)</f>
        <v/>
      </c>
      <c r="AD74" s="10">
        <f>IF(OR($D74="",$B74=""),"",IF(AND((1-T74/100-W74)&gt;0,CEILING(($D74+$F74)/(1-T74/100-W74),1)&lt;='Komisyon Tarifeleri'!N74),CEILING(($D74+$F74)/(1-T74/100-W74),1),IF(AND((1-P74/100-W74)&gt;0,CEILING(MAX('Komisyon Tarifeleri'!M74,($D74+$F74)/(1-P74/100-W74)),1)&lt;='Komisyon Tarifeleri'!L74),CEILING(MAX('Komisyon Tarifeleri'!M74,($D74+$F74)/(1-P74/100-W74)),1),IF(AND((1-L74/100-W74)&gt;0,CEILING(MAX('Komisyon Tarifeleri'!K74,($D74+$F74)/(1-L74/100-W74)),1)&lt;='Komisyon Tarifeleri'!J74),CEILING(MAX('Komisyon Tarifeleri'!K74,($D74+$F74)/(1-L74/100-W74)),1),IF((1-H74/100-W74)&gt;0,CEILING(MAX('Komisyon Tarifeleri'!I74,($D74+$F74)/(1-H74/100-W74)),1),"İMKÂNSIZ")))))</f>
        <v/>
      </c>
      <c r="AE74" s="10">
        <f>IF(OR($D74="",$B74=""),"",IF(AND((1-T74/100-X74)&gt;0,CEILING(($D74+$F74)/(1-T74/100-X74),1)&lt;='Komisyon Tarifeleri'!N74),CEILING(($D74+$F74)/(1-T74/100-X74),1),IF(AND((1-P74/100-X74)&gt;0,CEILING(MAX('Komisyon Tarifeleri'!M74,($D74+$F74)/(1-P74/100-X74)),1)&lt;='Komisyon Tarifeleri'!L74),CEILING(MAX('Komisyon Tarifeleri'!M74,($D74+$F74)/(1-P74/100-X74)),1),IF(AND((1-L74/100-X74)&gt;0,CEILING(MAX('Komisyon Tarifeleri'!K74,($D74+$F74)/(1-L74/100-X74)),1)&lt;='Komisyon Tarifeleri'!J74),CEILING(MAX('Komisyon Tarifeleri'!K74,($D74+$F74)/(1-L74/100-X74)),1),IF((1-H74/100-X74)&gt;0,CEILING(MAX('Komisyon Tarifeleri'!I74,($D74+$F74)/(1-H74/100-X74)),1),"İMKÂNSIZ")))))</f>
        <v/>
      </c>
      <c r="AF74" s="16">
        <f>IF($D74="","",IF(AND(Y74&lt;&gt;"",AC74&lt;&gt;"",AC74&gt;=W74),Z74,IF(Y74&lt;&gt;"",AD74,AE74)))</f>
        <v/>
      </c>
      <c r="AG74" s="16">
        <f>IF(OR(AF74="",AF74="İMKÂNSIZ"),"",AF74*(1-IF(AF74&gt;='Komisyon Tarifeleri'!I74,IF($AM$1=2,'Komisyon Tarifeleri'!U74,'Komisyon Tarifeleri'!P74),IF(AF74&gt;='Komisyon Tarifeleri'!K74,IF($AM$1=2,'Komisyon Tarifeleri'!V74,'Komisyon Tarifeleri'!Q74),IF(AF74&gt;='Komisyon Tarifeleri'!M74,IF($AM$1=2,'Komisyon Tarifeleri'!W74,'Komisyon Tarifeleri'!R74),IF($AM$1=2,'Komisyon Tarifeleri'!X74,'Komisyon Tarifeleri'!S74))))/100)-$D74-IF(AF74&lt;=199.99,Kargo!$E$2,IF(AF74&lt;=399.99,Kargo!$E$3,$F74)))</f>
        <v/>
      </c>
      <c r="AH74" s="17">
        <f>IF(AG74="","",AG74/AF74)</f>
        <v/>
      </c>
      <c r="AI74" s="18">
        <f>IF($D74="","",IF(Y74="","BUYBOX YOK → hedef kârla min fiyat",IF(AC74&gt;=W74,"✓ BUYBOX ALTINA GİR","BUYBOX ALTI KÂRSIZ → min kârlı fiyat")))</f>
        <v/>
      </c>
      <c r="AJ74" s="10">
        <f>IF($B74="","",IFERROR(VLOOKUP($B74,Maliyetler!$A:$G,6,FALSE),""))</f>
        <v/>
      </c>
      <c r="AK74">
        <f>IF($B74="","",IFERROR(VLOOKUP($B74,Maliyetler!$A:$G,7,FALSE),""))</f>
        <v/>
      </c>
      <c r="AO74" s="21">
        <f>IF($B74="","",IFERROR(VLOOKUP($B74&amp;"",'Plus Tarifeleri'!$C:$Q,11,FALSE),""))</f>
        <v/>
      </c>
      <c r="AP74" s="22">
        <f>IF(AO74="","",IFERROR(IF($AM$1=2,VLOOKUP($B74&amp;"",'Plus Tarifeleri'!$C:$Q,15,FALSE),VLOOKUP($B74&amp;"",'Plus Tarifeleri'!$C:$Q,13,FALSE)),""))</f>
        <v/>
      </c>
      <c r="AQ74" s="21">
        <f>IF(OR(AO74="",AP74="",$D74=""),"",AO74*(1-AP74/100)-$D74-IF(AO74&lt;=199.99,Kargo!$E$2,IF(AO74&lt;=399.99,Kargo!$E$3,$F74)))</f>
        <v/>
      </c>
      <c r="AR74" s="23">
        <f>IF(AQ74="","",AQ74/AO74)</f>
        <v/>
      </c>
      <c r="AS74" s="24">
        <f>IF(OR(AQ74="",AG74=""),"",AQ74-AG74)</f>
        <v/>
      </c>
    </row>
    <row r="75">
      <c r="A75">
        <f>IF('Komisyon Tarifeleri'!A75="","",'Komisyon Tarifeleri'!A75)</f>
        <v/>
      </c>
      <c r="B75">
        <f>IF('Komisyon Tarifeleri'!B75="","",'Komisyon Tarifeleri'!B75&amp;"")</f>
        <v/>
      </c>
      <c r="C75">
        <f>IF($B75="","",'Komisyon Tarifeleri'!F75)</f>
        <v/>
      </c>
      <c r="D75" s="10">
        <f>IF($B75="","",IFERROR(VLOOKUP($B75,Maliyetler!$A:$E,3,FALSE),""))</f>
        <v/>
      </c>
      <c r="E75">
        <f>IF($B75="","",IFERROR(VLOOKUP($B75,Maliyetler!$A:$E,4,FALSE),1))</f>
        <v/>
      </c>
      <c r="F75" s="10">
        <f>IF($B75="","",IFERROR(VLOOKUP(MIN(20,MAX(1,ROUND($E75,0))),Kargo!$A:$B,2,FALSE),99.46))</f>
        <v/>
      </c>
      <c r="G75" s="10">
        <f>IF($B75="","",IF(IF(N('Komisyon Tarifeleri'!AA75)&gt;='Komisyon Tarifeleri'!I75,'Komisyon Tarifeleri'!AA75,'Komisyon Tarifeleri'!I75)="","",IF(N('Komisyon Tarifeleri'!AA75)&gt;='Komisyon Tarifeleri'!I75,'Komisyon Tarifeleri'!AA75,'Komisyon Tarifeleri'!I75)))</f>
        <v/>
      </c>
      <c r="H75" s="11">
        <f>IF(G75="","",IF($AM$1=2,'Komisyon Tarifeleri'!U75,'Komisyon Tarifeleri'!P75))</f>
        <v/>
      </c>
      <c r="I75" s="10">
        <f>IF(OR(G75="",$D75=""),"",G75*(1-H75/100)-$D75-IF(G75&lt;=199.99,Kargo!$E$2,IF(G75&lt;=399.99,Kargo!$E$3,$F75)))</f>
        <v/>
      </c>
      <c r="J75" s="12">
        <f>IF(I75="","",I75/G75)</f>
        <v/>
      </c>
      <c r="K75" s="10">
        <f>IF($B75="","",IF('Komisyon Tarifeleri'!J75="","",'Komisyon Tarifeleri'!J75))</f>
        <v/>
      </c>
      <c r="L75" s="11">
        <f>IF(K75="","",IF($AM$1=2,'Komisyon Tarifeleri'!V75,'Komisyon Tarifeleri'!Q75))</f>
        <v/>
      </c>
      <c r="M75" s="10">
        <f>IF(OR(K75="",$D75=""),"",K75*(1-L75/100)-$D75-IF(K75&lt;=199.99,Kargo!$E$2,IF(K75&lt;=399.99,Kargo!$E$3,$F75)))</f>
        <v/>
      </c>
      <c r="N75" s="12">
        <f>IF(M75="","",M75/K75)</f>
        <v/>
      </c>
      <c r="O75" s="10">
        <f>IF($B75="","",IF('Komisyon Tarifeleri'!L75="","",'Komisyon Tarifeleri'!L75))</f>
        <v/>
      </c>
      <c r="P75" s="11">
        <f>IF(O75="","",IF($AM$1=2,'Komisyon Tarifeleri'!W75,'Komisyon Tarifeleri'!R75))</f>
        <v/>
      </c>
      <c r="Q75" s="10">
        <f>IF(OR(O75="",$D75=""),"",O75*(1-P75/100)-$D75-IF(O75&lt;=199.99,Kargo!$E$2,IF(O75&lt;=399.99,Kargo!$E$3,$F75)))</f>
        <v/>
      </c>
      <c r="R75" s="12">
        <f>IF(Q75="","",Q75/O75)</f>
        <v/>
      </c>
      <c r="S75" s="10">
        <f>IF($B75="","",IF('Komisyon Tarifeleri'!N75="","",'Komisyon Tarifeleri'!N75))</f>
        <v/>
      </c>
      <c r="T75" s="11">
        <f>IF(S75="","",IF($AM$1=2,'Komisyon Tarifeleri'!X75,'Komisyon Tarifeleri'!S75))</f>
        <v/>
      </c>
      <c r="U75" s="10">
        <f>IF(OR(S75="",$D75=""),"",S75*(1-T75/100)-$D75-IF(S75&lt;=199.99,Kargo!$E$2,IF(S75&lt;=399.99,Kargo!$E$3,$F75)))</f>
        <v/>
      </c>
      <c r="V75" s="12">
        <f>IF(U75="","",U75/S75)</f>
        <v/>
      </c>
      <c r="W75" s="12">
        <f>IF($B75="","",IFERROR(VLOOKUP($C75,Hedefler!$A:$C,2,FALSE),0.04))</f>
        <v/>
      </c>
      <c r="X75" s="12">
        <f>IF($B75="","",IFERROR(VLOOKUP($C75,Hedefler!$A:$C,3,FALSE),0.1))</f>
        <v/>
      </c>
      <c r="Y75" s="13">
        <f>IF($B75="","",IFERROR(VLOOKUP($B75,Maliyetler!$A:$E,5,FALSE),""))</f>
        <v/>
      </c>
      <c r="Z75" s="13">
        <f>IF(OR(Y75="",Y75=0),"",Y75-1)</f>
        <v/>
      </c>
      <c r="AA75" s="14">
        <f>IF(Z75="","",IF(Z75&gt;='Komisyon Tarifeleri'!I75,IF($AM$1=2,'Komisyon Tarifeleri'!U75,'Komisyon Tarifeleri'!P75),IF(Z75&gt;='Komisyon Tarifeleri'!K75,IF($AM$1=2,'Komisyon Tarifeleri'!V75,'Komisyon Tarifeleri'!Q75),IF(Z75&gt;='Komisyon Tarifeleri'!M75,IF($AM$1=2,'Komisyon Tarifeleri'!W75,'Komisyon Tarifeleri'!R75),IF($AM$1=2,'Komisyon Tarifeleri'!X75,'Komisyon Tarifeleri'!S75)))))</f>
        <v/>
      </c>
      <c r="AB75" s="13">
        <f>IF(OR(AA75="",$D75=""),"",Z75*(1-AA75/100)-$D75-IF(Z75&lt;=199.99,Kargo!$E$2,IF(Z75&lt;=399.99,Kargo!$E$3,$F75)))</f>
        <v/>
      </c>
      <c r="AC75" s="15">
        <f>IF(AB75="","",AB75/Z75)</f>
        <v/>
      </c>
      <c r="AD75" s="10">
        <f>IF(OR($D75="",$B75=""),"",IF(AND((1-T75/100-W75)&gt;0,CEILING(($D75+$F75)/(1-T75/100-W75),1)&lt;='Komisyon Tarifeleri'!N75),CEILING(($D75+$F75)/(1-T75/100-W75),1),IF(AND((1-P75/100-W75)&gt;0,CEILING(MAX('Komisyon Tarifeleri'!M75,($D75+$F75)/(1-P75/100-W75)),1)&lt;='Komisyon Tarifeleri'!L75),CEILING(MAX('Komisyon Tarifeleri'!M75,($D75+$F75)/(1-P75/100-W75)),1),IF(AND((1-L75/100-W75)&gt;0,CEILING(MAX('Komisyon Tarifeleri'!K75,($D75+$F75)/(1-L75/100-W75)),1)&lt;='Komisyon Tarifeleri'!J75),CEILING(MAX('Komisyon Tarifeleri'!K75,($D75+$F75)/(1-L75/100-W75)),1),IF((1-H75/100-W75)&gt;0,CEILING(MAX('Komisyon Tarifeleri'!I75,($D75+$F75)/(1-H75/100-W75)),1),"İMKÂNSIZ")))))</f>
        <v/>
      </c>
      <c r="AE75" s="10">
        <f>IF(OR($D75="",$B75=""),"",IF(AND((1-T75/100-X75)&gt;0,CEILING(($D75+$F75)/(1-T75/100-X75),1)&lt;='Komisyon Tarifeleri'!N75),CEILING(($D75+$F75)/(1-T75/100-X75),1),IF(AND((1-P75/100-X75)&gt;0,CEILING(MAX('Komisyon Tarifeleri'!M75,($D75+$F75)/(1-P75/100-X75)),1)&lt;='Komisyon Tarifeleri'!L75),CEILING(MAX('Komisyon Tarifeleri'!M75,($D75+$F75)/(1-P75/100-X75)),1),IF(AND((1-L75/100-X75)&gt;0,CEILING(MAX('Komisyon Tarifeleri'!K75,($D75+$F75)/(1-L75/100-X75)),1)&lt;='Komisyon Tarifeleri'!J75),CEILING(MAX('Komisyon Tarifeleri'!K75,($D75+$F75)/(1-L75/100-X75)),1),IF((1-H75/100-X75)&gt;0,CEILING(MAX('Komisyon Tarifeleri'!I75,($D75+$F75)/(1-H75/100-X75)),1),"İMKÂNSIZ")))))</f>
        <v/>
      </c>
      <c r="AF75" s="16">
        <f>IF($D75="","",IF(AND(Y75&lt;&gt;"",AC75&lt;&gt;"",AC75&gt;=W75),Z75,IF(Y75&lt;&gt;"",AD75,AE75)))</f>
        <v/>
      </c>
      <c r="AG75" s="16">
        <f>IF(OR(AF75="",AF75="İMKÂNSIZ"),"",AF75*(1-IF(AF75&gt;='Komisyon Tarifeleri'!I75,IF($AM$1=2,'Komisyon Tarifeleri'!U75,'Komisyon Tarifeleri'!P75),IF(AF75&gt;='Komisyon Tarifeleri'!K75,IF($AM$1=2,'Komisyon Tarifeleri'!V75,'Komisyon Tarifeleri'!Q75),IF(AF75&gt;='Komisyon Tarifeleri'!M75,IF($AM$1=2,'Komisyon Tarifeleri'!W75,'Komisyon Tarifeleri'!R75),IF($AM$1=2,'Komisyon Tarifeleri'!X75,'Komisyon Tarifeleri'!S75))))/100)-$D75-IF(AF75&lt;=199.99,Kargo!$E$2,IF(AF75&lt;=399.99,Kargo!$E$3,$F75)))</f>
        <v/>
      </c>
      <c r="AH75" s="17">
        <f>IF(AG75="","",AG75/AF75)</f>
        <v/>
      </c>
      <c r="AI75" s="18">
        <f>IF($D75="","",IF(Y75="","BUYBOX YOK → hedef kârla min fiyat",IF(AC75&gt;=W75,"✓ BUYBOX ALTINA GİR","BUYBOX ALTI KÂRSIZ → min kârlı fiyat")))</f>
        <v/>
      </c>
      <c r="AJ75" s="10">
        <f>IF($B75="","",IFERROR(VLOOKUP($B75,Maliyetler!$A:$G,6,FALSE),""))</f>
        <v/>
      </c>
      <c r="AK75">
        <f>IF($B75="","",IFERROR(VLOOKUP($B75,Maliyetler!$A:$G,7,FALSE),""))</f>
        <v/>
      </c>
      <c r="AO75" s="21">
        <f>IF($B75="","",IFERROR(VLOOKUP($B75&amp;"",'Plus Tarifeleri'!$C:$Q,11,FALSE),""))</f>
        <v/>
      </c>
      <c r="AP75" s="22">
        <f>IF(AO75="","",IFERROR(IF($AM$1=2,VLOOKUP($B75&amp;"",'Plus Tarifeleri'!$C:$Q,15,FALSE),VLOOKUP($B75&amp;"",'Plus Tarifeleri'!$C:$Q,13,FALSE)),""))</f>
        <v/>
      </c>
      <c r="AQ75" s="21">
        <f>IF(OR(AO75="",AP75="",$D75=""),"",AO75*(1-AP75/100)-$D75-IF(AO75&lt;=199.99,Kargo!$E$2,IF(AO75&lt;=399.99,Kargo!$E$3,$F75)))</f>
        <v/>
      </c>
      <c r="AR75" s="23">
        <f>IF(AQ75="","",AQ75/AO75)</f>
        <v/>
      </c>
      <c r="AS75" s="24">
        <f>IF(OR(AQ75="",AG75=""),"",AQ75-AG75)</f>
        <v/>
      </c>
    </row>
    <row r="76">
      <c r="A76">
        <f>IF('Komisyon Tarifeleri'!A76="","",'Komisyon Tarifeleri'!A76)</f>
        <v/>
      </c>
      <c r="B76">
        <f>IF('Komisyon Tarifeleri'!B76="","",'Komisyon Tarifeleri'!B76&amp;"")</f>
        <v/>
      </c>
      <c r="C76">
        <f>IF($B76="","",'Komisyon Tarifeleri'!F76)</f>
        <v/>
      </c>
      <c r="D76" s="10">
        <f>IF($B76="","",IFERROR(VLOOKUP($B76,Maliyetler!$A:$E,3,FALSE),""))</f>
        <v/>
      </c>
      <c r="E76">
        <f>IF($B76="","",IFERROR(VLOOKUP($B76,Maliyetler!$A:$E,4,FALSE),1))</f>
        <v/>
      </c>
      <c r="F76" s="10">
        <f>IF($B76="","",IFERROR(VLOOKUP(MIN(20,MAX(1,ROUND($E76,0))),Kargo!$A:$B,2,FALSE),99.46))</f>
        <v/>
      </c>
      <c r="G76" s="10">
        <f>IF($B76="","",IF(IF(N('Komisyon Tarifeleri'!AA76)&gt;='Komisyon Tarifeleri'!I76,'Komisyon Tarifeleri'!AA76,'Komisyon Tarifeleri'!I76)="","",IF(N('Komisyon Tarifeleri'!AA76)&gt;='Komisyon Tarifeleri'!I76,'Komisyon Tarifeleri'!AA76,'Komisyon Tarifeleri'!I76)))</f>
        <v/>
      </c>
      <c r="H76" s="11">
        <f>IF(G76="","",IF($AM$1=2,'Komisyon Tarifeleri'!U76,'Komisyon Tarifeleri'!P76))</f>
        <v/>
      </c>
      <c r="I76" s="10">
        <f>IF(OR(G76="",$D76=""),"",G76*(1-H76/100)-$D76-IF(G76&lt;=199.99,Kargo!$E$2,IF(G76&lt;=399.99,Kargo!$E$3,$F76)))</f>
        <v/>
      </c>
      <c r="J76" s="12">
        <f>IF(I76="","",I76/G76)</f>
        <v/>
      </c>
      <c r="K76" s="10">
        <f>IF($B76="","",IF('Komisyon Tarifeleri'!J76="","",'Komisyon Tarifeleri'!J76))</f>
        <v/>
      </c>
      <c r="L76" s="11">
        <f>IF(K76="","",IF($AM$1=2,'Komisyon Tarifeleri'!V76,'Komisyon Tarifeleri'!Q76))</f>
        <v/>
      </c>
      <c r="M76" s="10">
        <f>IF(OR(K76="",$D76=""),"",K76*(1-L76/100)-$D76-IF(K76&lt;=199.99,Kargo!$E$2,IF(K76&lt;=399.99,Kargo!$E$3,$F76)))</f>
        <v/>
      </c>
      <c r="N76" s="12">
        <f>IF(M76="","",M76/K76)</f>
        <v/>
      </c>
      <c r="O76" s="10">
        <f>IF($B76="","",IF('Komisyon Tarifeleri'!L76="","",'Komisyon Tarifeleri'!L76))</f>
        <v/>
      </c>
      <c r="P76" s="11">
        <f>IF(O76="","",IF($AM$1=2,'Komisyon Tarifeleri'!W76,'Komisyon Tarifeleri'!R76))</f>
        <v/>
      </c>
      <c r="Q76" s="10">
        <f>IF(OR(O76="",$D76=""),"",O76*(1-P76/100)-$D76-IF(O76&lt;=199.99,Kargo!$E$2,IF(O76&lt;=399.99,Kargo!$E$3,$F76)))</f>
        <v/>
      </c>
      <c r="R76" s="12">
        <f>IF(Q76="","",Q76/O76)</f>
        <v/>
      </c>
      <c r="S76" s="10">
        <f>IF($B76="","",IF('Komisyon Tarifeleri'!N76="","",'Komisyon Tarifeleri'!N76))</f>
        <v/>
      </c>
      <c r="T76" s="11">
        <f>IF(S76="","",IF($AM$1=2,'Komisyon Tarifeleri'!X76,'Komisyon Tarifeleri'!S76))</f>
        <v/>
      </c>
      <c r="U76" s="10">
        <f>IF(OR(S76="",$D76=""),"",S76*(1-T76/100)-$D76-IF(S76&lt;=199.99,Kargo!$E$2,IF(S76&lt;=399.99,Kargo!$E$3,$F76)))</f>
        <v/>
      </c>
      <c r="V76" s="12">
        <f>IF(U76="","",U76/S76)</f>
        <v/>
      </c>
      <c r="W76" s="12">
        <f>IF($B76="","",IFERROR(VLOOKUP($C76,Hedefler!$A:$C,2,FALSE),0.04))</f>
        <v/>
      </c>
      <c r="X76" s="12">
        <f>IF($B76="","",IFERROR(VLOOKUP($C76,Hedefler!$A:$C,3,FALSE),0.1))</f>
        <v/>
      </c>
      <c r="Y76" s="13">
        <f>IF($B76="","",IFERROR(VLOOKUP($B76,Maliyetler!$A:$E,5,FALSE),""))</f>
        <v/>
      </c>
      <c r="Z76" s="13">
        <f>IF(OR(Y76="",Y76=0),"",Y76-1)</f>
        <v/>
      </c>
      <c r="AA76" s="14">
        <f>IF(Z76="","",IF(Z76&gt;='Komisyon Tarifeleri'!I76,IF($AM$1=2,'Komisyon Tarifeleri'!U76,'Komisyon Tarifeleri'!P76),IF(Z76&gt;='Komisyon Tarifeleri'!K76,IF($AM$1=2,'Komisyon Tarifeleri'!V76,'Komisyon Tarifeleri'!Q76),IF(Z76&gt;='Komisyon Tarifeleri'!M76,IF($AM$1=2,'Komisyon Tarifeleri'!W76,'Komisyon Tarifeleri'!R76),IF($AM$1=2,'Komisyon Tarifeleri'!X76,'Komisyon Tarifeleri'!S76)))))</f>
        <v/>
      </c>
      <c r="AB76" s="13">
        <f>IF(OR(AA76="",$D76=""),"",Z76*(1-AA76/100)-$D76-IF(Z76&lt;=199.99,Kargo!$E$2,IF(Z76&lt;=399.99,Kargo!$E$3,$F76)))</f>
        <v/>
      </c>
      <c r="AC76" s="15">
        <f>IF(AB76="","",AB76/Z76)</f>
        <v/>
      </c>
      <c r="AD76" s="10">
        <f>IF(OR($D76="",$B76=""),"",IF(AND((1-T76/100-W76)&gt;0,CEILING(($D76+$F76)/(1-T76/100-W76),1)&lt;='Komisyon Tarifeleri'!N76),CEILING(($D76+$F76)/(1-T76/100-W76),1),IF(AND((1-P76/100-W76)&gt;0,CEILING(MAX('Komisyon Tarifeleri'!M76,($D76+$F76)/(1-P76/100-W76)),1)&lt;='Komisyon Tarifeleri'!L76),CEILING(MAX('Komisyon Tarifeleri'!M76,($D76+$F76)/(1-P76/100-W76)),1),IF(AND((1-L76/100-W76)&gt;0,CEILING(MAX('Komisyon Tarifeleri'!K76,($D76+$F76)/(1-L76/100-W76)),1)&lt;='Komisyon Tarifeleri'!J76),CEILING(MAX('Komisyon Tarifeleri'!K76,($D76+$F76)/(1-L76/100-W76)),1),IF((1-H76/100-W76)&gt;0,CEILING(MAX('Komisyon Tarifeleri'!I76,($D76+$F76)/(1-H76/100-W76)),1),"İMKÂNSIZ")))))</f>
        <v/>
      </c>
      <c r="AE76" s="10">
        <f>IF(OR($D76="",$B76=""),"",IF(AND((1-T76/100-X76)&gt;0,CEILING(($D76+$F76)/(1-T76/100-X76),1)&lt;='Komisyon Tarifeleri'!N76),CEILING(($D76+$F76)/(1-T76/100-X76),1),IF(AND((1-P76/100-X76)&gt;0,CEILING(MAX('Komisyon Tarifeleri'!M76,($D76+$F76)/(1-P76/100-X76)),1)&lt;='Komisyon Tarifeleri'!L76),CEILING(MAX('Komisyon Tarifeleri'!M76,($D76+$F76)/(1-P76/100-X76)),1),IF(AND((1-L76/100-X76)&gt;0,CEILING(MAX('Komisyon Tarifeleri'!K76,($D76+$F76)/(1-L76/100-X76)),1)&lt;='Komisyon Tarifeleri'!J76),CEILING(MAX('Komisyon Tarifeleri'!K76,($D76+$F76)/(1-L76/100-X76)),1),IF((1-H76/100-X76)&gt;0,CEILING(MAX('Komisyon Tarifeleri'!I76,($D76+$F76)/(1-H76/100-X76)),1),"İMKÂNSIZ")))))</f>
        <v/>
      </c>
      <c r="AF76" s="16">
        <f>IF($D76="","",IF(AND(Y76&lt;&gt;"",AC76&lt;&gt;"",AC76&gt;=W76),Z76,IF(Y76&lt;&gt;"",AD76,AE76)))</f>
        <v/>
      </c>
      <c r="AG76" s="16">
        <f>IF(OR(AF76="",AF76="İMKÂNSIZ"),"",AF76*(1-IF(AF76&gt;='Komisyon Tarifeleri'!I76,IF($AM$1=2,'Komisyon Tarifeleri'!U76,'Komisyon Tarifeleri'!P76),IF(AF76&gt;='Komisyon Tarifeleri'!K76,IF($AM$1=2,'Komisyon Tarifeleri'!V76,'Komisyon Tarifeleri'!Q76),IF(AF76&gt;='Komisyon Tarifeleri'!M76,IF($AM$1=2,'Komisyon Tarifeleri'!W76,'Komisyon Tarifeleri'!R76),IF($AM$1=2,'Komisyon Tarifeleri'!X76,'Komisyon Tarifeleri'!S76))))/100)-$D76-IF(AF76&lt;=199.99,Kargo!$E$2,IF(AF76&lt;=399.99,Kargo!$E$3,$F76)))</f>
        <v/>
      </c>
      <c r="AH76" s="17">
        <f>IF(AG76="","",AG76/AF76)</f>
        <v/>
      </c>
      <c r="AI76" s="18">
        <f>IF($D76="","",IF(Y76="","BUYBOX YOK → hedef kârla min fiyat",IF(AC76&gt;=W76,"✓ BUYBOX ALTINA GİR","BUYBOX ALTI KÂRSIZ → min kârlı fiyat")))</f>
        <v/>
      </c>
      <c r="AJ76" s="10">
        <f>IF($B76="","",IFERROR(VLOOKUP($B76,Maliyetler!$A:$G,6,FALSE),""))</f>
        <v/>
      </c>
      <c r="AK76">
        <f>IF($B76="","",IFERROR(VLOOKUP($B76,Maliyetler!$A:$G,7,FALSE),""))</f>
        <v/>
      </c>
      <c r="AO76" s="21">
        <f>IF($B76="","",IFERROR(VLOOKUP($B76&amp;"",'Plus Tarifeleri'!$C:$Q,11,FALSE),""))</f>
        <v/>
      </c>
      <c r="AP76" s="22">
        <f>IF(AO76="","",IFERROR(IF($AM$1=2,VLOOKUP($B76&amp;"",'Plus Tarifeleri'!$C:$Q,15,FALSE),VLOOKUP($B76&amp;"",'Plus Tarifeleri'!$C:$Q,13,FALSE)),""))</f>
        <v/>
      </c>
      <c r="AQ76" s="21">
        <f>IF(OR(AO76="",AP76="",$D76=""),"",AO76*(1-AP76/100)-$D76-IF(AO76&lt;=199.99,Kargo!$E$2,IF(AO76&lt;=399.99,Kargo!$E$3,$F76)))</f>
        <v/>
      </c>
      <c r="AR76" s="23">
        <f>IF(AQ76="","",AQ76/AO76)</f>
        <v/>
      </c>
      <c r="AS76" s="24">
        <f>IF(OR(AQ76="",AG76=""),"",AQ76-AG76)</f>
        <v/>
      </c>
    </row>
    <row r="77">
      <c r="A77">
        <f>IF('Komisyon Tarifeleri'!A77="","",'Komisyon Tarifeleri'!A77)</f>
        <v/>
      </c>
      <c r="B77">
        <f>IF('Komisyon Tarifeleri'!B77="","",'Komisyon Tarifeleri'!B77&amp;"")</f>
        <v/>
      </c>
      <c r="C77">
        <f>IF($B77="","",'Komisyon Tarifeleri'!F77)</f>
        <v/>
      </c>
      <c r="D77" s="10">
        <f>IF($B77="","",IFERROR(VLOOKUP($B77,Maliyetler!$A:$E,3,FALSE),""))</f>
        <v/>
      </c>
      <c r="E77">
        <f>IF($B77="","",IFERROR(VLOOKUP($B77,Maliyetler!$A:$E,4,FALSE),1))</f>
        <v/>
      </c>
      <c r="F77" s="10">
        <f>IF($B77="","",IFERROR(VLOOKUP(MIN(20,MAX(1,ROUND($E77,0))),Kargo!$A:$B,2,FALSE),99.46))</f>
        <v/>
      </c>
      <c r="G77" s="10">
        <f>IF($B77="","",IF(IF(N('Komisyon Tarifeleri'!AA77)&gt;='Komisyon Tarifeleri'!I77,'Komisyon Tarifeleri'!AA77,'Komisyon Tarifeleri'!I77)="","",IF(N('Komisyon Tarifeleri'!AA77)&gt;='Komisyon Tarifeleri'!I77,'Komisyon Tarifeleri'!AA77,'Komisyon Tarifeleri'!I77)))</f>
        <v/>
      </c>
      <c r="H77" s="11">
        <f>IF(G77="","",IF($AM$1=2,'Komisyon Tarifeleri'!U77,'Komisyon Tarifeleri'!P77))</f>
        <v/>
      </c>
      <c r="I77" s="10">
        <f>IF(OR(G77="",$D77=""),"",G77*(1-H77/100)-$D77-IF(G77&lt;=199.99,Kargo!$E$2,IF(G77&lt;=399.99,Kargo!$E$3,$F77)))</f>
        <v/>
      </c>
      <c r="J77" s="12">
        <f>IF(I77="","",I77/G77)</f>
        <v/>
      </c>
      <c r="K77" s="10">
        <f>IF($B77="","",IF('Komisyon Tarifeleri'!J77="","",'Komisyon Tarifeleri'!J77))</f>
        <v/>
      </c>
      <c r="L77" s="11">
        <f>IF(K77="","",IF($AM$1=2,'Komisyon Tarifeleri'!V77,'Komisyon Tarifeleri'!Q77))</f>
        <v/>
      </c>
      <c r="M77" s="10">
        <f>IF(OR(K77="",$D77=""),"",K77*(1-L77/100)-$D77-IF(K77&lt;=199.99,Kargo!$E$2,IF(K77&lt;=399.99,Kargo!$E$3,$F77)))</f>
        <v/>
      </c>
      <c r="N77" s="12">
        <f>IF(M77="","",M77/K77)</f>
        <v/>
      </c>
      <c r="O77" s="10">
        <f>IF($B77="","",IF('Komisyon Tarifeleri'!L77="","",'Komisyon Tarifeleri'!L77))</f>
        <v/>
      </c>
      <c r="P77" s="11">
        <f>IF(O77="","",IF($AM$1=2,'Komisyon Tarifeleri'!W77,'Komisyon Tarifeleri'!R77))</f>
        <v/>
      </c>
      <c r="Q77" s="10">
        <f>IF(OR(O77="",$D77=""),"",O77*(1-P77/100)-$D77-IF(O77&lt;=199.99,Kargo!$E$2,IF(O77&lt;=399.99,Kargo!$E$3,$F77)))</f>
        <v/>
      </c>
      <c r="R77" s="12">
        <f>IF(Q77="","",Q77/O77)</f>
        <v/>
      </c>
      <c r="S77" s="10">
        <f>IF($B77="","",IF('Komisyon Tarifeleri'!N77="","",'Komisyon Tarifeleri'!N77))</f>
        <v/>
      </c>
      <c r="T77" s="11">
        <f>IF(S77="","",IF($AM$1=2,'Komisyon Tarifeleri'!X77,'Komisyon Tarifeleri'!S77))</f>
        <v/>
      </c>
      <c r="U77" s="10">
        <f>IF(OR(S77="",$D77=""),"",S77*(1-T77/100)-$D77-IF(S77&lt;=199.99,Kargo!$E$2,IF(S77&lt;=399.99,Kargo!$E$3,$F77)))</f>
        <v/>
      </c>
      <c r="V77" s="12">
        <f>IF(U77="","",U77/S77)</f>
        <v/>
      </c>
      <c r="W77" s="12">
        <f>IF($B77="","",IFERROR(VLOOKUP($C77,Hedefler!$A:$C,2,FALSE),0.04))</f>
        <v/>
      </c>
      <c r="X77" s="12">
        <f>IF($B77="","",IFERROR(VLOOKUP($C77,Hedefler!$A:$C,3,FALSE),0.1))</f>
        <v/>
      </c>
      <c r="Y77" s="13">
        <f>IF($B77="","",IFERROR(VLOOKUP($B77,Maliyetler!$A:$E,5,FALSE),""))</f>
        <v/>
      </c>
      <c r="Z77" s="13">
        <f>IF(OR(Y77="",Y77=0),"",Y77-1)</f>
        <v/>
      </c>
      <c r="AA77" s="14">
        <f>IF(Z77="","",IF(Z77&gt;='Komisyon Tarifeleri'!I77,IF($AM$1=2,'Komisyon Tarifeleri'!U77,'Komisyon Tarifeleri'!P77),IF(Z77&gt;='Komisyon Tarifeleri'!K77,IF($AM$1=2,'Komisyon Tarifeleri'!V77,'Komisyon Tarifeleri'!Q77),IF(Z77&gt;='Komisyon Tarifeleri'!M77,IF($AM$1=2,'Komisyon Tarifeleri'!W77,'Komisyon Tarifeleri'!R77),IF($AM$1=2,'Komisyon Tarifeleri'!X77,'Komisyon Tarifeleri'!S77)))))</f>
        <v/>
      </c>
      <c r="AB77" s="13">
        <f>IF(OR(AA77="",$D77=""),"",Z77*(1-AA77/100)-$D77-IF(Z77&lt;=199.99,Kargo!$E$2,IF(Z77&lt;=399.99,Kargo!$E$3,$F77)))</f>
        <v/>
      </c>
      <c r="AC77" s="15">
        <f>IF(AB77="","",AB77/Z77)</f>
        <v/>
      </c>
      <c r="AD77" s="10">
        <f>IF(OR($D77="",$B77=""),"",IF(AND((1-T77/100-W77)&gt;0,CEILING(($D77+$F77)/(1-T77/100-W77),1)&lt;='Komisyon Tarifeleri'!N77),CEILING(($D77+$F77)/(1-T77/100-W77),1),IF(AND((1-P77/100-W77)&gt;0,CEILING(MAX('Komisyon Tarifeleri'!M77,($D77+$F77)/(1-P77/100-W77)),1)&lt;='Komisyon Tarifeleri'!L77),CEILING(MAX('Komisyon Tarifeleri'!M77,($D77+$F77)/(1-P77/100-W77)),1),IF(AND((1-L77/100-W77)&gt;0,CEILING(MAX('Komisyon Tarifeleri'!K77,($D77+$F77)/(1-L77/100-W77)),1)&lt;='Komisyon Tarifeleri'!J77),CEILING(MAX('Komisyon Tarifeleri'!K77,($D77+$F77)/(1-L77/100-W77)),1),IF((1-H77/100-W77)&gt;0,CEILING(MAX('Komisyon Tarifeleri'!I77,($D77+$F77)/(1-H77/100-W77)),1),"İMKÂNSIZ")))))</f>
        <v/>
      </c>
      <c r="AE77" s="10">
        <f>IF(OR($D77="",$B77=""),"",IF(AND((1-T77/100-X77)&gt;0,CEILING(($D77+$F77)/(1-T77/100-X77),1)&lt;='Komisyon Tarifeleri'!N77),CEILING(($D77+$F77)/(1-T77/100-X77),1),IF(AND((1-P77/100-X77)&gt;0,CEILING(MAX('Komisyon Tarifeleri'!M77,($D77+$F77)/(1-P77/100-X77)),1)&lt;='Komisyon Tarifeleri'!L77),CEILING(MAX('Komisyon Tarifeleri'!M77,($D77+$F77)/(1-P77/100-X77)),1),IF(AND((1-L77/100-X77)&gt;0,CEILING(MAX('Komisyon Tarifeleri'!K77,($D77+$F77)/(1-L77/100-X77)),1)&lt;='Komisyon Tarifeleri'!J77),CEILING(MAX('Komisyon Tarifeleri'!K77,($D77+$F77)/(1-L77/100-X77)),1),IF((1-H77/100-X77)&gt;0,CEILING(MAX('Komisyon Tarifeleri'!I77,($D77+$F77)/(1-H77/100-X77)),1),"İMKÂNSIZ")))))</f>
        <v/>
      </c>
      <c r="AF77" s="16">
        <f>IF($D77="","",IF(AND(Y77&lt;&gt;"",AC77&lt;&gt;"",AC77&gt;=W77),Z77,IF(Y77&lt;&gt;"",AD77,AE77)))</f>
        <v/>
      </c>
      <c r="AG77" s="16">
        <f>IF(OR(AF77="",AF77="İMKÂNSIZ"),"",AF77*(1-IF(AF77&gt;='Komisyon Tarifeleri'!I77,IF($AM$1=2,'Komisyon Tarifeleri'!U77,'Komisyon Tarifeleri'!P77),IF(AF77&gt;='Komisyon Tarifeleri'!K77,IF($AM$1=2,'Komisyon Tarifeleri'!V77,'Komisyon Tarifeleri'!Q77),IF(AF77&gt;='Komisyon Tarifeleri'!M77,IF($AM$1=2,'Komisyon Tarifeleri'!W77,'Komisyon Tarifeleri'!R77),IF($AM$1=2,'Komisyon Tarifeleri'!X77,'Komisyon Tarifeleri'!S77))))/100)-$D77-IF(AF77&lt;=199.99,Kargo!$E$2,IF(AF77&lt;=399.99,Kargo!$E$3,$F77)))</f>
        <v/>
      </c>
      <c r="AH77" s="17">
        <f>IF(AG77="","",AG77/AF77)</f>
        <v/>
      </c>
      <c r="AI77" s="18">
        <f>IF($D77="","",IF(Y77="","BUYBOX YOK → hedef kârla min fiyat",IF(AC77&gt;=W77,"✓ BUYBOX ALTINA GİR","BUYBOX ALTI KÂRSIZ → min kârlı fiyat")))</f>
        <v/>
      </c>
      <c r="AJ77" s="10">
        <f>IF($B77="","",IFERROR(VLOOKUP($B77,Maliyetler!$A:$G,6,FALSE),""))</f>
        <v/>
      </c>
      <c r="AK77">
        <f>IF($B77="","",IFERROR(VLOOKUP($B77,Maliyetler!$A:$G,7,FALSE),""))</f>
        <v/>
      </c>
      <c r="AO77" s="21">
        <f>IF($B77="","",IFERROR(VLOOKUP($B77&amp;"",'Plus Tarifeleri'!$C:$Q,11,FALSE),""))</f>
        <v/>
      </c>
      <c r="AP77" s="22">
        <f>IF(AO77="","",IFERROR(IF($AM$1=2,VLOOKUP($B77&amp;"",'Plus Tarifeleri'!$C:$Q,15,FALSE),VLOOKUP($B77&amp;"",'Plus Tarifeleri'!$C:$Q,13,FALSE)),""))</f>
        <v/>
      </c>
      <c r="AQ77" s="21">
        <f>IF(OR(AO77="",AP77="",$D77=""),"",AO77*(1-AP77/100)-$D77-IF(AO77&lt;=199.99,Kargo!$E$2,IF(AO77&lt;=399.99,Kargo!$E$3,$F77)))</f>
        <v/>
      </c>
      <c r="AR77" s="23">
        <f>IF(AQ77="","",AQ77/AO77)</f>
        <v/>
      </c>
      <c r="AS77" s="24">
        <f>IF(OR(AQ77="",AG77=""),"",AQ77-AG77)</f>
        <v/>
      </c>
    </row>
    <row r="78">
      <c r="A78">
        <f>IF('Komisyon Tarifeleri'!A78="","",'Komisyon Tarifeleri'!A78)</f>
        <v/>
      </c>
      <c r="B78">
        <f>IF('Komisyon Tarifeleri'!B78="","",'Komisyon Tarifeleri'!B78&amp;"")</f>
        <v/>
      </c>
      <c r="C78">
        <f>IF($B78="","",'Komisyon Tarifeleri'!F78)</f>
        <v/>
      </c>
      <c r="D78" s="10">
        <f>IF($B78="","",IFERROR(VLOOKUP($B78,Maliyetler!$A:$E,3,FALSE),""))</f>
        <v/>
      </c>
      <c r="E78">
        <f>IF($B78="","",IFERROR(VLOOKUP($B78,Maliyetler!$A:$E,4,FALSE),1))</f>
        <v/>
      </c>
      <c r="F78" s="10">
        <f>IF($B78="","",IFERROR(VLOOKUP(MIN(20,MAX(1,ROUND($E78,0))),Kargo!$A:$B,2,FALSE),99.46))</f>
        <v/>
      </c>
      <c r="G78" s="10">
        <f>IF($B78="","",IF(IF(N('Komisyon Tarifeleri'!AA78)&gt;='Komisyon Tarifeleri'!I78,'Komisyon Tarifeleri'!AA78,'Komisyon Tarifeleri'!I78)="","",IF(N('Komisyon Tarifeleri'!AA78)&gt;='Komisyon Tarifeleri'!I78,'Komisyon Tarifeleri'!AA78,'Komisyon Tarifeleri'!I78)))</f>
        <v/>
      </c>
      <c r="H78" s="11">
        <f>IF(G78="","",IF($AM$1=2,'Komisyon Tarifeleri'!U78,'Komisyon Tarifeleri'!P78))</f>
        <v/>
      </c>
      <c r="I78" s="10">
        <f>IF(OR(G78="",$D78=""),"",G78*(1-H78/100)-$D78-IF(G78&lt;=199.99,Kargo!$E$2,IF(G78&lt;=399.99,Kargo!$E$3,$F78)))</f>
        <v/>
      </c>
      <c r="J78" s="12">
        <f>IF(I78="","",I78/G78)</f>
        <v/>
      </c>
      <c r="K78" s="10">
        <f>IF($B78="","",IF('Komisyon Tarifeleri'!J78="","",'Komisyon Tarifeleri'!J78))</f>
        <v/>
      </c>
      <c r="L78" s="11">
        <f>IF(K78="","",IF($AM$1=2,'Komisyon Tarifeleri'!V78,'Komisyon Tarifeleri'!Q78))</f>
        <v/>
      </c>
      <c r="M78" s="10">
        <f>IF(OR(K78="",$D78=""),"",K78*(1-L78/100)-$D78-IF(K78&lt;=199.99,Kargo!$E$2,IF(K78&lt;=399.99,Kargo!$E$3,$F78)))</f>
        <v/>
      </c>
      <c r="N78" s="12">
        <f>IF(M78="","",M78/K78)</f>
        <v/>
      </c>
      <c r="O78" s="10">
        <f>IF($B78="","",IF('Komisyon Tarifeleri'!L78="","",'Komisyon Tarifeleri'!L78))</f>
        <v/>
      </c>
      <c r="P78" s="11">
        <f>IF(O78="","",IF($AM$1=2,'Komisyon Tarifeleri'!W78,'Komisyon Tarifeleri'!R78))</f>
        <v/>
      </c>
      <c r="Q78" s="10">
        <f>IF(OR(O78="",$D78=""),"",O78*(1-P78/100)-$D78-IF(O78&lt;=199.99,Kargo!$E$2,IF(O78&lt;=399.99,Kargo!$E$3,$F78)))</f>
        <v/>
      </c>
      <c r="R78" s="12">
        <f>IF(Q78="","",Q78/O78)</f>
        <v/>
      </c>
      <c r="S78" s="10">
        <f>IF($B78="","",IF('Komisyon Tarifeleri'!N78="","",'Komisyon Tarifeleri'!N78))</f>
        <v/>
      </c>
      <c r="T78" s="11">
        <f>IF(S78="","",IF($AM$1=2,'Komisyon Tarifeleri'!X78,'Komisyon Tarifeleri'!S78))</f>
        <v/>
      </c>
      <c r="U78" s="10">
        <f>IF(OR(S78="",$D78=""),"",S78*(1-T78/100)-$D78-IF(S78&lt;=199.99,Kargo!$E$2,IF(S78&lt;=399.99,Kargo!$E$3,$F78)))</f>
        <v/>
      </c>
      <c r="V78" s="12">
        <f>IF(U78="","",U78/S78)</f>
        <v/>
      </c>
      <c r="W78" s="12">
        <f>IF($B78="","",IFERROR(VLOOKUP($C78,Hedefler!$A:$C,2,FALSE),0.04))</f>
        <v/>
      </c>
      <c r="X78" s="12">
        <f>IF($B78="","",IFERROR(VLOOKUP($C78,Hedefler!$A:$C,3,FALSE),0.1))</f>
        <v/>
      </c>
      <c r="Y78" s="13">
        <f>IF($B78="","",IFERROR(VLOOKUP($B78,Maliyetler!$A:$E,5,FALSE),""))</f>
        <v/>
      </c>
      <c r="Z78" s="13">
        <f>IF(OR(Y78="",Y78=0),"",Y78-1)</f>
        <v/>
      </c>
      <c r="AA78" s="14">
        <f>IF(Z78="","",IF(Z78&gt;='Komisyon Tarifeleri'!I78,IF($AM$1=2,'Komisyon Tarifeleri'!U78,'Komisyon Tarifeleri'!P78),IF(Z78&gt;='Komisyon Tarifeleri'!K78,IF($AM$1=2,'Komisyon Tarifeleri'!V78,'Komisyon Tarifeleri'!Q78),IF(Z78&gt;='Komisyon Tarifeleri'!M78,IF($AM$1=2,'Komisyon Tarifeleri'!W78,'Komisyon Tarifeleri'!R78),IF($AM$1=2,'Komisyon Tarifeleri'!X78,'Komisyon Tarifeleri'!S78)))))</f>
        <v/>
      </c>
      <c r="AB78" s="13">
        <f>IF(OR(AA78="",$D78=""),"",Z78*(1-AA78/100)-$D78-IF(Z78&lt;=199.99,Kargo!$E$2,IF(Z78&lt;=399.99,Kargo!$E$3,$F78)))</f>
        <v/>
      </c>
      <c r="AC78" s="15">
        <f>IF(AB78="","",AB78/Z78)</f>
        <v/>
      </c>
      <c r="AD78" s="10">
        <f>IF(OR($D78="",$B78=""),"",IF(AND((1-T78/100-W78)&gt;0,CEILING(($D78+$F78)/(1-T78/100-W78),1)&lt;='Komisyon Tarifeleri'!N78),CEILING(($D78+$F78)/(1-T78/100-W78),1),IF(AND((1-P78/100-W78)&gt;0,CEILING(MAX('Komisyon Tarifeleri'!M78,($D78+$F78)/(1-P78/100-W78)),1)&lt;='Komisyon Tarifeleri'!L78),CEILING(MAX('Komisyon Tarifeleri'!M78,($D78+$F78)/(1-P78/100-W78)),1),IF(AND((1-L78/100-W78)&gt;0,CEILING(MAX('Komisyon Tarifeleri'!K78,($D78+$F78)/(1-L78/100-W78)),1)&lt;='Komisyon Tarifeleri'!J78),CEILING(MAX('Komisyon Tarifeleri'!K78,($D78+$F78)/(1-L78/100-W78)),1),IF((1-H78/100-W78)&gt;0,CEILING(MAX('Komisyon Tarifeleri'!I78,($D78+$F78)/(1-H78/100-W78)),1),"İMKÂNSIZ")))))</f>
        <v/>
      </c>
      <c r="AE78" s="10">
        <f>IF(OR($D78="",$B78=""),"",IF(AND((1-T78/100-X78)&gt;0,CEILING(($D78+$F78)/(1-T78/100-X78),1)&lt;='Komisyon Tarifeleri'!N78),CEILING(($D78+$F78)/(1-T78/100-X78),1),IF(AND((1-P78/100-X78)&gt;0,CEILING(MAX('Komisyon Tarifeleri'!M78,($D78+$F78)/(1-P78/100-X78)),1)&lt;='Komisyon Tarifeleri'!L78),CEILING(MAX('Komisyon Tarifeleri'!M78,($D78+$F78)/(1-P78/100-X78)),1),IF(AND((1-L78/100-X78)&gt;0,CEILING(MAX('Komisyon Tarifeleri'!K78,($D78+$F78)/(1-L78/100-X78)),1)&lt;='Komisyon Tarifeleri'!J78),CEILING(MAX('Komisyon Tarifeleri'!K78,($D78+$F78)/(1-L78/100-X78)),1),IF((1-H78/100-X78)&gt;0,CEILING(MAX('Komisyon Tarifeleri'!I78,($D78+$F78)/(1-H78/100-X78)),1),"İMKÂNSIZ")))))</f>
        <v/>
      </c>
      <c r="AF78" s="16">
        <f>IF($D78="","",IF(AND(Y78&lt;&gt;"",AC78&lt;&gt;"",AC78&gt;=W78),Z78,IF(Y78&lt;&gt;"",AD78,AE78)))</f>
        <v/>
      </c>
      <c r="AG78" s="16">
        <f>IF(OR(AF78="",AF78="İMKÂNSIZ"),"",AF78*(1-IF(AF78&gt;='Komisyon Tarifeleri'!I78,IF($AM$1=2,'Komisyon Tarifeleri'!U78,'Komisyon Tarifeleri'!P78),IF(AF78&gt;='Komisyon Tarifeleri'!K78,IF($AM$1=2,'Komisyon Tarifeleri'!V78,'Komisyon Tarifeleri'!Q78),IF(AF78&gt;='Komisyon Tarifeleri'!M78,IF($AM$1=2,'Komisyon Tarifeleri'!W78,'Komisyon Tarifeleri'!R78),IF($AM$1=2,'Komisyon Tarifeleri'!X78,'Komisyon Tarifeleri'!S78))))/100)-$D78-IF(AF78&lt;=199.99,Kargo!$E$2,IF(AF78&lt;=399.99,Kargo!$E$3,$F78)))</f>
        <v/>
      </c>
      <c r="AH78" s="17">
        <f>IF(AG78="","",AG78/AF78)</f>
        <v/>
      </c>
      <c r="AI78" s="18">
        <f>IF($D78="","",IF(Y78="","BUYBOX YOK → hedef kârla min fiyat",IF(AC78&gt;=W78,"✓ BUYBOX ALTINA GİR","BUYBOX ALTI KÂRSIZ → min kârlı fiyat")))</f>
        <v/>
      </c>
      <c r="AJ78" s="10">
        <f>IF($B78="","",IFERROR(VLOOKUP($B78,Maliyetler!$A:$G,6,FALSE),""))</f>
        <v/>
      </c>
      <c r="AK78">
        <f>IF($B78="","",IFERROR(VLOOKUP($B78,Maliyetler!$A:$G,7,FALSE),""))</f>
        <v/>
      </c>
      <c r="AO78" s="21">
        <f>IF($B78="","",IFERROR(VLOOKUP($B78&amp;"",'Plus Tarifeleri'!$C:$Q,11,FALSE),""))</f>
        <v/>
      </c>
      <c r="AP78" s="22">
        <f>IF(AO78="","",IFERROR(IF($AM$1=2,VLOOKUP($B78&amp;"",'Plus Tarifeleri'!$C:$Q,15,FALSE),VLOOKUP($B78&amp;"",'Plus Tarifeleri'!$C:$Q,13,FALSE)),""))</f>
        <v/>
      </c>
      <c r="AQ78" s="21">
        <f>IF(OR(AO78="",AP78="",$D78=""),"",AO78*(1-AP78/100)-$D78-IF(AO78&lt;=199.99,Kargo!$E$2,IF(AO78&lt;=399.99,Kargo!$E$3,$F78)))</f>
        <v/>
      </c>
      <c r="AR78" s="23">
        <f>IF(AQ78="","",AQ78/AO78)</f>
        <v/>
      </c>
      <c r="AS78" s="24">
        <f>IF(OR(AQ78="",AG78=""),"",AQ78-AG78)</f>
        <v/>
      </c>
    </row>
    <row r="79">
      <c r="A79">
        <f>IF('Komisyon Tarifeleri'!A79="","",'Komisyon Tarifeleri'!A79)</f>
        <v/>
      </c>
      <c r="B79">
        <f>IF('Komisyon Tarifeleri'!B79="","",'Komisyon Tarifeleri'!B79&amp;"")</f>
        <v/>
      </c>
      <c r="C79">
        <f>IF($B79="","",'Komisyon Tarifeleri'!F79)</f>
        <v/>
      </c>
      <c r="D79" s="10">
        <f>IF($B79="","",IFERROR(VLOOKUP($B79,Maliyetler!$A:$E,3,FALSE),""))</f>
        <v/>
      </c>
      <c r="E79">
        <f>IF($B79="","",IFERROR(VLOOKUP($B79,Maliyetler!$A:$E,4,FALSE),1))</f>
        <v/>
      </c>
      <c r="F79" s="10">
        <f>IF($B79="","",IFERROR(VLOOKUP(MIN(20,MAX(1,ROUND($E79,0))),Kargo!$A:$B,2,FALSE),99.46))</f>
        <v/>
      </c>
      <c r="G79" s="10">
        <f>IF($B79="","",IF(IF(N('Komisyon Tarifeleri'!AA79)&gt;='Komisyon Tarifeleri'!I79,'Komisyon Tarifeleri'!AA79,'Komisyon Tarifeleri'!I79)="","",IF(N('Komisyon Tarifeleri'!AA79)&gt;='Komisyon Tarifeleri'!I79,'Komisyon Tarifeleri'!AA79,'Komisyon Tarifeleri'!I79)))</f>
        <v/>
      </c>
      <c r="H79" s="11">
        <f>IF(G79="","",IF($AM$1=2,'Komisyon Tarifeleri'!U79,'Komisyon Tarifeleri'!P79))</f>
        <v/>
      </c>
      <c r="I79" s="10">
        <f>IF(OR(G79="",$D79=""),"",G79*(1-H79/100)-$D79-IF(G79&lt;=199.99,Kargo!$E$2,IF(G79&lt;=399.99,Kargo!$E$3,$F79)))</f>
        <v/>
      </c>
      <c r="J79" s="12">
        <f>IF(I79="","",I79/G79)</f>
        <v/>
      </c>
      <c r="K79" s="10">
        <f>IF($B79="","",IF('Komisyon Tarifeleri'!J79="","",'Komisyon Tarifeleri'!J79))</f>
        <v/>
      </c>
      <c r="L79" s="11">
        <f>IF(K79="","",IF($AM$1=2,'Komisyon Tarifeleri'!V79,'Komisyon Tarifeleri'!Q79))</f>
        <v/>
      </c>
      <c r="M79" s="10">
        <f>IF(OR(K79="",$D79=""),"",K79*(1-L79/100)-$D79-IF(K79&lt;=199.99,Kargo!$E$2,IF(K79&lt;=399.99,Kargo!$E$3,$F79)))</f>
        <v/>
      </c>
      <c r="N79" s="12">
        <f>IF(M79="","",M79/K79)</f>
        <v/>
      </c>
      <c r="O79" s="10">
        <f>IF($B79="","",IF('Komisyon Tarifeleri'!L79="","",'Komisyon Tarifeleri'!L79))</f>
        <v/>
      </c>
      <c r="P79" s="11">
        <f>IF(O79="","",IF($AM$1=2,'Komisyon Tarifeleri'!W79,'Komisyon Tarifeleri'!R79))</f>
        <v/>
      </c>
      <c r="Q79" s="10">
        <f>IF(OR(O79="",$D79=""),"",O79*(1-P79/100)-$D79-IF(O79&lt;=199.99,Kargo!$E$2,IF(O79&lt;=399.99,Kargo!$E$3,$F79)))</f>
        <v/>
      </c>
      <c r="R79" s="12">
        <f>IF(Q79="","",Q79/O79)</f>
        <v/>
      </c>
      <c r="S79" s="10">
        <f>IF($B79="","",IF('Komisyon Tarifeleri'!N79="","",'Komisyon Tarifeleri'!N79))</f>
        <v/>
      </c>
      <c r="T79" s="11">
        <f>IF(S79="","",IF($AM$1=2,'Komisyon Tarifeleri'!X79,'Komisyon Tarifeleri'!S79))</f>
        <v/>
      </c>
      <c r="U79" s="10">
        <f>IF(OR(S79="",$D79=""),"",S79*(1-T79/100)-$D79-IF(S79&lt;=199.99,Kargo!$E$2,IF(S79&lt;=399.99,Kargo!$E$3,$F79)))</f>
        <v/>
      </c>
      <c r="V79" s="12">
        <f>IF(U79="","",U79/S79)</f>
        <v/>
      </c>
      <c r="W79" s="12">
        <f>IF($B79="","",IFERROR(VLOOKUP($C79,Hedefler!$A:$C,2,FALSE),0.04))</f>
        <v/>
      </c>
      <c r="X79" s="12">
        <f>IF($B79="","",IFERROR(VLOOKUP($C79,Hedefler!$A:$C,3,FALSE),0.1))</f>
        <v/>
      </c>
      <c r="Y79" s="13">
        <f>IF($B79="","",IFERROR(VLOOKUP($B79,Maliyetler!$A:$E,5,FALSE),""))</f>
        <v/>
      </c>
      <c r="Z79" s="13">
        <f>IF(OR(Y79="",Y79=0),"",Y79-1)</f>
        <v/>
      </c>
      <c r="AA79" s="14">
        <f>IF(Z79="","",IF(Z79&gt;='Komisyon Tarifeleri'!I79,IF($AM$1=2,'Komisyon Tarifeleri'!U79,'Komisyon Tarifeleri'!P79),IF(Z79&gt;='Komisyon Tarifeleri'!K79,IF($AM$1=2,'Komisyon Tarifeleri'!V79,'Komisyon Tarifeleri'!Q79),IF(Z79&gt;='Komisyon Tarifeleri'!M79,IF($AM$1=2,'Komisyon Tarifeleri'!W79,'Komisyon Tarifeleri'!R79),IF($AM$1=2,'Komisyon Tarifeleri'!X79,'Komisyon Tarifeleri'!S79)))))</f>
        <v/>
      </c>
      <c r="AB79" s="13">
        <f>IF(OR(AA79="",$D79=""),"",Z79*(1-AA79/100)-$D79-IF(Z79&lt;=199.99,Kargo!$E$2,IF(Z79&lt;=399.99,Kargo!$E$3,$F79)))</f>
        <v/>
      </c>
      <c r="AC79" s="15">
        <f>IF(AB79="","",AB79/Z79)</f>
        <v/>
      </c>
      <c r="AD79" s="10">
        <f>IF(OR($D79="",$B79=""),"",IF(AND((1-T79/100-W79)&gt;0,CEILING(($D79+$F79)/(1-T79/100-W79),1)&lt;='Komisyon Tarifeleri'!N79),CEILING(($D79+$F79)/(1-T79/100-W79),1),IF(AND((1-P79/100-W79)&gt;0,CEILING(MAX('Komisyon Tarifeleri'!M79,($D79+$F79)/(1-P79/100-W79)),1)&lt;='Komisyon Tarifeleri'!L79),CEILING(MAX('Komisyon Tarifeleri'!M79,($D79+$F79)/(1-P79/100-W79)),1),IF(AND((1-L79/100-W79)&gt;0,CEILING(MAX('Komisyon Tarifeleri'!K79,($D79+$F79)/(1-L79/100-W79)),1)&lt;='Komisyon Tarifeleri'!J79),CEILING(MAX('Komisyon Tarifeleri'!K79,($D79+$F79)/(1-L79/100-W79)),1),IF((1-H79/100-W79)&gt;0,CEILING(MAX('Komisyon Tarifeleri'!I79,($D79+$F79)/(1-H79/100-W79)),1),"İMKÂNSIZ")))))</f>
        <v/>
      </c>
      <c r="AE79" s="10">
        <f>IF(OR($D79="",$B79=""),"",IF(AND((1-T79/100-X79)&gt;0,CEILING(($D79+$F79)/(1-T79/100-X79),1)&lt;='Komisyon Tarifeleri'!N79),CEILING(($D79+$F79)/(1-T79/100-X79),1),IF(AND((1-P79/100-X79)&gt;0,CEILING(MAX('Komisyon Tarifeleri'!M79,($D79+$F79)/(1-P79/100-X79)),1)&lt;='Komisyon Tarifeleri'!L79),CEILING(MAX('Komisyon Tarifeleri'!M79,($D79+$F79)/(1-P79/100-X79)),1),IF(AND((1-L79/100-X79)&gt;0,CEILING(MAX('Komisyon Tarifeleri'!K79,($D79+$F79)/(1-L79/100-X79)),1)&lt;='Komisyon Tarifeleri'!J79),CEILING(MAX('Komisyon Tarifeleri'!K79,($D79+$F79)/(1-L79/100-X79)),1),IF((1-H79/100-X79)&gt;0,CEILING(MAX('Komisyon Tarifeleri'!I79,($D79+$F79)/(1-H79/100-X79)),1),"İMKÂNSIZ")))))</f>
        <v/>
      </c>
      <c r="AF79" s="16">
        <f>IF($D79="","",IF(AND(Y79&lt;&gt;"",AC79&lt;&gt;"",AC79&gt;=W79),Z79,IF(Y79&lt;&gt;"",AD79,AE79)))</f>
        <v/>
      </c>
      <c r="AG79" s="16">
        <f>IF(OR(AF79="",AF79="İMKÂNSIZ"),"",AF79*(1-IF(AF79&gt;='Komisyon Tarifeleri'!I79,IF($AM$1=2,'Komisyon Tarifeleri'!U79,'Komisyon Tarifeleri'!P79),IF(AF79&gt;='Komisyon Tarifeleri'!K79,IF($AM$1=2,'Komisyon Tarifeleri'!V79,'Komisyon Tarifeleri'!Q79),IF(AF79&gt;='Komisyon Tarifeleri'!M79,IF($AM$1=2,'Komisyon Tarifeleri'!W79,'Komisyon Tarifeleri'!R79),IF($AM$1=2,'Komisyon Tarifeleri'!X79,'Komisyon Tarifeleri'!S79))))/100)-$D79-IF(AF79&lt;=199.99,Kargo!$E$2,IF(AF79&lt;=399.99,Kargo!$E$3,$F79)))</f>
        <v/>
      </c>
      <c r="AH79" s="17">
        <f>IF(AG79="","",AG79/AF79)</f>
        <v/>
      </c>
      <c r="AI79" s="18">
        <f>IF($D79="","",IF(Y79="","BUYBOX YOK → hedef kârla min fiyat",IF(AC79&gt;=W79,"✓ BUYBOX ALTINA GİR","BUYBOX ALTI KÂRSIZ → min kârlı fiyat")))</f>
        <v/>
      </c>
      <c r="AJ79" s="10">
        <f>IF($B79="","",IFERROR(VLOOKUP($B79,Maliyetler!$A:$G,6,FALSE),""))</f>
        <v/>
      </c>
      <c r="AK79">
        <f>IF($B79="","",IFERROR(VLOOKUP($B79,Maliyetler!$A:$G,7,FALSE),""))</f>
        <v/>
      </c>
      <c r="AO79" s="21">
        <f>IF($B79="","",IFERROR(VLOOKUP($B79&amp;"",'Plus Tarifeleri'!$C:$Q,11,FALSE),""))</f>
        <v/>
      </c>
      <c r="AP79" s="22">
        <f>IF(AO79="","",IFERROR(IF($AM$1=2,VLOOKUP($B79&amp;"",'Plus Tarifeleri'!$C:$Q,15,FALSE),VLOOKUP($B79&amp;"",'Plus Tarifeleri'!$C:$Q,13,FALSE)),""))</f>
        <v/>
      </c>
      <c r="AQ79" s="21">
        <f>IF(OR(AO79="",AP79="",$D79=""),"",AO79*(1-AP79/100)-$D79-IF(AO79&lt;=199.99,Kargo!$E$2,IF(AO79&lt;=399.99,Kargo!$E$3,$F79)))</f>
        <v/>
      </c>
      <c r="AR79" s="23">
        <f>IF(AQ79="","",AQ79/AO79)</f>
        <v/>
      </c>
      <c r="AS79" s="24">
        <f>IF(OR(AQ79="",AG79=""),"",AQ79-AG79)</f>
        <v/>
      </c>
    </row>
    <row r="80">
      <c r="A80">
        <f>IF('Komisyon Tarifeleri'!A80="","",'Komisyon Tarifeleri'!A80)</f>
        <v/>
      </c>
      <c r="B80">
        <f>IF('Komisyon Tarifeleri'!B80="","",'Komisyon Tarifeleri'!B80&amp;"")</f>
        <v/>
      </c>
      <c r="C80">
        <f>IF($B80="","",'Komisyon Tarifeleri'!F80)</f>
        <v/>
      </c>
      <c r="D80" s="10">
        <f>IF($B80="","",IFERROR(VLOOKUP($B80,Maliyetler!$A:$E,3,FALSE),""))</f>
        <v/>
      </c>
      <c r="E80">
        <f>IF($B80="","",IFERROR(VLOOKUP($B80,Maliyetler!$A:$E,4,FALSE),1))</f>
        <v/>
      </c>
      <c r="F80" s="10">
        <f>IF($B80="","",IFERROR(VLOOKUP(MIN(20,MAX(1,ROUND($E80,0))),Kargo!$A:$B,2,FALSE),99.46))</f>
        <v/>
      </c>
      <c r="G80" s="10">
        <f>IF($B80="","",IF(IF(N('Komisyon Tarifeleri'!AA80)&gt;='Komisyon Tarifeleri'!I80,'Komisyon Tarifeleri'!AA80,'Komisyon Tarifeleri'!I80)="","",IF(N('Komisyon Tarifeleri'!AA80)&gt;='Komisyon Tarifeleri'!I80,'Komisyon Tarifeleri'!AA80,'Komisyon Tarifeleri'!I80)))</f>
        <v/>
      </c>
      <c r="H80" s="11">
        <f>IF(G80="","",IF($AM$1=2,'Komisyon Tarifeleri'!U80,'Komisyon Tarifeleri'!P80))</f>
        <v/>
      </c>
      <c r="I80" s="10">
        <f>IF(OR(G80="",$D80=""),"",G80*(1-H80/100)-$D80-IF(G80&lt;=199.99,Kargo!$E$2,IF(G80&lt;=399.99,Kargo!$E$3,$F80)))</f>
        <v/>
      </c>
      <c r="J80" s="12">
        <f>IF(I80="","",I80/G80)</f>
        <v/>
      </c>
      <c r="K80" s="10">
        <f>IF($B80="","",IF('Komisyon Tarifeleri'!J80="","",'Komisyon Tarifeleri'!J80))</f>
        <v/>
      </c>
      <c r="L80" s="11">
        <f>IF(K80="","",IF($AM$1=2,'Komisyon Tarifeleri'!V80,'Komisyon Tarifeleri'!Q80))</f>
        <v/>
      </c>
      <c r="M80" s="10">
        <f>IF(OR(K80="",$D80=""),"",K80*(1-L80/100)-$D80-IF(K80&lt;=199.99,Kargo!$E$2,IF(K80&lt;=399.99,Kargo!$E$3,$F80)))</f>
        <v/>
      </c>
      <c r="N80" s="12">
        <f>IF(M80="","",M80/K80)</f>
        <v/>
      </c>
      <c r="O80" s="10">
        <f>IF($B80="","",IF('Komisyon Tarifeleri'!L80="","",'Komisyon Tarifeleri'!L80))</f>
        <v/>
      </c>
      <c r="P80" s="11">
        <f>IF(O80="","",IF($AM$1=2,'Komisyon Tarifeleri'!W80,'Komisyon Tarifeleri'!R80))</f>
        <v/>
      </c>
      <c r="Q80" s="10">
        <f>IF(OR(O80="",$D80=""),"",O80*(1-P80/100)-$D80-IF(O80&lt;=199.99,Kargo!$E$2,IF(O80&lt;=399.99,Kargo!$E$3,$F80)))</f>
        <v/>
      </c>
      <c r="R80" s="12">
        <f>IF(Q80="","",Q80/O80)</f>
        <v/>
      </c>
      <c r="S80" s="10">
        <f>IF($B80="","",IF('Komisyon Tarifeleri'!N80="","",'Komisyon Tarifeleri'!N80))</f>
        <v/>
      </c>
      <c r="T80" s="11">
        <f>IF(S80="","",IF($AM$1=2,'Komisyon Tarifeleri'!X80,'Komisyon Tarifeleri'!S80))</f>
        <v/>
      </c>
      <c r="U80" s="10">
        <f>IF(OR(S80="",$D80=""),"",S80*(1-T80/100)-$D80-IF(S80&lt;=199.99,Kargo!$E$2,IF(S80&lt;=399.99,Kargo!$E$3,$F80)))</f>
        <v/>
      </c>
      <c r="V80" s="12">
        <f>IF(U80="","",U80/S80)</f>
        <v/>
      </c>
      <c r="W80" s="12">
        <f>IF($B80="","",IFERROR(VLOOKUP($C80,Hedefler!$A:$C,2,FALSE),0.04))</f>
        <v/>
      </c>
      <c r="X80" s="12">
        <f>IF($B80="","",IFERROR(VLOOKUP($C80,Hedefler!$A:$C,3,FALSE),0.1))</f>
        <v/>
      </c>
      <c r="Y80" s="13">
        <f>IF($B80="","",IFERROR(VLOOKUP($B80,Maliyetler!$A:$E,5,FALSE),""))</f>
        <v/>
      </c>
      <c r="Z80" s="13">
        <f>IF(OR(Y80="",Y80=0),"",Y80-1)</f>
        <v/>
      </c>
      <c r="AA80" s="14">
        <f>IF(Z80="","",IF(Z80&gt;='Komisyon Tarifeleri'!I80,IF($AM$1=2,'Komisyon Tarifeleri'!U80,'Komisyon Tarifeleri'!P80),IF(Z80&gt;='Komisyon Tarifeleri'!K80,IF($AM$1=2,'Komisyon Tarifeleri'!V80,'Komisyon Tarifeleri'!Q80),IF(Z80&gt;='Komisyon Tarifeleri'!M80,IF($AM$1=2,'Komisyon Tarifeleri'!W80,'Komisyon Tarifeleri'!R80),IF($AM$1=2,'Komisyon Tarifeleri'!X80,'Komisyon Tarifeleri'!S80)))))</f>
        <v/>
      </c>
      <c r="AB80" s="13">
        <f>IF(OR(AA80="",$D80=""),"",Z80*(1-AA80/100)-$D80-IF(Z80&lt;=199.99,Kargo!$E$2,IF(Z80&lt;=399.99,Kargo!$E$3,$F80)))</f>
        <v/>
      </c>
      <c r="AC80" s="15">
        <f>IF(AB80="","",AB80/Z80)</f>
        <v/>
      </c>
      <c r="AD80" s="10">
        <f>IF(OR($D80="",$B80=""),"",IF(AND((1-T80/100-W80)&gt;0,CEILING(($D80+$F80)/(1-T80/100-W80),1)&lt;='Komisyon Tarifeleri'!N80),CEILING(($D80+$F80)/(1-T80/100-W80),1),IF(AND((1-P80/100-W80)&gt;0,CEILING(MAX('Komisyon Tarifeleri'!M80,($D80+$F80)/(1-P80/100-W80)),1)&lt;='Komisyon Tarifeleri'!L80),CEILING(MAX('Komisyon Tarifeleri'!M80,($D80+$F80)/(1-P80/100-W80)),1),IF(AND((1-L80/100-W80)&gt;0,CEILING(MAX('Komisyon Tarifeleri'!K80,($D80+$F80)/(1-L80/100-W80)),1)&lt;='Komisyon Tarifeleri'!J80),CEILING(MAX('Komisyon Tarifeleri'!K80,($D80+$F80)/(1-L80/100-W80)),1),IF((1-H80/100-W80)&gt;0,CEILING(MAX('Komisyon Tarifeleri'!I80,($D80+$F80)/(1-H80/100-W80)),1),"İMKÂNSIZ")))))</f>
        <v/>
      </c>
      <c r="AE80" s="10">
        <f>IF(OR($D80="",$B80=""),"",IF(AND((1-T80/100-X80)&gt;0,CEILING(($D80+$F80)/(1-T80/100-X80),1)&lt;='Komisyon Tarifeleri'!N80),CEILING(($D80+$F80)/(1-T80/100-X80),1),IF(AND((1-P80/100-X80)&gt;0,CEILING(MAX('Komisyon Tarifeleri'!M80,($D80+$F80)/(1-P80/100-X80)),1)&lt;='Komisyon Tarifeleri'!L80),CEILING(MAX('Komisyon Tarifeleri'!M80,($D80+$F80)/(1-P80/100-X80)),1),IF(AND((1-L80/100-X80)&gt;0,CEILING(MAX('Komisyon Tarifeleri'!K80,($D80+$F80)/(1-L80/100-X80)),1)&lt;='Komisyon Tarifeleri'!J80),CEILING(MAX('Komisyon Tarifeleri'!K80,($D80+$F80)/(1-L80/100-X80)),1),IF((1-H80/100-X80)&gt;0,CEILING(MAX('Komisyon Tarifeleri'!I80,($D80+$F80)/(1-H80/100-X80)),1),"İMKÂNSIZ")))))</f>
        <v/>
      </c>
      <c r="AF80" s="16">
        <f>IF($D80="","",IF(AND(Y80&lt;&gt;"",AC80&lt;&gt;"",AC80&gt;=W80),Z80,IF(Y80&lt;&gt;"",AD80,AE80)))</f>
        <v/>
      </c>
      <c r="AG80" s="16">
        <f>IF(OR(AF80="",AF80="İMKÂNSIZ"),"",AF80*(1-IF(AF80&gt;='Komisyon Tarifeleri'!I80,IF($AM$1=2,'Komisyon Tarifeleri'!U80,'Komisyon Tarifeleri'!P80),IF(AF80&gt;='Komisyon Tarifeleri'!K80,IF($AM$1=2,'Komisyon Tarifeleri'!V80,'Komisyon Tarifeleri'!Q80),IF(AF80&gt;='Komisyon Tarifeleri'!M80,IF($AM$1=2,'Komisyon Tarifeleri'!W80,'Komisyon Tarifeleri'!R80),IF($AM$1=2,'Komisyon Tarifeleri'!X80,'Komisyon Tarifeleri'!S80))))/100)-$D80-IF(AF80&lt;=199.99,Kargo!$E$2,IF(AF80&lt;=399.99,Kargo!$E$3,$F80)))</f>
        <v/>
      </c>
      <c r="AH80" s="17">
        <f>IF(AG80="","",AG80/AF80)</f>
        <v/>
      </c>
      <c r="AI80" s="18">
        <f>IF($D80="","",IF(Y80="","BUYBOX YOK → hedef kârla min fiyat",IF(AC80&gt;=W80,"✓ BUYBOX ALTINA GİR","BUYBOX ALTI KÂRSIZ → min kârlı fiyat")))</f>
        <v/>
      </c>
      <c r="AJ80" s="10">
        <f>IF($B80="","",IFERROR(VLOOKUP($B80,Maliyetler!$A:$G,6,FALSE),""))</f>
        <v/>
      </c>
      <c r="AK80">
        <f>IF($B80="","",IFERROR(VLOOKUP($B80,Maliyetler!$A:$G,7,FALSE),""))</f>
        <v/>
      </c>
      <c r="AO80" s="21">
        <f>IF($B80="","",IFERROR(VLOOKUP($B80&amp;"",'Plus Tarifeleri'!$C:$Q,11,FALSE),""))</f>
        <v/>
      </c>
      <c r="AP80" s="22">
        <f>IF(AO80="","",IFERROR(IF($AM$1=2,VLOOKUP($B80&amp;"",'Plus Tarifeleri'!$C:$Q,15,FALSE),VLOOKUP($B80&amp;"",'Plus Tarifeleri'!$C:$Q,13,FALSE)),""))</f>
        <v/>
      </c>
      <c r="AQ80" s="21">
        <f>IF(OR(AO80="",AP80="",$D80=""),"",AO80*(1-AP80/100)-$D80-IF(AO80&lt;=199.99,Kargo!$E$2,IF(AO80&lt;=399.99,Kargo!$E$3,$F80)))</f>
        <v/>
      </c>
      <c r="AR80" s="23">
        <f>IF(AQ80="","",AQ80/AO80)</f>
        <v/>
      </c>
      <c r="AS80" s="24">
        <f>IF(OR(AQ80="",AG80=""),"",AQ80-AG80)</f>
        <v/>
      </c>
    </row>
    <row r="81">
      <c r="A81">
        <f>IF('Komisyon Tarifeleri'!A81="","",'Komisyon Tarifeleri'!A81)</f>
        <v/>
      </c>
      <c r="B81">
        <f>IF('Komisyon Tarifeleri'!B81="","",'Komisyon Tarifeleri'!B81&amp;"")</f>
        <v/>
      </c>
      <c r="C81">
        <f>IF($B81="","",'Komisyon Tarifeleri'!F81)</f>
        <v/>
      </c>
      <c r="D81" s="10">
        <f>IF($B81="","",IFERROR(VLOOKUP($B81,Maliyetler!$A:$E,3,FALSE),""))</f>
        <v/>
      </c>
      <c r="E81">
        <f>IF($B81="","",IFERROR(VLOOKUP($B81,Maliyetler!$A:$E,4,FALSE),1))</f>
        <v/>
      </c>
      <c r="F81" s="10">
        <f>IF($B81="","",IFERROR(VLOOKUP(MIN(20,MAX(1,ROUND($E81,0))),Kargo!$A:$B,2,FALSE),99.46))</f>
        <v/>
      </c>
      <c r="G81" s="10">
        <f>IF($B81="","",IF(IF(N('Komisyon Tarifeleri'!AA81)&gt;='Komisyon Tarifeleri'!I81,'Komisyon Tarifeleri'!AA81,'Komisyon Tarifeleri'!I81)="","",IF(N('Komisyon Tarifeleri'!AA81)&gt;='Komisyon Tarifeleri'!I81,'Komisyon Tarifeleri'!AA81,'Komisyon Tarifeleri'!I81)))</f>
        <v/>
      </c>
      <c r="H81" s="11">
        <f>IF(G81="","",IF($AM$1=2,'Komisyon Tarifeleri'!U81,'Komisyon Tarifeleri'!P81))</f>
        <v/>
      </c>
      <c r="I81" s="10">
        <f>IF(OR(G81="",$D81=""),"",G81*(1-H81/100)-$D81-IF(G81&lt;=199.99,Kargo!$E$2,IF(G81&lt;=399.99,Kargo!$E$3,$F81)))</f>
        <v/>
      </c>
      <c r="J81" s="12">
        <f>IF(I81="","",I81/G81)</f>
        <v/>
      </c>
      <c r="K81" s="10">
        <f>IF($B81="","",IF('Komisyon Tarifeleri'!J81="","",'Komisyon Tarifeleri'!J81))</f>
        <v/>
      </c>
      <c r="L81" s="11">
        <f>IF(K81="","",IF($AM$1=2,'Komisyon Tarifeleri'!V81,'Komisyon Tarifeleri'!Q81))</f>
        <v/>
      </c>
      <c r="M81" s="10">
        <f>IF(OR(K81="",$D81=""),"",K81*(1-L81/100)-$D81-IF(K81&lt;=199.99,Kargo!$E$2,IF(K81&lt;=399.99,Kargo!$E$3,$F81)))</f>
        <v/>
      </c>
      <c r="N81" s="12">
        <f>IF(M81="","",M81/K81)</f>
        <v/>
      </c>
      <c r="O81" s="10">
        <f>IF($B81="","",IF('Komisyon Tarifeleri'!L81="","",'Komisyon Tarifeleri'!L81))</f>
        <v/>
      </c>
      <c r="P81" s="11">
        <f>IF(O81="","",IF($AM$1=2,'Komisyon Tarifeleri'!W81,'Komisyon Tarifeleri'!R81))</f>
        <v/>
      </c>
      <c r="Q81" s="10">
        <f>IF(OR(O81="",$D81=""),"",O81*(1-P81/100)-$D81-IF(O81&lt;=199.99,Kargo!$E$2,IF(O81&lt;=399.99,Kargo!$E$3,$F81)))</f>
        <v/>
      </c>
      <c r="R81" s="12">
        <f>IF(Q81="","",Q81/O81)</f>
        <v/>
      </c>
      <c r="S81" s="10">
        <f>IF($B81="","",IF('Komisyon Tarifeleri'!N81="","",'Komisyon Tarifeleri'!N81))</f>
        <v/>
      </c>
      <c r="T81" s="11">
        <f>IF(S81="","",IF($AM$1=2,'Komisyon Tarifeleri'!X81,'Komisyon Tarifeleri'!S81))</f>
        <v/>
      </c>
      <c r="U81" s="10">
        <f>IF(OR(S81="",$D81=""),"",S81*(1-T81/100)-$D81-IF(S81&lt;=199.99,Kargo!$E$2,IF(S81&lt;=399.99,Kargo!$E$3,$F81)))</f>
        <v/>
      </c>
      <c r="V81" s="12">
        <f>IF(U81="","",U81/S81)</f>
        <v/>
      </c>
      <c r="W81" s="12">
        <f>IF($B81="","",IFERROR(VLOOKUP($C81,Hedefler!$A:$C,2,FALSE),0.04))</f>
        <v/>
      </c>
      <c r="X81" s="12">
        <f>IF($B81="","",IFERROR(VLOOKUP($C81,Hedefler!$A:$C,3,FALSE),0.1))</f>
        <v/>
      </c>
      <c r="Y81" s="13">
        <f>IF($B81="","",IFERROR(VLOOKUP($B81,Maliyetler!$A:$E,5,FALSE),""))</f>
        <v/>
      </c>
      <c r="Z81" s="13">
        <f>IF(OR(Y81="",Y81=0),"",Y81-1)</f>
        <v/>
      </c>
      <c r="AA81" s="14">
        <f>IF(Z81="","",IF(Z81&gt;='Komisyon Tarifeleri'!I81,IF($AM$1=2,'Komisyon Tarifeleri'!U81,'Komisyon Tarifeleri'!P81),IF(Z81&gt;='Komisyon Tarifeleri'!K81,IF($AM$1=2,'Komisyon Tarifeleri'!V81,'Komisyon Tarifeleri'!Q81),IF(Z81&gt;='Komisyon Tarifeleri'!M81,IF($AM$1=2,'Komisyon Tarifeleri'!W81,'Komisyon Tarifeleri'!R81),IF($AM$1=2,'Komisyon Tarifeleri'!X81,'Komisyon Tarifeleri'!S81)))))</f>
        <v/>
      </c>
      <c r="AB81" s="13">
        <f>IF(OR(AA81="",$D81=""),"",Z81*(1-AA81/100)-$D81-IF(Z81&lt;=199.99,Kargo!$E$2,IF(Z81&lt;=399.99,Kargo!$E$3,$F81)))</f>
        <v/>
      </c>
      <c r="AC81" s="15">
        <f>IF(AB81="","",AB81/Z81)</f>
        <v/>
      </c>
      <c r="AD81" s="10">
        <f>IF(OR($D81="",$B81=""),"",IF(AND((1-T81/100-W81)&gt;0,CEILING(($D81+$F81)/(1-T81/100-W81),1)&lt;='Komisyon Tarifeleri'!N81),CEILING(($D81+$F81)/(1-T81/100-W81),1),IF(AND((1-P81/100-W81)&gt;0,CEILING(MAX('Komisyon Tarifeleri'!M81,($D81+$F81)/(1-P81/100-W81)),1)&lt;='Komisyon Tarifeleri'!L81),CEILING(MAX('Komisyon Tarifeleri'!M81,($D81+$F81)/(1-P81/100-W81)),1),IF(AND((1-L81/100-W81)&gt;0,CEILING(MAX('Komisyon Tarifeleri'!K81,($D81+$F81)/(1-L81/100-W81)),1)&lt;='Komisyon Tarifeleri'!J81),CEILING(MAX('Komisyon Tarifeleri'!K81,($D81+$F81)/(1-L81/100-W81)),1),IF((1-H81/100-W81)&gt;0,CEILING(MAX('Komisyon Tarifeleri'!I81,($D81+$F81)/(1-H81/100-W81)),1),"İMKÂNSIZ")))))</f>
        <v/>
      </c>
      <c r="AE81" s="10">
        <f>IF(OR($D81="",$B81=""),"",IF(AND((1-T81/100-X81)&gt;0,CEILING(($D81+$F81)/(1-T81/100-X81),1)&lt;='Komisyon Tarifeleri'!N81),CEILING(($D81+$F81)/(1-T81/100-X81),1),IF(AND((1-P81/100-X81)&gt;0,CEILING(MAX('Komisyon Tarifeleri'!M81,($D81+$F81)/(1-P81/100-X81)),1)&lt;='Komisyon Tarifeleri'!L81),CEILING(MAX('Komisyon Tarifeleri'!M81,($D81+$F81)/(1-P81/100-X81)),1),IF(AND((1-L81/100-X81)&gt;0,CEILING(MAX('Komisyon Tarifeleri'!K81,($D81+$F81)/(1-L81/100-X81)),1)&lt;='Komisyon Tarifeleri'!J81),CEILING(MAX('Komisyon Tarifeleri'!K81,($D81+$F81)/(1-L81/100-X81)),1),IF((1-H81/100-X81)&gt;0,CEILING(MAX('Komisyon Tarifeleri'!I81,($D81+$F81)/(1-H81/100-X81)),1),"İMKÂNSIZ")))))</f>
        <v/>
      </c>
      <c r="AF81" s="16">
        <f>IF($D81="","",IF(AND(Y81&lt;&gt;"",AC81&lt;&gt;"",AC81&gt;=W81),Z81,IF(Y81&lt;&gt;"",AD81,AE81)))</f>
        <v/>
      </c>
      <c r="AG81" s="16">
        <f>IF(OR(AF81="",AF81="İMKÂNSIZ"),"",AF81*(1-IF(AF81&gt;='Komisyon Tarifeleri'!I81,IF($AM$1=2,'Komisyon Tarifeleri'!U81,'Komisyon Tarifeleri'!P81),IF(AF81&gt;='Komisyon Tarifeleri'!K81,IF($AM$1=2,'Komisyon Tarifeleri'!V81,'Komisyon Tarifeleri'!Q81),IF(AF81&gt;='Komisyon Tarifeleri'!M81,IF($AM$1=2,'Komisyon Tarifeleri'!W81,'Komisyon Tarifeleri'!R81),IF($AM$1=2,'Komisyon Tarifeleri'!X81,'Komisyon Tarifeleri'!S81))))/100)-$D81-IF(AF81&lt;=199.99,Kargo!$E$2,IF(AF81&lt;=399.99,Kargo!$E$3,$F81)))</f>
        <v/>
      </c>
      <c r="AH81" s="17">
        <f>IF(AG81="","",AG81/AF81)</f>
        <v/>
      </c>
      <c r="AI81" s="18">
        <f>IF($D81="","",IF(Y81="","BUYBOX YOK → hedef kârla min fiyat",IF(AC81&gt;=W81,"✓ BUYBOX ALTINA GİR","BUYBOX ALTI KÂRSIZ → min kârlı fiyat")))</f>
        <v/>
      </c>
      <c r="AJ81" s="10">
        <f>IF($B81="","",IFERROR(VLOOKUP($B81,Maliyetler!$A:$G,6,FALSE),""))</f>
        <v/>
      </c>
      <c r="AK81">
        <f>IF($B81="","",IFERROR(VLOOKUP($B81,Maliyetler!$A:$G,7,FALSE),""))</f>
        <v/>
      </c>
      <c r="AO81" s="21">
        <f>IF($B81="","",IFERROR(VLOOKUP($B81&amp;"",'Plus Tarifeleri'!$C:$Q,11,FALSE),""))</f>
        <v/>
      </c>
      <c r="AP81" s="22">
        <f>IF(AO81="","",IFERROR(IF($AM$1=2,VLOOKUP($B81&amp;"",'Plus Tarifeleri'!$C:$Q,15,FALSE),VLOOKUP($B81&amp;"",'Plus Tarifeleri'!$C:$Q,13,FALSE)),""))</f>
        <v/>
      </c>
      <c r="AQ81" s="21">
        <f>IF(OR(AO81="",AP81="",$D81=""),"",AO81*(1-AP81/100)-$D81-IF(AO81&lt;=199.99,Kargo!$E$2,IF(AO81&lt;=399.99,Kargo!$E$3,$F81)))</f>
        <v/>
      </c>
      <c r="AR81" s="23">
        <f>IF(AQ81="","",AQ81/AO81)</f>
        <v/>
      </c>
      <c r="AS81" s="24">
        <f>IF(OR(AQ81="",AG81=""),"",AQ81-AG81)</f>
        <v/>
      </c>
    </row>
    <row r="82">
      <c r="A82">
        <f>IF('Komisyon Tarifeleri'!A82="","",'Komisyon Tarifeleri'!A82)</f>
        <v/>
      </c>
      <c r="B82">
        <f>IF('Komisyon Tarifeleri'!B82="","",'Komisyon Tarifeleri'!B82&amp;"")</f>
        <v/>
      </c>
      <c r="C82">
        <f>IF($B82="","",'Komisyon Tarifeleri'!F82)</f>
        <v/>
      </c>
      <c r="D82" s="10">
        <f>IF($B82="","",IFERROR(VLOOKUP($B82,Maliyetler!$A:$E,3,FALSE),""))</f>
        <v/>
      </c>
      <c r="E82">
        <f>IF($B82="","",IFERROR(VLOOKUP($B82,Maliyetler!$A:$E,4,FALSE),1))</f>
        <v/>
      </c>
      <c r="F82" s="10">
        <f>IF($B82="","",IFERROR(VLOOKUP(MIN(20,MAX(1,ROUND($E82,0))),Kargo!$A:$B,2,FALSE),99.46))</f>
        <v/>
      </c>
      <c r="G82" s="10">
        <f>IF($B82="","",IF(IF(N('Komisyon Tarifeleri'!AA82)&gt;='Komisyon Tarifeleri'!I82,'Komisyon Tarifeleri'!AA82,'Komisyon Tarifeleri'!I82)="","",IF(N('Komisyon Tarifeleri'!AA82)&gt;='Komisyon Tarifeleri'!I82,'Komisyon Tarifeleri'!AA82,'Komisyon Tarifeleri'!I82)))</f>
        <v/>
      </c>
      <c r="H82" s="11">
        <f>IF(G82="","",IF($AM$1=2,'Komisyon Tarifeleri'!U82,'Komisyon Tarifeleri'!P82))</f>
        <v/>
      </c>
      <c r="I82" s="10">
        <f>IF(OR(G82="",$D82=""),"",G82*(1-H82/100)-$D82-IF(G82&lt;=199.99,Kargo!$E$2,IF(G82&lt;=399.99,Kargo!$E$3,$F82)))</f>
        <v/>
      </c>
      <c r="J82" s="12">
        <f>IF(I82="","",I82/G82)</f>
        <v/>
      </c>
      <c r="K82" s="10">
        <f>IF($B82="","",IF('Komisyon Tarifeleri'!J82="","",'Komisyon Tarifeleri'!J82))</f>
        <v/>
      </c>
      <c r="L82" s="11">
        <f>IF(K82="","",IF($AM$1=2,'Komisyon Tarifeleri'!V82,'Komisyon Tarifeleri'!Q82))</f>
        <v/>
      </c>
      <c r="M82" s="10">
        <f>IF(OR(K82="",$D82=""),"",K82*(1-L82/100)-$D82-IF(K82&lt;=199.99,Kargo!$E$2,IF(K82&lt;=399.99,Kargo!$E$3,$F82)))</f>
        <v/>
      </c>
      <c r="N82" s="12">
        <f>IF(M82="","",M82/K82)</f>
        <v/>
      </c>
      <c r="O82" s="10">
        <f>IF($B82="","",IF('Komisyon Tarifeleri'!L82="","",'Komisyon Tarifeleri'!L82))</f>
        <v/>
      </c>
      <c r="P82" s="11">
        <f>IF(O82="","",IF($AM$1=2,'Komisyon Tarifeleri'!W82,'Komisyon Tarifeleri'!R82))</f>
        <v/>
      </c>
      <c r="Q82" s="10">
        <f>IF(OR(O82="",$D82=""),"",O82*(1-P82/100)-$D82-IF(O82&lt;=199.99,Kargo!$E$2,IF(O82&lt;=399.99,Kargo!$E$3,$F82)))</f>
        <v/>
      </c>
      <c r="R82" s="12">
        <f>IF(Q82="","",Q82/O82)</f>
        <v/>
      </c>
      <c r="S82" s="10">
        <f>IF($B82="","",IF('Komisyon Tarifeleri'!N82="","",'Komisyon Tarifeleri'!N82))</f>
        <v/>
      </c>
      <c r="T82" s="11">
        <f>IF(S82="","",IF($AM$1=2,'Komisyon Tarifeleri'!X82,'Komisyon Tarifeleri'!S82))</f>
        <v/>
      </c>
      <c r="U82" s="10">
        <f>IF(OR(S82="",$D82=""),"",S82*(1-T82/100)-$D82-IF(S82&lt;=199.99,Kargo!$E$2,IF(S82&lt;=399.99,Kargo!$E$3,$F82)))</f>
        <v/>
      </c>
      <c r="V82" s="12">
        <f>IF(U82="","",U82/S82)</f>
        <v/>
      </c>
      <c r="W82" s="12">
        <f>IF($B82="","",IFERROR(VLOOKUP($C82,Hedefler!$A:$C,2,FALSE),0.04))</f>
        <v/>
      </c>
      <c r="X82" s="12">
        <f>IF($B82="","",IFERROR(VLOOKUP($C82,Hedefler!$A:$C,3,FALSE),0.1))</f>
        <v/>
      </c>
      <c r="Y82" s="13">
        <f>IF($B82="","",IFERROR(VLOOKUP($B82,Maliyetler!$A:$E,5,FALSE),""))</f>
        <v/>
      </c>
      <c r="Z82" s="13">
        <f>IF(OR(Y82="",Y82=0),"",Y82-1)</f>
        <v/>
      </c>
      <c r="AA82" s="14">
        <f>IF(Z82="","",IF(Z82&gt;='Komisyon Tarifeleri'!I82,IF($AM$1=2,'Komisyon Tarifeleri'!U82,'Komisyon Tarifeleri'!P82),IF(Z82&gt;='Komisyon Tarifeleri'!K82,IF($AM$1=2,'Komisyon Tarifeleri'!V82,'Komisyon Tarifeleri'!Q82),IF(Z82&gt;='Komisyon Tarifeleri'!M82,IF($AM$1=2,'Komisyon Tarifeleri'!W82,'Komisyon Tarifeleri'!R82),IF($AM$1=2,'Komisyon Tarifeleri'!X82,'Komisyon Tarifeleri'!S82)))))</f>
        <v/>
      </c>
      <c r="AB82" s="13">
        <f>IF(OR(AA82="",$D82=""),"",Z82*(1-AA82/100)-$D82-IF(Z82&lt;=199.99,Kargo!$E$2,IF(Z82&lt;=399.99,Kargo!$E$3,$F82)))</f>
        <v/>
      </c>
      <c r="AC82" s="15">
        <f>IF(AB82="","",AB82/Z82)</f>
        <v/>
      </c>
      <c r="AD82" s="10">
        <f>IF(OR($D82="",$B82=""),"",IF(AND((1-T82/100-W82)&gt;0,CEILING(($D82+$F82)/(1-T82/100-W82),1)&lt;='Komisyon Tarifeleri'!N82),CEILING(($D82+$F82)/(1-T82/100-W82),1),IF(AND((1-P82/100-W82)&gt;0,CEILING(MAX('Komisyon Tarifeleri'!M82,($D82+$F82)/(1-P82/100-W82)),1)&lt;='Komisyon Tarifeleri'!L82),CEILING(MAX('Komisyon Tarifeleri'!M82,($D82+$F82)/(1-P82/100-W82)),1),IF(AND((1-L82/100-W82)&gt;0,CEILING(MAX('Komisyon Tarifeleri'!K82,($D82+$F82)/(1-L82/100-W82)),1)&lt;='Komisyon Tarifeleri'!J82),CEILING(MAX('Komisyon Tarifeleri'!K82,($D82+$F82)/(1-L82/100-W82)),1),IF((1-H82/100-W82)&gt;0,CEILING(MAX('Komisyon Tarifeleri'!I82,($D82+$F82)/(1-H82/100-W82)),1),"İMKÂNSIZ")))))</f>
        <v/>
      </c>
      <c r="AE82" s="10">
        <f>IF(OR($D82="",$B82=""),"",IF(AND((1-T82/100-X82)&gt;0,CEILING(($D82+$F82)/(1-T82/100-X82),1)&lt;='Komisyon Tarifeleri'!N82),CEILING(($D82+$F82)/(1-T82/100-X82),1),IF(AND((1-P82/100-X82)&gt;0,CEILING(MAX('Komisyon Tarifeleri'!M82,($D82+$F82)/(1-P82/100-X82)),1)&lt;='Komisyon Tarifeleri'!L82),CEILING(MAX('Komisyon Tarifeleri'!M82,($D82+$F82)/(1-P82/100-X82)),1),IF(AND((1-L82/100-X82)&gt;0,CEILING(MAX('Komisyon Tarifeleri'!K82,($D82+$F82)/(1-L82/100-X82)),1)&lt;='Komisyon Tarifeleri'!J82),CEILING(MAX('Komisyon Tarifeleri'!K82,($D82+$F82)/(1-L82/100-X82)),1),IF((1-H82/100-X82)&gt;0,CEILING(MAX('Komisyon Tarifeleri'!I82,($D82+$F82)/(1-H82/100-X82)),1),"İMKÂNSIZ")))))</f>
        <v/>
      </c>
      <c r="AF82" s="16">
        <f>IF($D82="","",IF(AND(Y82&lt;&gt;"",AC82&lt;&gt;"",AC82&gt;=W82),Z82,IF(Y82&lt;&gt;"",AD82,AE82)))</f>
        <v/>
      </c>
      <c r="AG82" s="16">
        <f>IF(OR(AF82="",AF82="İMKÂNSIZ"),"",AF82*(1-IF(AF82&gt;='Komisyon Tarifeleri'!I82,IF($AM$1=2,'Komisyon Tarifeleri'!U82,'Komisyon Tarifeleri'!P82),IF(AF82&gt;='Komisyon Tarifeleri'!K82,IF($AM$1=2,'Komisyon Tarifeleri'!V82,'Komisyon Tarifeleri'!Q82),IF(AF82&gt;='Komisyon Tarifeleri'!M82,IF($AM$1=2,'Komisyon Tarifeleri'!W82,'Komisyon Tarifeleri'!R82),IF($AM$1=2,'Komisyon Tarifeleri'!X82,'Komisyon Tarifeleri'!S82))))/100)-$D82-IF(AF82&lt;=199.99,Kargo!$E$2,IF(AF82&lt;=399.99,Kargo!$E$3,$F82)))</f>
        <v/>
      </c>
      <c r="AH82" s="17">
        <f>IF(AG82="","",AG82/AF82)</f>
        <v/>
      </c>
      <c r="AI82" s="18">
        <f>IF($D82="","",IF(Y82="","BUYBOX YOK → hedef kârla min fiyat",IF(AC82&gt;=W82,"✓ BUYBOX ALTINA GİR","BUYBOX ALTI KÂRSIZ → min kârlı fiyat")))</f>
        <v/>
      </c>
      <c r="AJ82" s="10">
        <f>IF($B82="","",IFERROR(VLOOKUP($B82,Maliyetler!$A:$G,6,FALSE),""))</f>
        <v/>
      </c>
      <c r="AK82">
        <f>IF($B82="","",IFERROR(VLOOKUP($B82,Maliyetler!$A:$G,7,FALSE),""))</f>
        <v/>
      </c>
      <c r="AO82" s="21">
        <f>IF($B82="","",IFERROR(VLOOKUP($B82&amp;"",'Plus Tarifeleri'!$C:$Q,11,FALSE),""))</f>
        <v/>
      </c>
      <c r="AP82" s="22">
        <f>IF(AO82="","",IFERROR(IF($AM$1=2,VLOOKUP($B82&amp;"",'Plus Tarifeleri'!$C:$Q,15,FALSE),VLOOKUP($B82&amp;"",'Plus Tarifeleri'!$C:$Q,13,FALSE)),""))</f>
        <v/>
      </c>
      <c r="AQ82" s="21">
        <f>IF(OR(AO82="",AP82="",$D82=""),"",AO82*(1-AP82/100)-$D82-IF(AO82&lt;=199.99,Kargo!$E$2,IF(AO82&lt;=399.99,Kargo!$E$3,$F82)))</f>
        <v/>
      </c>
      <c r="AR82" s="23">
        <f>IF(AQ82="","",AQ82/AO82)</f>
        <v/>
      </c>
      <c r="AS82" s="24">
        <f>IF(OR(AQ82="",AG82=""),"",AQ82-AG82)</f>
        <v/>
      </c>
    </row>
    <row r="83">
      <c r="A83">
        <f>IF('Komisyon Tarifeleri'!A83="","",'Komisyon Tarifeleri'!A83)</f>
        <v/>
      </c>
      <c r="B83">
        <f>IF('Komisyon Tarifeleri'!B83="","",'Komisyon Tarifeleri'!B83&amp;"")</f>
        <v/>
      </c>
      <c r="C83">
        <f>IF($B83="","",'Komisyon Tarifeleri'!F83)</f>
        <v/>
      </c>
      <c r="D83" s="10">
        <f>IF($B83="","",IFERROR(VLOOKUP($B83,Maliyetler!$A:$E,3,FALSE),""))</f>
        <v/>
      </c>
      <c r="E83">
        <f>IF($B83="","",IFERROR(VLOOKUP($B83,Maliyetler!$A:$E,4,FALSE),1))</f>
        <v/>
      </c>
      <c r="F83" s="10">
        <f>IF($B83="","",IFERROR(VLOOKUP(MIN(20,MAX(1,ROUND($E83,0))),Kargo!$A:$B,2,FALSE),99.46))</f>
        <v/>
      </c>
      <c r="G83" s="10">
        <f>IF($B83="","",IF(IF(N('Komisyon Tarifeleri'!AA83)&gt;='Komisyon Tarifeleri'!I83,'Komisyon Tarifeleri'!AA83,'Komisyon Tarifeleri'!I83)="","",IF(N('Komisyon Tarifeleri'!AA83)&gt;='Komisyon Tarifeleri'!I83,'Komisyon Tarifeleri'!AA83,'Komisyon Tarifeleri'!I83)))</f>
        <v/>
      </c>
      <c r="H83" s="11">
        <f>IF(G83="","",IF($AM$1=2,'Komisyon Tarifeleri'!U83,'Komisyon Tarifeleri'!P83))</f>
        <v/>
      </c>
      <c r="I83" s="10">
        <f>IF(OR(G83="",$D83=""),"",G83*(1-H83/100)-$D83-IF(G83&lt;=199.99,Kargo!$E$2,IF(G83&lt;=399.99,Kargo!$E$3,$F83)))</f>
        <v/>
      </c>
      <c r="J83" s="12">
        <f>IF(I83="","",I83/G83)</f>
        <v/>
      </c>
      <c r="K83" s="10">
        <f>IF($B83="","",IF('Komisyon Tarifeleri'!J83="","",'Komisyon Tarifeleri'!J83))</f>
        <v/>
      </c>
      <c r="L83" s="11">
        <f>IF(K83="","",IF($AM$1=2,'Komisyon Tarifeleri'!V83,'Komisyon Tarifeleri'!Q83))</f>
        <v/>
      </c>
      <c r="M83" s="10">
        <f>IF(OR(K83="",$D83=""),"",K83*(1-L83/100)-$D83-IF(K83&lt;=199.99,Kargo!$E$2,IF(K83&lt;=399.99,Kargo!$E$3,$F83)))</f>
        <v/>
      </c>
      <c r="N83" s="12">
        <f>IF(M83="","",M83/K83)</f>
        <v/>
      </c>
      <c r="O83" s="10">
        <f>IF($B83="","",IF('Komisyon Tarifeleri'!L83="","",'Komisyon Tarifeleri'!L83))</f>
        <v/>
      </c>
      <c r="P83" s="11">
        <f>IF(O83="","",IF($AM$1=2,'Komisyon Tarifeleri'!W83,'Komisyon Tarifeleri'!R83))</f>
        <v/>
      </c>
      <c r="Q83" s="10">
        <f>IF(OR(O83="",$D83=""),"",O83*(1-P83/100)-$D83-IF(O83&lt;=199.99,Kargo!$E$2,IF(O83&lt;=399.99,Kargo!$E$3,$F83)))</f>
        <v/>
      </c>
      <c r="R83" s="12">
        <f>IF(Q83="","",Q83/O83)</f>
        <v/>
      </c>
      <c r="S83" s="10">
        <f>IF($B83="","",IF('Komisyon Tarifeleri'!N83="","",'Komisyon Tarifeleri'!N83))</f>
        <v/>
      </c>
      <c r="T83" s="11">
        <f>IF(S83="","",IF($AM$1=2,'Komisyon Tarifeleri'!X83,'Komisyon Tarifeleri'!S83))</f>
        <v/>
      </c>
      <c r="U83" s="10">
        <f>IF(OR(S83="",$D83=""),"",S83*(1-T83/100)-$D83-IF(S83&lt;=199.99,Kargo!$E$2,IF(S83&lt;=399.99,Kargo!$E$3,$F83)))</f>
        <v/>
      </c>
      <c r="V83" s="12">
        <f>IF(U83="","",U83/S83)</f>
        <v/>
      </c>
      <c r="W83" s="12">
        <f>IF($B83="","",IFERROR(VLOOKUP($C83,Hedefler!$A:$C,2,FALSE),0.04))</f>
        <v/>
      </c>
      <c r="X83" s="12">
        <f>IF($B83="","",IFERROR(VLOOKUP($C83,Hedefler!$A:$C,3,FALSE),0.1))</f>
        <v/>
      </c>
      <c r="Y83" s="13">
        <f>IF($B83="","",IFERROR(VLOOKUP($B83,Maliyetler!$A:$E,5,FALSE),""))</f>
        <v/>
      </c>
      <c r="Z83" s="13">
        <f>IF(OR(Y83="",Y83=0),"",Y83-1)</f>
        <v/>
      </c>
      <c r="AA83" s="14">
        <f>IF(Z83="","",IF(Z83&gt;='Komisyon Tarifeleri'!I83,IF($AM$1=2,'Komisyon Tarifeleri'!U83,'Komisyon Tarifeleri'!P83),IF(Z83&gt;='Komisyon Tarifeleri'!K83,IF($AM$1=2,'Komisyon Tarifeleri'!V83,'Komisyon Tarifeleri'!Q83),IF(Z83&gt;='Komisyon Tarifeleri'!M83,IF($AM$1=2,'Komisyon Tarifeleri'!W83,'Komisyon Tarifeleri'!R83),IF($AM$1=2,'Komisyon Tarifeleri'!X83,'Komisyon Tarifeleri'!S83)))))</f>
        <v/>
      </c>
      <c r="AB83" s="13">
        <f>IF(OR(AA83="",$D83=""),"",Z83*(1-AA83/100)-$D83-IF(Z83&lt;=199.99,Kargo!$E$2,IF(Z83&lt;=399.99,Kargo!$E$3,$F83)))</f>
        <v/>
      </c>
      <c r="AC83" s="15">
        <f>IF(AB83="","",AB83/Z83)</f>
        <v/>
      </c>
      <c r="AD83" s="10">
        <f>IF(OR($D83="",$B83=""),"",IF(AND((1-T83/100-W83)&gt;0,CEILING(($D83+$F83)/(1-T83/100-W83),1)&lt;='Komisyon Tarifeleri'!N83),CEILING(($D83+$F83)/(1-T83/100-W83),1),IF(AND((1-P83/100-W83)&gt;0,CEILING(MAX('Komisyon Tarifeleri'!M83,($D83+$F83)/(1-P83/100-W83)),1)&lt;='Komisyon Tarifeleri'!L83),CEILING(MAX('Komisyon Tarifeleri'!M83,($D83+$F83)/(1-P83/100-W83)),1),IF(AND((1-L83/100-W83)&gt;0,CEILING(MAX('Komisyon Tarifeleri'!K83,($D83+$F83)/(1-L83/100-W83)),1)&lt;='Komisyon Tarifeleri'!J83),CEILING(MAX('Komisyon Tarifeleri'!K83,($D83+$F83)/(1-L83/100-W83)),1),IF((1-H83/100-W83)&gt;0,CEILING(MAX('Komisyon Tarifeleri'!I83,($D83+$F83)/(1-H83/100-W83)),1),"İMKÂNSIZ")))))</f>
        <v/>
      </c>
      <c r="AE83" s="10">
        <f>IF(OR($D83="",$B83=""),"",IF(AND((1-T83/100-X83)&gt;0,CEILING(($D83+$F83)/(1-T83/100-X83),1)&lt;='Komisyon Tarifeleri'!N83),CEILING(($D83+$F83)/(1-T83/100-X83),1),IF(AND((1-P83/100-X83)&gt;0,CEILING(MAX('Komisyon Tarifeleri'!M83,($D83+$F83)/(1-P83/100-X83)),1)&lt;='Komisyon Tarifeleri'!L83),CEILING(MAX('Komisyon Tarifeleri'!M83,($D83+$F83)/(1-P83/100-X83)),1),IF(AND((1-L83/100-X83)&gt;0,CEILING(MAX('Komisyon Tarifeleri'!K83,($D83+$F83)/(1-L83/100-X83)),1)&lt;='Komisyon Tarifeleri'!J83),CEILING(MAX('Komisyon Tarifeleri'!K83,($D83+$F83)/(1-L83/100-X83)),1),IF((1-H83/100-X83)&gt;0,CEILING(MAX('Komisyon Tarifeleri'!I83,($D83+$F83)/(1-H83/100-X83)),1),"İMKÂNSIZ")))))</f>
        <v/>
      </c>
      <c r="AF83" s="16">
        <f>IF($D83="","",IF(AND(Y83&lt;&gt;"",AC83&lt;&gt;"",AC83&gt;=W83),Z83,IF(Y83&lt;&gt;"",AD83,AE83)))</f>
        <v/>
      </c>
      <c r="AG83" s="16">
        <f>IF(OR(AF83="",AF83="İMKÂNSIZ"),"",AF83*(1-IF(AF83&gt;='Komisyon Tarifeleri'!I83,IF($AM$1=2,'Komisyon Tarifeleri'!U83,'Komisyon Tarifeleri'!P83),IF(AF83&gt;='Komisyon Tarifeleri'!K83,IF($AM$1=2,'Komisyon Tarifeleri'!V83,'Komisyon Tarifeleri'!Q83),IF(AF83&gt;='Komisyon Tarifeleri'!M83,IF($AM$1=2,'Komisyon Tarifeleri'!W83,'Komisyon Tarifeleri'!R83),IF($AM$1=2,'Komisyon Tarifeleri'!X83,'Komisyon Tarifeleri'!S83))))/100)-$D83-IF(AF83&lt;=199.99,Kargo!$E$2,IF(AF83&lt;=399.99,Kargo!$E$3,$F83)))</f>
        <v/>
      </c>
      <c r="AH83" s="17">
        <f>IF(AG83="","",AG83/AF83)</f>
        <v/>
      </c>
      <c r="AI83" s="18">
        <f>IF($D83="","",IF(Y83="","BUYBOX YOK → hedef kârla min fiyat",IF(AC83&gt;=W83,"✓ BUYBOX ALTINA GİR","BUYBOX ALTI KÂRSIZ → min kârlı fiyat")))</f>
        <v/>
      </c>
      <c r="AJ83" s="10">
        <f>IF($B83="","",IFERROR(VLOOKUP($B83,Maliyetler!$A:$G,6,FALSE),""))</f>
        <v/>
      </c>
      <c r="AK83">
        <f>IF($B83="","",IFERROR(VLOOKUP($B83,Maliyetler!$A:$G,7,FALSE),""))</f>
        <v/>
      </c>
      <c r="AO83" s="21">
        <f>IF($B83="","",IFERROR(VLOOKUP($B83&amp;"",'Plus Tarifeleri'!$C:$Q,11,FALSE),""))</f>
        <v/>
      </c>
      <c r="AP83" s="22">
        <f>IF(AO83="","",IFERROR(IF($AM$1=2,VLOOKUP($B83&amp;"",'Plus Tarifeleri'!$C:$Q,15,FALSE),VLOOKUP($B83&amp;"",'Plus Tarifeleri'!$C:$Q,13,FALSE)),""))</f>
        <v/>
      </c>
      <c r="AQ83" s="21">
        <f>IF(OR(AO83="",AP83="",$D83=""),"",AO83*(1-AP83/100)-$D83-IF(AO83&lt;=199.99,Kargo!$E$2,IF(AO83&lt;=399.99,Kargo!$E$3,$F83)))</f>
        <v/>
      </c>
      <c r="AR83" s="23">
        <f>IF(AQ83="","",AQ83/AO83)</f>
        <v/>
      </c>
      <c r="AS83" s="24">
        <f>IF(OR(AQ83="",AG83=""),"",AQ83-AG83)</f>
        <v/>
      </c>
    </row>
    <row r="84">
      <c r="A84">
        <f>IF('Komisyon Tarifeleri'!A84="","",'Komisyon Tarifeleri'!A84)</f>
        <v/>
      </c>
      <c r="B84">
        <f>IF('Komisyon Tarifeleri'!B84="","",'Komisyon Tarifeleri'!B84&amp;"")</f>
        <v/>
      </c>
      <c r="C84">
        <f>IF($B84="","",'Komisyon Tarifeleri'!F84)</f>
        <v/>
      </c>
      <c r="D84" s="10">
        <f>IF($B84="","",IFERROR(VLOOKUP($B84,Maliyetler!$A:$E,3,FALSE),""))</f>
        <v/>
      </c>
      <c r="E84">
        <f>IF($B84="","",IFERROR(VLOOKUP($B84,Maliyetler!$A:$E,4,FALSE),1))</f>
        <v/>
      </c>
      <c r="F84" s="10">
        <f>IF($B84="","",IFERROR(VLOOKUP(MIN(20,MAX(1,ROUND($E84,0))),Kargo!$A:$B,2,FALSE),99.46))</f>
        <v/>
      </c>
      <c r="G84" s="10">
        <f>IF($B84="","",IF(IF(N('Komisyon Tarifeleri'!AA84)&gt;='Komisyon Tarifeleri'!I84,'Komisyon Tarifeleri'!AA84,'Komisyon Tarifeleri'!I84)="","",IF(N('Komisyon Tarifeleri'!AA84)&gt;='Komisyon Tarifeleri'!I84,'Komisyon Tarifeleri'!AA84,'Komisyon Tarifeleri'!I84)))</f>
        <v/>
      </c>
      <c r="H84" s="11">
        <f>IF(G84="","",IF($AM$1=2,'Komisyon Tarifeleri'!U84,'Komisyon Tarifeleri'!P84))</f>
        <v/>
      </c>
      <c r="I84" s="10">
        <f>IF(OR(G84="",$D84=""),"",G84*(1-H84/100)-$D84-IF(G84&lt;=199.99,Kargo!$E$2,IF(G84&lt;=399.99,Kargo!$E$3,$F84)))</f>
        <v/>
      </c>
      <c r="J84" s="12">
        <f>IF(I84="","",I84/G84)</f>
        <v/>
      </c>
      <c r="K84" s="10">
        <f>IF($B84="","",IF('Komisyon Tarifeleri'!J84="","",'Komisyon Tarifeleri'!J84))</f>
        <v/>
      </c>
      <c r="L84" s="11">
        <f>IF(K84="","",IF($AM$1=2,'Komisyon Tarifeleri'!V84,'Komisyon Tarifeleri'!Q84))</f>
        <v/>
      </c>
      <c r="M84" s="10">
        <f>IF(OR(K84="",$D84=""),"",K84*(1-L84/100)-$D84-IF(K84&lt;=199.99,Kargo!$E$2,IF(K84&lt;=399.99,Kargo!$E$3,$F84)))</f>
        <v/>
      </c>
      <c r="N84" s="12">
        <f>IF(M84="","",M84/K84)</f>
        <v/>
      </c>
      <c r="O84" s="10">
        <f>IF($B84="","",IF('Komisyon Tarifeleri'!L84="","",'Komisyon Tarifeleri'!L84))</f>
        <v/>
      </c>
      <c r="P84" s="11">
        <f>IF(O84="","",IF($AM$1=2,'Komisyon Tarifeleri'!W84,'Komisyon Tarifeleri'!R84))</f>
        <v/>
      </c>
      <c r="Q84" s="10">
        <f>IF(OR(O84="",$D84=""),"",O84*(1-P84/100)-$D84-IF(O84&lt;=199.99,Kargo!$E$2,IF(O84&lt;=399.99,Kargo!$E$3,$F84)))</f>
        <v/>
      </c>
      <c r="R84" s="12">
        <f>IF(Q84="","",Q84/O84)</f>
        <v/>
      </c>
      <c r="S84" s="10">
        <f>IF($B84="","",IF('Komisyon Tarifeleri'!N84="","",'Komisyon Tarifeleri'!N84))</f>
        <v/>
      </c>
      <c r="T84" s="11">
        <f>IF(S84="","",IF($AM$1=2,'Komisyon Tarifeleri'!X84,'Komisyon Tarifeleri'!S84))</f>
        <v/>
      </c>
      <c r="U84" s="10">
        <f>IF(OR(S84="",$D84=""),"",S84*(1-T84/100)-$D84-IF(S84&lt;=199.99,Kargo!$E$2,IF(S84&lt;=399.99,Kargo!$E$3,$F84)))</f>
        <v/>
      </c>
      <c r="V84" s="12">
        <f>IF(U84="","",U84/S84)</f>
        <v/>
      </c>
      <c r="W84" s="12">
        <f>IF($B84="","",IFERROR(VLOOKUP($C84,Hedefler!$A:$C,2,FALSE),0.04))</f>
        <v/>
      </c>
      <c r="X84" s="12">
        <f>IF($B84="","",IFERROR(VLOOKUP($C84,Hedefler!$A:$C,3,FALSE),0.1))</f>
        <v/>
      </c>
      <c r="Y84" s="13">
        <f>IF($B84="","",IFERROR(VLOOKUP($B84,Maliyetler!$A:$E,5,FALSE),""))</f>
        <v/>
      </c>
      <c r="Z84" s="13">
        <f>IF(OR(Y84="",Y84=0),"",Y84-1)</f>
        <v/>
      </c>
      <c r="AA84" s="14">
        <f>IF(Z84="","",IF(Z84&gt;='Komisyon Tarifeleri'!I84,IF($AM$1=2,'Komisyon Tarifeleri'!U84,'Komisyon Tarifeleri'!P84),IF(Z84&gt;='Komisyon Tarifeleri'!K84,IF($AM$1=2,'Komisyon Tarifeleri'!V84,'Komisyon Tarifeleri'!Q84),IF(Z84&gt;='Komisyon Tarifeleri'!M84,IF($AM$1=2,'Komisyon Tarifeleri'!W84,'Komisyon Tarifeleri'!R84),IF($AM$1=2,'Komisyon Tarifeleri'!X84,'Komisyon Tarifeleri'!S84)))))</f>
        <v/>
      </c>
      <c r="AB84" s="13">
        <f>IF(OR(AA84="",$D84=""),"",Z84*(1-AA84/100)-$D84-IF(Z84&lt;=199.99,Kargo!$E$2,IF(Z84&lt;=399.99,Kargo!$E$3,$F84)))</f>
        <v/>
      </c>
      <c r="AC84" s="15">
        <f>IF(AB84="","",AB84/Z84)</f>
        <v/>
      </c>
      <c r="AD84" s="10">
        <f>IF(OR($D84="",$B84=""),"",IF(AND((1-T84/100-W84)&gt;0,CEILING(($D84+$F84)/(1-T84/100-W84),1)&lt;='Komisyon Tarifeleri'!N84),CEILING(($D84+$F84)/(1-T84/100-W84),1),IF(AND((1-P84/100-W84)&gt;0,CEILING(MAX('Komisyon Tarifeleri'!M84,($D84+$F84)/(1-P84/100-W84)),1)&lt;='Komisyon Tarifeleri'!L84),CEILING(MAX('Komisyon Tarifeleri'!M84,($D84+$F84)/(1-P84/100-W84)),1),IF(AND((1-L84/100-W84)&gt;0,CEILING(MAX('Komisyon Tarifeleri'!K84,($D84+$F84)/(1-L84/100-W84)),1)&lt;='Komisyon Tarifeleri'!J84),CEILING(MAX('Komisyon Tarifeleri'!K84,($D84+$F84)/(1-L84/100-W84)),1),IF((1-H84/100-W84)&gt;0,CEILING(MAX('Komisyon Tarifeleri'!I84,($D84+$F84)/(1-H84/100-W84)),1),"İMKÂNSIZ")))))</f>
        <v/>
      </c>
      <c r="AE84" s="10">
        <f>IF(OR($D84="",$B84=""),"",IF(AND((1-T84/100-X84)&gt;0,CEILING(($D84+$F84)/(1-T84/100-X84),1)&lt;='Komisyon Tarifeleri'!N84),CEILING(($D84+$F84)/(1-T84/100-X84),1),IF(AND((1-P84/100-X84)&gt;0,CEILING(MAX('Komisyon Tarifeleri'!M84,($D84+$F84)/(1-P84/100-X84)),1)&lt;='Komisyon Tarifeleri'!L84),CEILING(MAX('Komisyon Tarifeleri'!M84,($D84+$F84)/(1-P84/100-X84)),1),IF(AND((1-L84/100-X84)&gt;0,CEILING(MAX('Komisyon Tarifeleri'!K84,($D84+$F84)/(1-L84/100-X84)),1)&lt;='Komisyon Tarifeleri'!J84),CEILING(MAX('Komisyon Tarifeleri'!K84,($D84+$F84)/(1-L84/100-X84)),1),IF((1-H84/100-X84)&gt;0,CEILING(MAX('Komisyon Tarifeleri'!I84,($D84+$F84)/(1-H84/100-X84)),1),"İMKÂNSIZ")))))</f>
        <v/>
      </c>
      <c r="AF84" s="16">
        <f>IF($D84="","",IF(AND(Y84&lt;&gt;"",AC84&lt;&gt;"",AC84&gt;=W84),Z84,IF(Y84&lt;&gt;"",AD84,AE84)))</f>
        <v/>
      </c>
      <c r="AG84" s="16">
        <f>IF(OR(AF84="",AF84="İMKÂNSIZ"),"",AF84*(1-IF(AF84&gt;='Komisyon Tarifeleri'!I84,IF($AM$1=2,'Komisyon Tarifeleri'!U84,'Komisyon Tarifeleri'!P84),IF(AF84&gt;='Komisyon Tarifeleri'!K84,IF($AM$1=2,'Komisyon Tarifeleri'!V84,'Komisyon Tarifeleri'!Q84),IF(AF84&gt;='Komisyon Tarifeleri'!M84,IF($AM$1=2,'Komisyon Tarifeleri'!W84,'Komisyon Tarifeleri'!R84),IF($AM$1=2,'Komisyon Tarifeleri'!X84,'Komisyon Tarifeleri'!S84))))/100)-$D84-IF(AF84&lt;=199.99,Kargo!$E$2,IF(AF84&lt;=399.99,Kargo!$E$3,$F84)))</f>
        <v/>
      </c>
      <c r="AH84" s="17">
        <f>IF(AG84="","",AG84/AF84)</f>
        <v/>
      </c>
      <c r="AI84" s="18">
        <f>IF($D84="","",IF(Y84="","BUYBOX YOK → hedef kârla min fiyat",IF(AC84&gt;=W84,"✓ BUYBOX ALTINA GİR","BUYBOX ALTI KÂRSIZ → min kârlı fiyat")))</f>
        <v/>
      </c>
      <c r="AJ84" s="10">
        <f>IF($B84="","",IFERROR(VLOOKUP($B84,Maliyetler!$A:$G,6,FALSE),""))</f>
        <v/>
      </c>
      <c r="AK84">
        <f>IF($B84="","",IFERROR(VLOOKUP($B84,Maliyetler!$A:$G,7,FALSE),""))</f>
        <v/>
      </c>
      <c r="AO84" s="21">
        <f>IF($B84="","",IFERROR(VLOOKUP($B84&amp;"",'Plus Tarifeleri'!$C:$Q,11,FALSE),""))</f>
        <v/>
      </c>
      <c r="AP84" s="22">
        <f>IF(AO84="","",IFERROR(IF($AM$1=2,VLOOKUP($B84&amp;"",'Plus Tarifeleri'!$C:$Q,15,FALSE),VLOOKUP($B84&amp;"",'Plus Tarifeleri'!$C:$Q,13,FALSE)),""))</f>
        <v/>
      </c>
      <c r="AQ84" s="21">
        <f>IF(OR(AO84="",AP84="",$D84=""),"",AO84*(1-AP84/100)-$D84-IF(AO84&lt;=199.99,Kargo!$E$2,IF(AO84&lt;=399.99,Kargo!$E$3,$F84)))</f>
        <v/>
      </c>
      <c r="AR84" s="23">
        <f>IF(AQ84="","",AQ84/AO84)</f>
        <v/>
      </c>
      <c r="AS84" s="24">
        <f>IF(OR(AQ84="",AG84=""),"",AQ84-AG84)</f>
        <v/>
      </c>
    </row>
    <row r="85">
      <c r="A85">
        <f>IF('Komisyon Tarifeleri'!A85="","",'Komisyon Tarifeleri'!A85)</f>
        <v/>
      </c>
      <c r="B85">
        <f>IF('Komisyon Tarifeleri'!B85="","",'Komisyon Tarifeleri'!B85&amp;"")</f>
        <v/>
      </c>
      <c r="C85">
        <f>IF($B85="","",'Komisyon Tarifeleri'!F85)</f>
        <v/>
      </c>
      <c r="D85" s="10">
        <f>IF($B85="","",IFERROR(VLOOKUP($B85,Maliyetler!$A:$E,3,FALSE),""))</f>
        <v/>
      </c>
      <c r="E85">
        <f>IF($B85="","",IFERROR(VLOOKUP($B85,Maliyetler!$A:$E,4,FALSE),1))</f>
        <v/>
      </c>
      <c r="F85" s="10">
        <f>IF($B85="","",IFERROR(VLOOKUP(MIN(20,MAX(1,ROUND($E85,0))),Kargo!$A:$B,2,FALSE),99.46))</f>
        <v/>
      </c>
      <c r="G85" s="10">
        <f>IF($B85="","",IF(IF(N('Komisyon Tarifeleri'!AA85)&gt;='Komisyon Tarifeleri'!I85,'Komisyon Tarifeleri'!AA85,'Komisyon Tarifeleri'!I85)="","",IF(N('Komisyon Tarifeleri'!AA85)&gt;='Komisyon Tarifeleri'!I85,'Komisyon Tarifeleri'!AA85,'Komisyon Tarifeleri'!I85)))</f>
        <v/>
      </c>
      <c r="H85" s="11">
        <f>IF(G85="","",IF($AM$1=2,'Komisyon Tarifeleri'!U85,'Komisyon Tarifeleri'!P85))</f>
        <v/>
      </c>
      <c r="I85" s="10">
        <f>IF(OR(G85="",$D85=""),"",G85*(1-H85/100)-$D85-IF(G85&lt;=199.99,Kargo!$E$2,IF(G85&lt;=399.99,Kargo!$E$3,$F85)))</f>
        <v/>
      </c>
      <c r="J85" s="12">
        <f>IF(I85="","",I85/G85)</f>
        <v/>
      </c>
      <c r="K85" s="10">
        <f>IF($B85="","",IF('Komisyon Tarifeleri'!J85="","",'Komisyon Tarifeleri'!J85))</f>
        <v/>
      </c>
      <c r="L85" s="11">
        <f>IF(K85="","",IF($AM$1=2,'Komisyon Tarifeleri'!V85,'Komisyon Tarifeleri'!Q85))</f>
        <v/>
      </c>
      <c r="M85" s="10">
        <f>IF(OR(K85="",$D85=""),"",K85*(1-L85/100)-$D85-IF(K85&lt;=199.99,Kargo!$E$2,IF(K85&lt;=399.99,Kargo!$E$3,$F85)))</f>
        <v/>
      </c>
      <c r="N85" s="12">
        <f>IF(M85="","",M85/K85)</f>
        <v/>
      </c>
      <c r="O85" s="10">
        <f>IF($B85="","",IF('Komisyon Tarifeleri'!L85="","",'Komisyon Tarifeleri'!L85))</f>
        <v/>
      </c>
      <c r="P85" s="11">
        <f>IF(O85="","",IF($AM$1=2,'Komisyon Tarifeleri'!W85,'Komisyon Tarifeleri'!R85))</f>
        <v/>
      </c>
      <c r="Q85" s="10">
        <f>IF(OR(O85="",$D85=""),"",O85*(1-P85/100)-$D85-IF(O85&lt;=199.99,Kargo!$E$2,IF(O85&lt;=399.99,Kargo!$E$3,$F85)))</f>
        <v/>
      </c>
      <c r="R85" s="12">
        <f>IF(Q85="","",Q85/O85)</f>
        <v/>
      </c>
      <c r="S85" s="10">
        <f>IF($B85="","",IF('Komisyon Tarifeleri'!N85="","",'Komisyon Tarifeleri'!N85))</f>
        <v/>
      </c>
      <c r="T85" s="11">
        <f>IF(S85="","",IF($AM$1=2,'Komisyon Tarifeleri'!X85,'Komisyon Tarifeleri'!S85))</f>
        <v/>
      </c>
      <c r="U85" s="10">
        <f>IF(OR(S85="",$D85=""),"",S85*(1-T85/100)-$D85-IF(S85&lt;=199.99,Kargo!$E$2,IF(S85&lt;=399.99,Kargo!$E$3,$F85)))</f>
        <v/>
      </c>
      <c r="V85" s="12">
        <f>IF(U85="","",U85/S85)</f>
        <v/>
      </c>
      <c r="W85" s="12">
        <f>IF($B85="","",IFERROR(VLOOKUP($C85,Hedefler!$A:$C,2,FALSE),0.04))</f>
        <v/>
      </c>
      <c r="X85" s="12">
        <f>IF($B85="","",IFERROR(VLOOKUP($C85,Hedefler!$A:$C,3,FALSE),0.1))</f>
        <v/>
      </c>
      <c r="Y85" s="13">
        <f>IF($B85="","",IFERROR(VLOOKUP($B85,Maliyetler!$A:$E,5,FALSE),""))</f>
        <v/>
      </c>
      <c r="Z85" s="13">
        <f>IF(OR(Y85="",Y85=0),"",Y85-1)</f>
        <v/>
      </c>
      <c r="AA85" s="14">
        <f>IF(Z85="","",IF(Z85&gt;='Komisyon Tarifeleri'!I85,IF($AM$1=2,'Komisyon Tarifeleri'!U85,'Komisyon Tarifeleri'!P85),IF(Z85&gt;='Komisyon Tarifeleri'!K85,IF($AM$1=2,'Komisyon Tarifeleri'!V85,'Komisyon Tarifeleri'!Q85),IF(Z85&gt;='Komisyon Tarifeleri'!M85,IF($AM$1=2,'Komisyon Tarifeleri'!W85,'Komisyon Tarifeleri'!R85),IF($AM$1=2,'Komisyon Tarifeleri'!X85,'Komisyon Tarifeleri'!S85)))))</f>
        <v/>
      </c>
      <c r="AB85" s="13">
        <f>IF(OR(AA85="",$D85=""),"",Z85*(1-AA85/100)-$D85-IF(Z85&lt;=199.99,Kargo!$E$2,IF(Z85&lt;=399.99,Kargo!$E$3,$F85)))</f>
        <v/>
      </c>
      <c r="AC85" s="15">
        <f>IF(AB85="","",AB85/Z85)</f>
        <v/>
      </c>
      <c r="AD85" s="10">
        <f>IF(OR($D85="",$B85=""),"",IF(AND((1-T85/100-W85)&gt;0,CEILING(($D85+$F85)/(1-T85/100-W85),1)&lt;='Komisyon Tarifeleri'!N85),CEILING(($D85+$F85)/(1-T85/100-W85),1),IF(AND((1-P85/100-W85)&gt;0,CEILING(MAX('Komisyon Tarifeleri'!M85,($D85+$F85)/(1-P85/100-W85)),1)&lt;='Komisyon Tarifeleri'!L85),CEILING(MAX('Komisyon Tarifeleri'!M85,($D85+$F85)/(1-P85/100-W85)),1),IF(AND((1-L85/100-W85)&gt;0,CEILING(MAX('Komisyon Tarifeleri'!K85,($D85+$F85)/(1-L85/100-W85)),1)&lt;='Komisyon Tarifeleri'!J85),CEILING(MAX('Komisyon Tarifeleri'!K85,($D85+$F85)/(1-L85/100-W85)),1),IF((1-H85/100-W85)&gt;0,CEILING(MAX('Komisyon Tarifeleri'!I85,($D85+$F85)/(1-H85/100-W85)),1),"İMKÂNSIZ")))))</f>
        <v/>
      </c>
      <c r="AE85" s="10">
        <f>IF(OR($D85="",$B85=""),"",IF(AND((1-T85/100-X85)&gt;0,CEILING(($D85+$F85)/(1-T85/100-X85),1)&lt;='Komisyon Tarifeleri'!N85),CEILING(($D85+$F85)/(1-T85/100-X85),1),IF(AND((1-P85/100-X85)&gt;0,CEILING(MAX('Komisyon Tarifeleri'!M85,($D85+$F85)/(1-P85/100-X85)),1)&lt;='Komisyon Tarifeleri'!L85),CEILING(MAX('Komisyon Tarifeleri'!M85,($D85+$F85)/(1-P85/100-X85)),1),IF(AND((1-L85/100-X85)&gt;0,CEILING(MAX('Komisyon Tarifeleri'!K85,($D85+$F85)/(1-L85/100-X85)),1)&lt;='Komisyon Tarifeleri'!J85),CEILING(MAX('Komisyon Tarifeleri'!K85,($D85+$F85)/(1-L85/100-X85)),1),IF((1-H85/100-X85)&gt;0,CEILING(MAX('Komisyon Tarifeleri'!I85,($D85+$F85)/(1-H85/100-X85)),1),"İMKÂNSIZ")))))</f>
        <v/>
      </c>
      <c r="AF85" s="16">
        <f>IF($D85="","",IF(AND(Y85&lt;&gt;"",AC85&lt;&gt;"",AC85&gt;=W85),Z85,IF(Y85&lt;&gt;"",AD85,AE85)))</f>
        <v/>
      </c>
      <c r="AG85" s="16">
        <f>IF(OR(AF85="",AF85="İMKÂNSIZ"),"",AF85*(1-IF(AF85&gt;='Komisyon Tarifeleri'!I85,IF($AM$1=2,'Komisyon Tarifeleri'!U85,'Komisyon Tarifeleri'!P85),IF(AF85&gt;='Komisyon Tarifeleri'!K85,IF($AM$1=2,'Komisyon Tarifeleri'!V85,'Komisyon Tarifeleri'!Q85),IF(AF85&gt;='Komisyon Tarifeleri'!M85,IF($AM$1=2,'Komisyon Tarifeleri'!W85,'Komisyon Tarifeleri'!R85),IF($AM$1=2,'Komisyon Tarifeleri'!X85,'Komisyon Tarifeleri'!S85))))/100)-$D85-IF(AF85&lt;=199.99,Kargo!$E$2,IF(AF85&lt;=399.99,Kargo!$E$3,$F85)))</f>
        <v/>
      </c>
      <c r="AH85" s="17">
        <f>IF(AG85="","",AG85/AF85)</f>
        <v/>
      </c>
      <c r="AI85" s="18">
        <f>IF($D85="","",IF(Y85="","BUYBOX YOK → hedef kârla min fiyat",IF(AC85&gt;=W85,"✓ BUYBOX ALTINA GİR","BUYBOX ALTI KÂRSIZ → min kârlı fiyat")))</f>
        <v/>
      </c>
      <c r="AJ85" s="10">
        <f>IF($B85="","",IFERROR(VLOOKUP($B85,Maliyetler!$A:$G,6,FALSE),""))</f>
        <v/>
      </c>
      <c r="AK85">
        <f>IF($B85="","",IFERROR(VLOOKUP($B85,Maliyetler!$A:$G,7,FALSE),""))</f>
        <v/>
      </c>
      <c r="AO85" s="21">
        <f>IF($B85="","",IFERROR(VLOOKUP($B85&amp;"",'Plus Tarifeleri'!$C:$Q,11,FALSE),""))</f>
        <v/>
      </c>
      <c r="AP85" s="22">
        <f>IF(AO85="","",IFERROR(IF($AM$1=2,VLOOKUP($B85&amp;"",'Plus Tarifeleri'!$C:$Q,15,FALSE),VLOOKUP($B85&amp;"",'Plus Tarifeleri'!$C:$Q,13,FALSE)),""))</f>
        <v/>
      </c>
      <c r="AQ85" s="21">
        <f>IF(OR(AO85="",AP85="",$D85=""),"",AO85*(1-AP85/100)-$D85-IF(AO85&lt;=199.99,Kargo!$E$2,IF(AO85&lt;=399.99,Kargo!$E$3,$F85)))</f>
        <v/>
      </c>
      <c r="AR85" s="23">
        <f>IF(AQ85="","",AQ85/AO85)</f>
        <v/>
      </c>
      <c r="AS85" s="24">
        <f>IF(OR(AQ85="",AG85=""),"",AQ85-AG85)</f>
        <v/>
      </c>
    </row>
    <row r="86">
      <c r="A86">
        <f>IF('Komisyon Tarifeleri'!A86="","",'Komisyon Tarifeleri'!A86)</f>
        <v/>
      </c>
      <c r="B86">
        <f>IF('Komisyon Tarifeleri'!B86="","",'Komisyon Tarifeleri'!B86&amp;"")</f>
        <v/>
      </c>
      <c r="C86">
        <f>IF($B86="","",'Komisyon Tarifeleri'!F86)</f>
        <v/>
      </c>
      <c r="D86" s="10">
        <f>IF($B86="","",IFERROR(VLOOKUP($B86,Maliyetler!$A:$E,3,FALSE),""))</f>
        <v/>
      </c>
      <c r="E86">
        <f>IF($B86="","",IFERROR(VLOOKUP($B86,Maliyetler!$A:$E,4,FALSE),1))</f>
        <v/>
      </c>
      <c r="F86" s="10">
        <f>IF($B86="","",IFERROR(VLOOKUP(MIN(20,MAX(1,ROUND($E86,0))),Kargo!$A:$B,2,FALSE),99.46))</f>
        <v/>
      </c>
      <c r="G86" s="10">
        <f>IF($B86="","",IF(IF(N('Komisyon Tarifeleri'!AA86)&gt;='Komisyon Tarifeleri'!I86,'Komisyon Tarifeleri'!AA86,'Komisyon Tarifeleri'!I86)="","",IF(N('Komisyon Tarifeleri'!AA86)&gt;='Komisyon Tarifeleri'!I86,'Komisyon Tarifeleri'!AA86,'Komisyon Tarifeleri'!I86)))</f>
        <v/>
      </c>
      <c r="H86" s="11">
        <f>IF(G86="","",IF($AM$1=2,'Komisyon Tarifeleri'!U86,'Komisyon Tarifeleri'!P86))</f>
        <v/>
      </c>
      <c r="I86" s="10">
        <f>IF(OR(G86="",$D86=""),"",G86*(1-H86/100)-$D86-IF(G86&lt;=199.99,Kargo!$E$2,IF(G86&lt;=399.99,Kargo!$E$3,$F86)))</f>
        <v/>
      </c>
      <c r="J86" s="12">
        <f>IF(I86="","",I86/G86)</f>
        <v/>
      </c>
      <c r="K86" s="10">
        <f>IF($B86="","",IF('Komisyon Tarifeleri'!J86="","",'Komisyon Tarifeleri'!J86))</f>
        <v/>
      </c>
      <c r="L86" s="11">
        <f>IF(K86="","",IF($AM$1=2,'Komisyon Tarifeleri'!V86,'Komisyon Tarifeleri'!Q86))</f>
        <v/>
      </c>
      <c r="M86" s="10">
        <f>IF(OR(K86="",$D86=""),"",K86*(1-L86/100)-$D86-IF(K86&lt;=199.99,Kargo!$E$2,IF(K86&lt;=399.99,Kargo!$E$3,$F86)))</f>
        <v/>
      </c>
      <c r="N86" s="12">
        <f>IF(M86="","",M86/K86)</f>
        <v/>
      </c>
      <c r="O86" s="10">
        <f>IF($B86="","",IF('Komisyon Tarifeleri'!L86="","",'Komisyon Tarifeleri'!L86))</f>
        <v/>
      </c>
      <c r="P86" s="11">
        <f>IF(O86="","",IF($AM$1=2,'Komisyon Tarifeleri'!W86,'Komisyon Tarifeleri'!R86))</f>
        <v/>
      </c>
      <c r="Q86" s="10">
        <f>IF(OR(O86="",$D86=""),"",O86*(1-P86/100)-$D86-IF(O86&lt;=199.99,Kargo!$E$2,IF(O86&lt;=399.99,Kargo!$E$3,$F86)))</f>
        <v/>
      </c>
      <c r="R86" s="12">
        <f>IF(Q86="","",Q86/O86)</f>
        <v/>
      </c>
      <c r="S86" s="10">
        <f>IF($B86="","",IF('Komisyon Tarifeleri'!N86="","",'Komisyon Tarifeleri'!N86))</f>
        <v/>
      </c>
      <c r="T86" s="11">
        <f>IF(S86="","",IF($AM$1=2,'Komisyon Tarifeleri'!X86,'Komisyon Tarifeleri'!S86))</f>
        <v/>
      </c>
      <c r="U86" s="10">
        <f>IF(OR(S86="",$D86=""),"",S86*(1-T86/100)-$D86-IF(S86&lt;=199.99,Kargo!$E$2,IF(S86&lt;=399.99,Kargo!$E$3,$F86)))</f>
        <v/>
      </c>
      <c r="V86" s="12">
        <f>IF(U86="","",U86/S86)</f>
        <v/>
      </c>
      <c r="W86" s="12">
        <f>IF($B86="","",IFERROR(VLOOKUP($C86,Hedefler!$A:$C,2,FALSE),0.04))</f>
        <v/>
      </c>
      <c r="X86" s="12">
        <f>IF($B86="","",IFERROR(VLOOKUP($C86,Hedefler!$A:$C,3,FALSE),0.1))</f>
        <v/>
      </c>
      <c r="Y86" s="13">
        <f>IF($B86="","",IFERROR(VLOOKUP($B86,Maliyetler!$A:$E,5,FALSE),""))</f>
        <v/>
      </c>
      <c r="Z86" s="13">
        <f>IF(OR(Y86="",Y86=0),"",Y86-1)</f>
        <v/>
      </c>
      <c r="AA86" s="14">
        <f>IF(Z86="","",IF(Z86&gt;='Komisyon Tarifeleri'!I86,IF($AM$1=2,'Komisyon Tarifeleri'!U86,'Komisyon Tarifeleri'!P86),IF(Z86&gt;='Komisyon Tarifeleri'!K86,IF($AM$1=2,'Komisyon Tarifeleri'!V86,'Komisyon Tarifeleri'!Q86),IF(Z86&gt;='Komisyon Tarifeleri'!M86,IF($AM$1=2,'Komisyon Tarifeleri'!W86,'Komisyon Tarifeleri'!R86),IF($AM$1=2,'Komisyon Tarifeleri'!X86,'Komisyon Tarifeleri'!S86)))))</f>
        <v/>
      </c>
      <c r="AB86" s="13">
        <f>IF(OR(AA86="",$D86=""),"",Z86*(1-AA86/100)-$D86-IF(Z86&lt;=199.99,Kargo!$E$2,IF(Z86&lt;=399.99,Kargo!$E$3,$F86)))</f>
        <v/>
      </c>
      <c r="AC86" s="15">
        <f>IF(AB86="","",AB86/Z86)</f>
        <v/>
      </c>
      <c r="AD86" s="10">
        <f>IF(OR($D86="",$B86=""),"",IF(AND((1-T86/100-W86)&gt;0,CEILING(($D86+$F86)/(1-T86/100-W86),1)&lt;='Komisyon Tarifeleri'!N86),CEILING(($D86+$F86)/(1-T86/100-W86),1),IF(AND((1-P86/100-W86)&gt;0,CEILING(MAX('Komisyon Tarifeleri'!M86,($D86+$F86)/(1-P86/100-W86)),1)&lt;='Komisyon Tarifeleri'!L86),CEILING(MAX('Komisyon Tarifeleri'!M86,($D86+$F86)/(1-P86/100-W86)),1),IF(AND((1-L86/100-W86)&gt;0,CEILING(MAX('Komisyon Tarifeleri'!K86,($D86+$F86)/(1-L86/100-W86)),1)&lt;='Komisyon Tarifeleri'!J86),CEILING(MAX('Komisyon Tarifeleri'!K86,($D86+$F86)/(1-L86/100-W86)),1),IF((1-H86/100-W86)&gt;0,CEILING(MAX('Komisyon Tarifeleri'!I86,($D86+$F86)/(1-H86/100-W86)),1),"İMKÂNSIZ")))))</f>
        <v/>
      </c>
      <c r="AE86" s="10">
        <f>IF(OR($D86="",$B86=""),"",IF(AND((1-T86/100-X86)&gt;0,CEILING(($D86+$F86)/(1-T86/100-X86),1)&lt;='Komisyon Tarifeleri'!N86),CEILING(($D86+$F86)/(1-T86/100-X86),1),IF(AND((1-P86/100-X86)&gt;0,CEILING(MAX('Komisyon Tarifeleri'!M86,($D86+$F86)/(1-P86/100-X86)),1)&lt;='Komisyon Tarifeleri'!L86),CEILING(MAX('Komisyon Tarifeleri'!M86,($D86+$F86)/(1-P86/100-X86)),1),IF(AND((1-L86/100-X86)&gt;0,CEILING(MAX('Komisyon Tarifeleri'!K86,($D86+$F86)/(1-L86/100-X86)),1)&lt;='Komisyon Tarifeleri'!J86),CEILING(MAX('Komisyon Tarifeleri'!K86,($D86+$F86)/(1-L86/100-X86)),1),IF((1-H86/100-X86)&gt;0,CEILING(MAX('Komisyon Tarifeleri'!I86,($D86+$F86)/(1-H86/100-X86)),1),"İMKÂNSIZ")))))</f>
        <v/>
      </c>
      <c r="AF86" s="16">
        <f>IF($D86="","",IF(AND(Y86&lt;&gt;"",AC86&lt;&gt;"",AC86&gt;=W86),Z86,IF(Y86&lt;&gt;"",AD86,AE86)))</f>
        <v/>
      </c>
      <c r="AG86" s="16">
        <f>IF(OR(AF86="",AF86="İMKÂNSIZ"),"",AF86*(1-IF(AF86&gt;='Komisyon Tarifeleri'!I86,IF($AM$1=2,'Komisyon Tarifeleri'!U86,'Komisyon Tarifeleri'!P86),IF(AF86&gt;='Komisyon Tarifeleri'!K86,IF($AM$1=2,'Komisyon Tarifeleri'!V86,'Komisyon Tarifeleri'!Q86),IF(AF86&gt;='Komisyon Tarifeleri'!M86,IF($AM$1=2,'Komisyon Tarifeleri'!W86,'Komisyon Tarifeleri'!R86),IF($AM$1=2,'Komisyon Tarifeleri'!X86,'Komisyon Tarifeleri'!S86))))/100)-$D86-IF(AF86&lt;=199.99,Kargo!$E$2,IF(AF86&lt;=399.99,Kargo!$E$3,$F86)))</f>
        <v/>
      </c>
      <c r="AH86" s="17">
        <f>IF(AG86="","",AG86/AF86)</f>
        <v/>
      </c>
      <c r="AI86" s="18">
        <f>IF($D86="","",IF(Y86="","BUYBOX YOK → hedef kârla min fiyat",IF(AC86&gt;=W86,"✓ BUYBOX ALTINA GİR","BUYBOX ALTI KÂRSIZ → min kârlı fiyat")))</f>
        <v/>
      </c>
      <c r="AJ86" s="10">
        <f>IF($B86="","",IFERROR(VLOOKUP($B86,Maliyetler!$A:$G,6,FALSE),""))</f>
        <v/>
      </c>
      <c r="AK86">
        <f>IF($B86="","",IFERROR(VLOOKUP($B86,Maliyetler!$A:$G,7,FALSE),""))</f>
        <v/>
      </c>
      <c r="AO86" s="21">
        <f>IF($B86="","",IFERROR(VLOOKUP($B86&amp;"",'Plus Tarifeleri'!$C:$Q,11,FALSE),""))</f>
        <v/>
      </c>
      <c r="AP86" s="22">
        <f>IF(AO86="","",IFERROR(IF($AM$1=2,VLOOKUP($B86&amp;"",'Plus Tarifeleri'!$C:$Q,15,FALSE),VLOOKUP($B86&amp;"",'Plus Tarifeleri'!$C:$Q,13,FALSE)),""))</f>
        <v/>
      </c>
      <c r="AQ86" s="21">
        <f>IF(OR(AO86="",AP86="",$D86=""),"",AO86*(1-AP86/100)-$D86-IF(AO86&lt;=199.99,Kargo!$E$2,IF(AO86&lt;=399.99,Kargo!$E$3,$F86)))</f>
        <v/>
      </c>
      <c r="AR86" s="23">
        <f>IF(AQ86="","",AQ86/AO86)</f>
        <v/>
      </c>
      <c r="AS86" s="24">
        <f>IF(OR(AQ86="",AG86=""),"",AQ86-AG86)</f>
        <v/>
      </c>
    </row>
    <row r="87">
      <c r="A87">
        <f>IF('Komisyon Tarifeleri'!A87="","",'Komisyon Tarifeleri'!A87)</f>
        <v/>
      </c>
      <c r="B87">
        <f>IF('Komisyon Tarifeleri'!B87="","",'Komisyon Tarifeleri'!B87&amp;"")</f>
        <v/>
      </c>
      <c r="C87">
        <f>IF($B87="","",'Komisyon Tarifeleri'!F87)</f>
        <v/>
      </c>
      <c r="D87" s="10">
        <f>IF($B87="","",IFERROR(VLOOKUP($B87,Maliyetler!$A:$E,3,FALSE),""))</f>
        <v/>
      </c>
      <c r="E87">
        <f>IF($B87="","",IFERROR(VLOOKUP($B87,Maliyetler!$A:$E,4,FALSE),1))</f>
        <v/>
      </c>
      <c r="F87" s="10">
        <f>IF($B87="","",IFERROR(VLOOKUP(MIN(20,MAX(1,ROUND($E87,0))),Kargo!$A:$B,2,FALSE),99.46))</f>
        <v/>
      </c>
      <c r="G87" s="10">
        <f>IF($B87="","",IF(IF(N('Komisyon Tarifeleri'!AA87)&gt;='Komisyon Tarifeleri'!I87,'Komisyon Tarifeleri'!AA87,'Komisyon Tarifeleri'!I87)="","",IF(N('Komisyon Tarifeleri'!AA87)&gt;='Komisyon Tarifeleri'!I87,'Komisyon Tarifeleri'!AA87,'Komisyon Tarifeleri'!I87)))</f>
        <v/>
      </c>
      <c r="H87" s="11">
        <f>IF(G87="","",IF($AM$1=2,'Komisyon Tarifeleri'!U87,'Komisyon Tarifeleri'!P87))</f>
        <v/>
      </c>
      <c r="I87" s="10">
        <f>IF(OR(G87="",$D87=""),"",G87*(1-H87/100)-$D87-IF(G87&lt;=199.99,Kargo!$E$2,IF(G87&lt;=399.99,Kargo!$E$3,$F87)))</f>
        <v/>
      </c>
      <c r="J87" s="12">
        <f>IF(I87="","",I87/G87)</f>
        <v/>
      </c>
      <c r="K87" s="10">
        <f>IF($B87="","",IF('Komisyon Tarifeleri'!J87="","",'Komisyon Tarifeleri'!J87))</f>
        <v/>
      </c>
      <c r="L87" s="11">
        <f>IF(K87="","",IF($AM$1=2,'Komisyon Tarifeleri'!V87,'Komisyon Tarifeleri'!Q87))</f>
        <v/>
      </c>
      <c r="M87" s="10">
        <f>IF(OR(K87="",$D87=""),"",K87*(1-L87/100)-$D87-IF(K87&lt;=199.99,Kargo!$E$2,IF(K87&lt;=399.99,Kargo!$E$3,$F87)))</f>
        <v/>
      </c>
      <c r="N87" s="12">
        <f>IF(M87="","",M87/K87)</f>
        <v/>
      </c>
      <c r="O87" s="10">
        <f>IF($B87="","",IF('Komisyon Tarifeleri'!L87="","",'Komisyon Tarifeleri'!L87))</f>
        <v/>
      </c>
      <c r="P87" s="11">
        <f>IF(O87="","",IF($AM$1=2,'Komisyon Tarifeleri'!W87,'Komisyon Tarifeleri'!R87))</f>
        <v/>
      </c>
      <c r="Q87" s="10">
        <f>IF(OR(O87="",$D87=""),"",O87*(1-P87/100)-$D87-IF(O87&lt;=199.99,Kargo!$E$2,IF(O87&lt;=399.99,Kargo!$E$3,$F87)))</f>
        <v/>
      </c>
      <c r="R87" s="12">
        <f>IF(Q87="","",Q87/O87)</f>
        <v/>
      </c>
      <c r="S87" s="10">
        <f>IF($B87="","",IF('Komisyon Tarifeleri'!N87="","",'Komisyon Tarifeleri'!N87))</f>
        <v/>
      </c>
      <c r="T87" s="11">
        <f>IF(S87="","",IF($AM$1=2,'Komisyon Tarifeleri'!X87,'Komisyon Tarifeleri'!S87))</f>
        <v/>
      </c>
      <c r="U87" s="10">
        <f>IF(OR(S87="",$D87=""),"",S87*(1-T87/100)-$D87-IF(S87&lt;=199.99,Kargo!$E$2,IF(S87&lt;=399.99,Kargo!$E$3,$F87)))</f>
        <v/>
      </c>
      <c r="V87" s="12">
        <f>IF(U87="","",U87/S87)</f>
        <v/>
      </c>
      <c r="W87" s="12">
        <f>IF($B87="","",IFERROR(VLOOKUP($C87,Hedefler!$A:$C,2,FALSE),0.04))</f>
        <v/>
      </c>
      <c r="X87" s="12">
        <f>IF($B87="","",IFERROR(VLOOKUP($C87,Hedefler!$A:$C,3,FALSE),0.1))</f>
        <v/>
      </c>
      <c r="Y87" s="13">
        <f>IF($B87="","",IFERROR(VLOOKUP($B87,Maliyetler!$A:$E,5,FALSE),""))</f>
        <v/>
      </c>
      <c r="Z87" s="13">
        <f>IF(OR(Y87="",Y87=0),"",Y87-1)</f>
        <v/>
      </c>
      <c r="AA87" s="14">
        <f>IF(Z87="","",IF(Z87&gt;='Komisyon Tarifeleri'!I87,IF($AM$1=2,'Komisyon Tarifeleri'!U87,'Komisyon Tarifeleri'!P87),IF(Z87&gt;='Komisyon Tarifeleri'!K87,IF($AM$1=2,'Komisyon Tarifeleri'!V87,'Komisyon Tarifeleri'!Q87),IF(Z87&gt;='Komisyon Tarifeleri'!M87,IF($AM$1=2,'Komisyon Tarifeleri'!W87,'Komisyon Tarifeleri'!R87),IF($AM$1=2,'Komisyon Tarifeleri'!X87,'Komisyon Tarifeleri'!S87)))))</f>
        <v/>
      </c>
      <c r="AB87" s="13">
        <f>IF(OR(AA87="",$D87=""),"",Z87*(1-AA87/100)-$D87-IF(Z87&lt;=199.99,Kargo!$E$2,IF(Z87&lt;=399.99,Kargo!$E$3,$F87)))</f>
        <v/>
      </c>
      <c r="AC87" s="15">
        <f>IF(AB87="","",AB87/Z87)</f>
        <v/>
      </c>
      <c r="AD87" s="10">
        <f>IF(OR($D87="",$B87=""),"",IF(AND((1-T87/100-W87)&gt;0,CEILING(($D87+$F87)/(1-T87/100-W87),1)&lt;='Komisyon Tarifeleri'!N87),CEILING(($D87+$F87)/(1-T87/100-W87),1),IF(AND((1-P87/100-W87)&gt;0,CEILING(MAX('Komisyon Tarifeleri'!M87,($D87+$F87)/(1-P87/100-W87)),1)&lt;='Komisyon Tarifeleri'!L87),CEILING(MAX('Komisyon Tarifeleri'!M87,($D87+$F87)/(1-P87/100-W87)),1),IF(AND((1-L87/100-W87)&gt;0,CEILING(MAX('Komisyon Tarifeleri'!K87,($D87+$F87)/(1-L87/100-W87)),1)&lt;='Komisyon Tarifeleri'!J87),CEILING(MAX('Komisyon Tarifeleri'!K87,($D87+$F87)/(1-L87/100-W87)),1),IF((1-H87/100-W87)&gt;0,CEILING(MAX('Komisyon Tarifeleri'!I87,($D87+$F87)/(1-H87/100-W87)),1),"İMKÂNSIZ")))))</f>
        <v/>
      </c>
      <c r="AE87" s="10">
        <f>IF(OR($D87="",$B87=""),"",IF(AND((1-T87/100-X87)&gt;0,CEILING(($D87+$F87)/(1-T87/100-X87),1)&lt;='Komisyon Tarifeleri'!N87),CEILING(($D87+$F87)/(1-T87/100-X87),1),IF(AND((1-P87/100-X87)&gt;0,CEILING(MAX('Komisyon Tarifeleri'!M87,($D87+$F87)/(1-P87/100-X87)),1)&lt;='Komisyon Tarifeleri'!L87),CEILING(MAX('Komisyon Tarifeleri'!M87,($D87+$F87)/(1-P87/100-X87)),1),IF(AND((1-L87/100-X87)&gt;0,CEILING(MAX('Komisyon Tarifeleri'!K87,($D87+$F87)/(1-L87/100-X87)),1)&lt;='Komisyon Tarifeleri'!J87),CEILING(MAX('Komisyon Tarifeleri'!K87,($D87+$F87)/(1-L87/100-X87)),1),IF((1-H87/100-X87)&gt;0,CEILING(MAX('Komisyon Tarifeleri'!I87,($D87+$F87)/(1-H87/100-X87)),1),"İMKÂNSIZ")))))</f>
        <v/>
      </c>
      <c r="AF87" s="16">
        <f>IF($D87="","",IF(AND(Y87&lt;&gt;"",AC87&lt;&gt;"",AC87&gt;=W87),Z87,IF(Y87&lt;&gt;"",AD87,AE87)))</f>
        <v/>
      </c>
      <c r="AG87" s="16">
        <f>IF(OR(AF87="",AF87="İMKÂNSIZ"),"",AF87*(1-IF(AF87&gt;='Komisyon Tarifeleri'!I87,IF($AM$1=2,'Komisyon Tarifeleri'!U87,'Komisyon Tarifeleri'!P87),IF(AF87&gt;='Komisyon Tarifeleri'!K87,IF($AM$1=2,'Komisyon Tarifeleri'!V87,'Komisyon Tarifeleri'!Q87),IF(AF87&gt;='Komisyon Tarifeleri'!M87,IF($AM$1=2,'Komisyon Tarifeleri'!W87,'Komisyon Tarifeleri'!R87),IF($AM$1=2,'Komisyon Tarifeleri'!X87,'Komisyon Tarifeleri'!S87))))/100)-$D87-IF(AF87&lt;=199.99,Kargo!$E$2,IF(AF87&lt;=399.99,Kargo!$E$3,$F87)))</f>
        <v/>
      </c>
      <c r="AH87" s="17">
        <f>IF(AG87="","",AG87/AF87)</f>
        <v/>
      </c>
      <c r="AI87" s="18">
        <f>IF($D87="","",IF(Y87="","BUYBOX YOK → hedef kârla min fiyat",IF(AC87&gt;=W87,"✓ BUYBOX ALTINA GİR","BUYBOX ALTI KÂRSIZ → min kârlı fiyat")))</f>
        <v/>
      </c>
      <c r="AJ87" s="10">
        <f>IF($B87="","",IFERROR(VLOOKUP($B87,Maliyetler!$A:$G,6,FALSE),""))</f>
        <v/>
      </c>
      <c r="AK87">
        <f>IF($B87="","",IFERROR(VLOOKUP($B87,Maliyetler!$A:$G,7,FALSE),""))</f>
        <v/>
      </c>
      <c r="AO87" s="21">
        <f>IF($B87="","",IFERROR(VLOOKUP($B87&amp;"",'Plus Tarifeleri'!$C:$Q,11,FALSE),""))</f>
        <v/>
      </c>
      <c r="AP87" s="22">
        <f>IF(AO87="","",IFERROR(IF($AM$1=2,VLOOKUP($B87&amp;"",'Plus Tarifeleri'!$C:$Q,15,FALSE),VLOOKUP($B87&amp;"",'Plus Tarifeleri'!$C:$Q,13,FALSE)),""))</f>
        <v/>
      </c>
      <c r="AQ87" s="21">
        <f>IF(OR(AO87="",AP87="",$D87=""),"",AO87*(1-AP87/100)-$D87-IF(AO87&lt;=199.99,Kargo!$E$2,IF(AO87&lt;=399.99,Kargo!$E$3,$F87)))</f>
        <v/>
      </c>
      <c r="AR87" s="23">
        <f>IF(AQ87="","",AQ87/AO87)</f>
        <v/>
      </c>
      <c r="AS87" s="24">
        <f>IF(OR(AQ87="",AG87=""),"",AQ87-AG87)</f>
        <v/>
      </c>
    </row>
    <row r="88">
      <c r="A88">
        <f>IF('Komisyon Tarifeleri'!A88="","",'Komisyon Tarifeleri'!A88)</f>
        <v/>
      </c>
      <c r="B88">
        <f>IF('Komisyon Tarifeleri'!B88="","",'Komisyon Tarifeleri'!B88&amp;"")</f>
        <v/>
      </c>
      <c r="C88">
        <f>IF($B88="","",'Komisyon Tarifeleri'!F88)</f>
        <v/>
      </c>
      <c r="D88" s="10">
        <f>IF($B88="","",IFERROR(VLOOKUP($B88,Maliyetler!$A:$E,3,FALSE),""))</f>
        <v/>
      </c>
      <c r="E88">
        <f>IF($B88="","",IFERROR(VLOOKUP($B88,Maliyetler!$A:$E,4,FALSE),1))</f>
        <v/>
      </c>
      <c r="F88" s="10">
        <f>IF($B88="","",IFERROR(VLOOKUP(MIN(20,MAX(1,ROUND($E88,0))),Kargo!$A:$B,2,FALSE),99.46))</f>
        <v/>
      </c>
      <c r="G88" s="10">
        <f>IF($B88="","",IF(IF(N('Komisyon Tarifeleri'!AA88)&gt;='Komisyon Tarifeleri'!I88,'Komisyon Tarifeleri'!AA88,'Komisyon Tarifeleri'!I88)="","",IF(N('Komisyon Tarifeleri'!AA88)&gt;='Komisyon Tarifeleri'!I88,'Komisyon Tarifeleri'!AA88,'Komisyon Tarifeleri'!I88)))</f>
        <v/>
      </c>
      <c r="H88" s="11">
        <f>IF(G88="","",IF($AM$1=2,'Komisyon Tarifeleri'!U88,'Komisyon Tarifeleri'!P88))</f>
        <v/>
      </c>
      <c r="I88" s="10">
        <f>IF(OR(G88="",$D88=""),"",G88*(1-H88/100)-$D88-IF(G88&lt;=199.99,Kargo!$E$2,IF(G88&lt;=399.99,Kargo!$E$3,$F88)))</f>
        <v/>
      </c>
      <c r="J88" s="12">
        <f>IF(I88="","",I88/G88)</f>
        <v/>
      </c>
      <c r="K88" s="10">
        <f>IF($B88="","",IF('Komisyon Tarifeleri'!J88="","",'Komisyon Tarifeleri'!J88))</f>
        <v/>
      </c>
      <c r="L88" s="11">
        <f>IF(K88="","",IF($AM$1=2,'Komisyon Tarifeleri'!V88,'Komisyon Tarifeleri'!Q88))</f>
        <v/>
      </c>
      <c r="M88" s="10">
        <f>IF(OR(K88="",$D88=""),"",K88*(1-L88/100)-$D88-IF(K88&lt;=199.99,Kargo!$E$2,IF(K88&lt;=399.99,Kargo!$E$3,$F88)))</f>
        <v/>
      </c>
      <c r="N88" s="12">
        <f>IF(M88="","",M88/K88)</f>
        <v/>
      </c>
      <c r="O88" s="10">
        <f>IF($B88="","",IF('Komisyon Tarifeleri'!L88="","",'Komisyon Tarifeleri'!L88))</f>
        <v/>
      </c>
      <c r="P88" s="11">
        <f>IF(O88="","",IF($AM$1=2,'Komisyon Tarifeleri'!W88,'Komisyon Tarifeleri'!R88))</f>
        <v/>
      </c>
      <c r="Q88" s="10">
        <f>IF(OR(O88="",$D88=""),"",O88*(1-P88/100)-$D88-IF(O88&lt;=199.99,Kargo!$E$2,IF(O88&lt;=399.99,Kargo!$E$3,$F88)))</f>
        <v/>
      </c>
      <c r="R88" s="12">
        <f>IF(Q88="","",Q88/O88)</f>
        <v/>
      </c>
      <c r="S88" s="10">
        <f>IF($B88="","",IF('Komisyon Tarifeleri'!N88="","",'Komisyon Tarifeleri'!N88))</f>
        <v/>
      </c>
      <c r="T88" s="11">
        <f>IF(S88="","",IF($AM$1=2,'Komisyon Tarifeleri'!X88,'Komisyon Tarifeleri'!S88))</f>
        <v/>
      </c>
      <c r="U88" s="10">
        <f>IF(OR(S88="",$D88=""),"",S88*(1-T88/100)-$D88-IF(S88&lt;=199.99,Kargo!$E$2,IF(S88&lt;=399.99,Kargo!$E$3,$F88)))</f>
        <v/>
      </c>
      <c r="V88" s="12">
        <f>IF(U88="","",U88/S88)</f>
        <v/>
      </c>
      <c r="W88" s="12">
        <f>IF($B88="","",IFERROR(VLOOKUP($C88,Hedefler!$A:$C,2,FALSE),0.04))</f>
        <v/>
      </c>
      <c r="X88" s="12">
        <f>IF($B88="","",IFERROR(VLOOKUP($C88,Hedefler!$A:$C,3,FALSE),0.1))</f>
        <v/>
      </c>
      <c r="Y88" s="13">
        <f>IF($B88="","",IFERROR(VLOOKUP($B88,Maliyetler!$A:$E,5,FALSE),""))</f>
        <v/>
      </c>
      <c r="Z88" s="13">
        <f>IF(OR(Y88="",Y88=0),"",Y88-1)</f>
        <v/>
      </c>
      <c r="AA88" s="14">
        <f>IF(Z88="","",IF(Z88&gt;='Komisyon Tarifeleri'!I88,IF($AM$1=2,'Komisyon Tarifeleri'!U88,'Komisyon Tarifeleri'!P88),IF(Z88&gt;='Komisyon Tarifeleri'!K88,IF($AM$1=2,'Komisyon Tarifeleri'!V88,'Komisyon Tarifeleri'!Q88),IF(Z88&gt;='Komisyon Tarifeleri'!M88,IF($AM$1=2,'Komisyon Tarifeleri'!W88,'Komisyon Tarifeleri'!R88),IF($AM$1=2,'Komisyon Tarifeleri'!X88,'Komisyon Tarifeleri'!S88)))))</f>
        <v/>
      </c>
      <c r="AB88" s="13">
        <f>IF(OR(AA88="",$D88=""),"",Z88*(1-AA88/100)-$D88-IF(Z88&lt;=199.99,Kargo!$E$2,IF(Z88&lt;=399.99,Kargo!$E$3,$F88)))</f>
        <v/>
      </c>
      <c r="AC88" s="15">
        <f>IF(AB88="","",AB88/Z88)</f>
        <v/>
      </c>
      <c r="AD88" s="10">
        <f>IF(OR($D88="",$B88=""),"",IF(AND((1-T88/100-W88)&gt;0,CEILING(($D88+$F88)/(1-T88/100-W88),1)&lt;='Komisyon Tarifeleri'!N88),CEILING(($D88+$F88)/(1-T88/100-W88),1),IF(AND((1-P88/100-W88)&gt;0,CEILING(MAX('Komisyon Tarifeleri'!M88,($D88+$F88)/(1-P88/100-W88)),1)&lt;='Komisyon Tarifeleri'!L88),CEILING(MAX('Komisyon Tarifeleri'!M88,($D88+$F88)/(1-P88/100-W88)),1),IF(AND((1-L88/100-W88)&gt;0,CEILING(MAX('Komisyon Tarifeleri'!K88,($D88+$F88)/(1-L88/100-W88)),1)&lt;='Komisyon Tarifeleri'!J88),CEILING(MAX('Komisyon Tarifeleri'!K88,($D88+$F88)/(1-L88/100-W88)),1),IF((1-H88/100-W88)&gt;0,CEILING(MAX('Komisyon Tarifeleri'!I88,($D88+$F88)/(1-H88/100-W88)),1),"İMKÂNSIZ")))))</f>
        <v/>
      </c>
      <c r="AE88" s="10">
        <f>IF(OR($D88="",$B88=""),"",IF(AND((1-T88/100-X88)&gt;0,CEILING(($D88+$F88)/(1-T88/100-X88),1)&lt;='Komisyon Tarifeleri'!N88),CEILING(($D88+$F88)/(1-T88/100-X88),1),IF(AND((1-P88/100-X88)&gt;0,CEILING(MAX('Komisyon Tarifeleri'!M88,($D88+$F88)/(1-P88/100-X88)),1)&lt;='Komisyon Tarifeleri'!L88),CEILING(MAX('Komisyon Tarifeleri'!M88,($D88+$F88)/(1-P88/100-X88)),1),IF(AND((1-L88/100-X88)&gt;0,CEILING(MAX('Komisyon Tarifeleri'!K88,($D88+$F88)/(1-L88/100-X88)),1)&lt;='Komisyon Tarifeleri'!J88),CEILING(MAX('Komisyon Tarifeleri'!K88,($D88+$F88)/(1-L88/100-X88)),1),IF((1-H88/100-X88)&gt;0,CEILING(MAX('Komisyon Tarifeleri'!I88,($D88+$F88)/(1-H88/100-X88)),1),"İMKÂNSIZ")))))</f>
        <v/>
      </c>
      <c r="AF88" s="16">
        <f>IF($D88="","",IF(AND(Y88&lt;&gt;"",AC88&lt;&gt;"",AC88&gt;=W88),Z88,IF(Y88&lt;&gt;"",AD88,AE88)))</f>
        <v/>
      </c>
      <c r="AG88" s="16">
        <f>IF(OR(AF88="",AF88="İMKÂNSIZ"),"",AF88*(1-IF(AF88&gt;='Komisyon Tarifeleri'!I88,IF($AM$1=2,'Komisyon Tarifeleri'!U88,'Komisyon Tarifeleri'!P88),IF(AF88&gt;='Komisyon Tarifeleri'!K88,IF($AM$1=2,'Komisyon Tarifeleri'!V88,'Komisyon Tarifeleri'!Q88),IF(AF88&gt;='Komisyon Tarifeleri'!M88,IF($AM$1=2,'Komisyon Tarifeleri'!W88,'Komisyon Tarifeleri'!R88),IF($AM$1=2,'Komisyon Tarifeleri'!X88,'Komisyon Tarifeleri'!S88))))/100)-$D88-IF(AF88&lt;=199.99,Kargo!$E$2,IF(AF88&lt;=399.99,Kargo!$E$3,$F88)))</f>
        <v/>
      </c>
      <c r="AH88" s="17">
        <f>IF(AG88="","",AG88/AF88)</f>
        <v/>
      </c>
      <c r="AI88" s="18">
        <f>IF($D88="","",IF(Y88="","BUYBOX YOK → hedef kârla min fiyat",IF(AC88&gt;=W88,"✓ BUYBOX ALTINA GİR","BUYBOX ALTI KÂRSIZ → min kârlı fiyat")))</f>
        <v/>
      </c>
      <c r="AJ88" s="10">
        <f>IF($B88="","",IFERROR(VLOOKUP($B88,Maliyetler!$A:$G,6,FALSE),""))</f>
        <v/>
      </c>
      <c r="AK88">
        <f>IF($B88="","",IFERROR(VLOOKUP($B88,Maliyetler!$A:$G,7,FALSE),""))</f>
        <v/>
      </c>
      <c r="AO88" s="21">
        <f>IF($B88="","",IFERROR(VLOOKUP($B88&amp;"",'Plus Tarifeleri'!$C:$Q,11,FALSE),""))</f>
        <v/>
      </c>
      <c r="AP88" s="22">
        <f>IF(AO88="","",IFERROR(IF($AM$1=2,VLOOKUP($B88&amp;"",'Plus Tarifeleri'!$C:$Q,15,FALSE),VLOOKUP($B88&amp;"",'Plus Tarifeleri'!$C:$Q,13,FALSE)),""))</f>
        <v/>
      </c>
      <c r="AQ88" s="21">
        <f>IF(OR(AO88="",AP88="",$D88=""),"",AO88*(1-AP88/100)-$D88-IF(AO88&lt;=199.99,Kargo!$E$2,IF(AO88&lt;=399.99,Kargo!$E$3,$F88)))</f>
        <v/>
      </c>
      <c r="AR88" s="23">
        <f>IF(AQ88="","",AQ88/AO88)</f>
        <v/>
      </c>
      <c r="AS88" s="24">
        <f>IF(OR(AQ88="",AG88=""),"",AQ88-AG88)</f>
        <v/>
      </c>
    </row>
    <row r="89">
      <c r="A89">
        <f>IF('Komisyon Tarifeleri'!A89="","",'Komisyon Tarifeleri'!A89)</f>
        <v/>
      </c>
      <c r="B89">
        <f>IF('Komisyon Tarifeleri'!B89="","",'Komisyon Tarifeleri'!B89&amp;"")</f>
        <v/>
      </c>
      <c r="C89">
        <f>IF($B89="","",'Komisyon Tarifeleri'!F89)</f>
        <v/>
      </c>
      <c r="D89" s="10">
        <f>IF($B89="","",IFERROR(VLOOKUP($B89,Maliyetler!$A:$E,3,FALSE),""))</f>
        <v/>
      </c>
      <c r="E89">
        <f>IF($B89="","",IFERROR(VLOOKUP($B89,Maliyetler!$A:$E,4,FALSE),1))</f>
        <v/>
      </c>
      <c r="F89" s="10">
        <f>IF($B89="","",IFERROR(VLOOKUP(MIN(20,MAX(1,ROUND($E89,0))),Kargo!$A:$B,2,FALSE),99.46))</f>
        <v/>
      </c>
      <c r="G89" s="10">
        <f>IF($B89="","",IF(IF(N('Komisyon Tarifeleri'!AA89)&gt;='Komisyon Tarifeleri'!I89,'Komisyon Tarifeleri'!AA89,'Komisyon Tarifeleri'!I89)="","",IF(N('Komisyon Tarifeleri'!AA89)&gt;='Komisyon Tarifeleri'!I89,'Komisyon Tarifeleri'!AA89,'Komisyon Tarifeleri'!I89)))</f>
        <v/>
      </c>
      <c r="H89" s="11">
        <f>IF(G89="","",IF($AM$1=2,'Komisyon Tarifeleri'!U89,'Komisyon Tarifeleri'!P89))</f>
        <v/>
      </c>
      <c r="I89" s="10">
        <f>IF(OR(G89="",$D89=""),"",G89*(1-H89/100)-$D89-IF(G89&lt;=199.99,Kargo!$E$2,IF(G89&lt;=399.99,Kargo!$E$3,$F89)))</f>
        <v/>
      </c>
      <c r="J89" s="12">
        <f>IF(I89="","",I89/G89)</f>
        <v/>
      </c>
      <c r="K89" s="10">
        <f>IF($B89="","",IF('Komisyon Tarifeleri'!J89="","",'Komisyon Tarifeleri'!J89))</f>
        <v/>
      </c>
      <c r="L89" s="11">
        <f>IF(K89="","",IF($AM$1=2,'Komisyon Tarifeleri'!V89,'Komisyon Tarifeleri'!Q89))</f>
        <v/>
      </c>
      <c r="M89" s="10">
        <f>IF(OR(K89="",$D89=""),"",K89*(1-L89/100)-$D89-IF(K89&lt;=199.99,Kargo!$E$2,IF(K89&lt;=399.99,Kargo!$E$3,$F89)))</f>
        <v/>
      </c>
      <c r="N89" s="12">
        <f>IF(M89="","",M89/K89)</f>
        <v/>
      </c>
      <c r="O89" s="10">
        <f>IF($B89="","",IF('Komisyon Tarifeleri'!L89="","",'Komisyon Tarifeleri'!L89))</f>
        <v/>
      </c>
      <c r="P89" s="11">
        <f>IF(O89="","",IF($AM$1=2,'Komisyon Tarifeleri'!W89,'Komisyon Tarifeleri'!R89))</f>
        <v/>
      </c>
      <c r="Q89" s="10">
        <f>IF(OR(O89="",$D89=""),"",O89*(1-P89/100)-$D89-IF(O89&lt;=199.99,Kargo!$E$2,IF(O89&lt;=399.99,Kargo!$E$3,$F89)))</f>
        <v/>
      </c>
      <c r="R89" s="12">
        <f>IF(Q89="","",Q89/O89)</f>
        <v/>
      </c>
      <c r="S89" s="10">
        <f>IF($B89="","",IF('Komisyon Tarifeleri'!N89="","",'Komisyon Tarifeleri'!N89))</f>
        <v/>
      </c>
      <c r="T89" s="11">
        <f>IF(S89="","",IF($AM$1=2,'Komisyon Tarifeleri'!X89,'Komisyon Tarifeleri'!S89))</f>
        <v/>
      </c>
      <c r="U89" s="10">
        <f>IF(OR(S89="",$D89=""),"",S89*(1-T89/100)-$D89-IF(S89&lt;=199.99,Kargo!$E$2,IF(S89&lt;=399.99,Kargo!$E$3,$F89)))</f>
        <v/>
      </c>
      <c r="V89" s="12">
        <f>IF(U89="","",U89/S89)</f>
        <v/>
      </c>
      <c r="W89" s="12">
        <f>IF($B89="","",IFERROR(VLOOKUP($C89,Hedefler!$A:$C,2,FALSE),0.04))</f>
        <v/>
      </c>
      <c r="X89" s="12">
        <f>IF($B89="","",IFERROR(VLOOKUP($C89,Hedefler!$A:$C,3,FALSE),0.1))</f>
        <v/>
      </c>
      <c r="Y89" s="13">
        <f>IF($B89="","",IFERROR(VLOOKUP($B89,Maliyetler!$A:$E,5,FALSE),""))</f>
        <v/>
      </c>
      <c r="Z89" s="13">
        <f>IF(OR(Y89="",Y89=0),"",Y89-1)</f>
        <v/>
      </c>
      <c r="AA89" s="14">
        <f>IF(Z89="","",IF(Z89&gt;='Komisyon Tarifeleri'!I89,IF($AM$1=2,'Komisyon Tarifeleri'!U89,'Komisyon Tarifeleri'!P89),IF(Z89&gt;='Komisyon Tarifeleri'!K89,IF($AM$1=2,'Komisyon Tarifeleri'!V89,'Komisyon Tarifeleri'!Q89),IF(Z89&gt;='Komisyon Tarifeleri'!M89,IF($AM$1=2,'Komisyon Tarifeleri'!W89,'Komisyon Tarifeleri'!R89),IF($AM$1=2,'Komisyon Tarifeleri'!X89,'Komisyon Tarifeleri'!S89)))))</f>
        <v/>
      </c>
      <c r="AB89" s="13">
        <f>IF(OR(AA89="",$D89=""),"",Z89*(1-AA89/100)-$D89-IF(Z89&lt;=199.99,Kargo!$E$2,IF(Z89&lt;=399.99,Kargo!$E$3,$F89)))</f>
        <v/>
      </c>
      <c r="AC89" s="15">
        <f>IF(AB89="","",AB89/Z89)</f>
        <v/>
      </c>
      <c r="AD89" s="10">
        <f>IF(OR($D89="",$B89=""),"",IF(AND((1-T89/100-W89)&gt;0,CEILING(($D89+$F89)/(1-T89/100-W89),1)&lt;='Komisyon Tarifeleri'!N89),CEILING(($D89+$F89)/(1-T89/100-W89),1),IF(AND((1-P89/100-W89)&gt;0,CEILING(MAX('Komisyon Tarifeleri'!M89,($D89+$F89)/(1-P89/100-W89)),1)&lt;='Komisyon Tarifeleri'!L89),CEILING(MAX('Komisyon Tarifeleri'!M89,($D89+$F89)/(1-P89/100-W89)),1),IF(AND((1-L89/100-W89)&gt;0,CEILING(MAX('Komisyon Tarifeleri'!K89,($D89+$F89)/(1-L89/100-W89)),1)&lt;='Komisyon Tarifeleri'!J89),CEILING(MAX('Komisyon Tarifeleri'!K89,($D89+$F89)/(1-L89/100-W89)),1),IF((1-H89/100-W89)&gt;0,CEILING(MAX('Komisyon Tarifeleri'!I89,($D89+$F89)/(1-H89/100-W89)),1),"İMKÂNSIZ")))))</f>
        <v/>
      </c>
      <c r="AE89" s="10">
        <f>IF(OR($D89="",$B89=""),"",IF(AND((1-T89/100-X89)&gt;0,CEILING(($D89+$F89)/(1-T89/100-X89),1)&lt;='Komisyon Tarifeleri'!N89),CEILING(($D89+$F89)/(1-T89/100-X89),1),IF(AND((1-P89/100-X89)&gt;0,CEILING(MAX('Komisyon Tarifeleri'!M89,($D89+$F89)/(1-P89/100-X89)),1)&lt;='Komisyon Tarifeleri'!L89),CEILING(MAX('Komisyon Tarifeleri'!M89,($D89+$F89)/(1-P89/100-X89)),1),IF(AND((1-L89/100-X89)&gt;0,CEILING(MAX('Komisyon Tarifeleri'!K89,($D89+$F89)/(1-L89/100-X89)),1)&lt;='Komisyon Tarifeleri'!J89),CEILING(MAX('Komisyon Tarifeleri'!K89,($D89+$F89)/(1-L89/100-X89)),1),IF((1-H89/100-X89)&gt;0,CEILING(MAX('Komisyon Tarifeleri'!I89,($D89+$F89)/(1-H89/100-X89)),1),"İMKÂNSIZ")))))</f>
        <v/>
      </c>
      <c r="AF89" s="16">
        <f>IF($D89="","",IF(AND(Y89&lt;&gt;"",AC89&lt;&gt;"",AC89&gt;=W89),Z89,IF(Y89&lt;&gt;"",AD89,AE89)))</f>
        <v/>
      </c>
      <c r="AG89" s="16">
        <f>IF(OR(AF89="",AF89="İMKÂNSIZ"),"",AF89*(1-IF(AF89&gt;='Komisyon Tarifeleri'!I89,IF($AM$1=2,'Komisyon Tarifeleri'!U89,'Komisyon Tarifeleri'!P89),IF(AF89&gt;='Komisyon Tarifeleri'!K89,IF($AM$1=2,'Komisyon Tarifeleri'!V89,'Komisyon Tarifeleri'!Q89),IF(AF89&gt;='Komisyon Tarifeleri'!M89,IF($AM$1=2,'Komisyon Tarifeleri'!W89,'Komisyon Tarifeleri'!R89),IF($AM$1=2,'Komisyon Tarifeleri'!X89,'Komisyon Tarifeleri'!S89))))/100)-$D89-IF(AF89&lt;=199.99,Kargo!$E$2,IF(AF89&lt;=399.99,Kargo!$E$3,$F89)))</f>
        <v/>
      </c>
      <c r="AH89" s="17">
        <f>IF(AG89="","",AG89/AF89)</f>
        <v/>
      </c>
      <c r="AI89" s="18">
        <f>IF($D89="","",IF(Y89="","BUYBOX YOK → hedef kârla min fiyat",IF(AC89&gt;=W89,"✓ BUYBOX ALTINA GİR","BUYBOX ALTI KÂRSIZ → min kârlı fiyat")))</f>
        <v/>
      </c>
      <c r="AJ89" s="10">
        <f>IF($B89="","",IFERROR(VLOOKUP($B89,Maliyetler!$A:$G,6,FALSE),""))</f>
        <v/>
      </c>
      <c r="AK89">
        <f>IF($B89="","",IFERROR(VLOOKUP($B89,Maliyetler!$A:$G,7,FALSE),""))</f>
        <v/>
      </c>
      <c r="AO89" s="21">
        <f>IF($B89="","",IFERROR(VLOOKUP($B89&amp;"",'Plus Tarifeleri'!$C:$Q,11,FALSE),""))</f>
        <v/>
      </c>
      <c r="AP89" s="22">
        <f>IF(AO89="","",IFERROR(IF($AM$1=2,VLOOKUP($B89&amp;"",'Plus Tarifeleri'!$C:$Q,15,FALSE),VLOOKUP($B89&amp;"",'Plus Tarifeleri'!$C:$Q,13,FALSE)),""))</f>
        <v/>
      </c>
      <c r="AQ89" s="21">
        <f>IF(OR(AO89="",AP89="",$D89=""),"",AO89*(1-AP89/100)-$D89-IF(AO89&lt;=199.99,Kargo!$E$2,IF(AO89&lt;=399.99,Kargo!$E$3,$F89)))</f>
        <v/>
      </c>
      <c r="AR89" s="23">
        <f>IF(AQ89="","",AQ89/AO89)</f>
        <v/>
      </c>
      <c r="AS89" s="24">
        <f>IF(OR(AQ89="",AG89=""),"",AQ89-AG89)</f>
        <v/>
      </c>
    </row>
    <row r="90">
      <c r="A90">
        <f>IF('Komisyon Tarifeleri'!A90="","",'Komisyon Tarifeleri'!A90)</f>
        <v/>
      </c>
      <c r="B90">
        <f>IF('Komisyon Tarifeleri'!B90="","",'Komisyon Tarifeleri'!B90&amp;"")</f>
        <v/>
      </c>
      <c r="C90">
        <f>IF($B90="","",'Komisyon Tarifeleri'!F90)</f>
        <v/>
      </c>
      <c r="D90" s="10">
        <f>IF($B90="","",IFERROR(VLOOKUP($B90,Maliyetler!$A:$E,3,FALSE),""))</f>
        <v/>
      </c>
      <c r="E90">
        <f>IF($B90="","",IFERROR(VLOOKUP($B90,Maliyetler!$A:$E,4,FALSE),1))</f>
        <v/>
      </c>
      <c r="F90" s="10">
        <f>IF($B90="","",IFERROR(VLOOKUP(MIN(20,MAX(1,ROUND($E90,0))),Kargo!$A:$B,2,FALSE),99.46))</f>
        <v/>
      </c>
      <c r="G90" s="10">
        <f>IF($B90="","",IF(IF(N('Komisyon Tarifeleri'!AA90)&gt;='Komisyon Tarifeleri'!I90,'Komisyon Tarifeleri'!AA90,'Komisyon Tarifeleri'!I90)="","",IF(N('Komisyon Tarifeleri'!AA90)&gt;='Komisyon Tarifeleri'!I90,'Komisyon Tarifeleri'!AA90,'Komisyon Tarifeleri'!I90)))</f>
        <v/>
      </c>
      <c r="H90" s="11">
        <f>IF(G90="","",IF($AM$1=2,'Komisyon Tarifeleri'!U90,'Komisyon Tarifeleri'!P90))</f>
        <v/>
      </c>
      <c r="I90" s="10">
        <f>IF(OR(G90="",$D90=""),"",G90*(1-H90/100)-$D90-IF(G90&lt;=199.99,Kargo!$E$2,IF(G90&lt;=399.99,Kargo!$E$3,$F90)))</f>
        <v/>
      </c>
      <c r="J90" s="12">
        <f>IF(I90="","",I90/G90)</f>
        <v/>
      </c>
      <c r="K90" s="10">
        <f>IF($B90="","",IF('Komisyon Tarifeleri'!J90="","",'Komisyon Tarifeleri'!J90))</f>
        <v/>
      </c>
      <c r="L90" s="11">
        <f>IF(K90="","",IF($AM$1=2,'Komisyon Tarifeleri'!V90,'Komisyon Tarifeleri'!Q90))</f>
        <v/>
      </c>
      <c r="M90" s="10">
        <f>IF(OR(K90="",$D90=""),"",K90*(1-L90/100)-$D90-IF(K90&lt;=199.99,Kargo!$E$2,IF(K90&lt;=399.99,Kargo!$E$3,$F90)))</f>
        <v/>
      </c>
      <c r="N90" s="12">
        <f>IF(M90="","",M90/K90)</f>
        <v/>
      </c>
      <c r="O90" s="10">
        <f>IF($B90="","",IF('Komisyon Tarifeleri'!L90="","",'Komisyon Tarifeleri'!L90))</f>
        <v/>
      </c>
      <c r="P90" s="11">
        <f>IF(O90="","",IF($AM$1=2,'Komisyon Tarifeleri'!W90,'Komisyon Tarifeleri'!R90))</f>
        <v/>
      </c>
      <c r="Q90" s="10">
        <f>IF(OR(O90="",$D90=""),"",O90*(1-P90/100)-$D90-IF(O90&lt;=199.99,Kargo!$E$2,IF(O90&lt;=399.99,Kargo!$E$3,$F90)))</f>
        <v/>
      </c>
      <c r="R90" s="12">
        <f>IF(Q90="","",Q90/O90)</f>
        <v/>
      </c>
      <c r="S90" s="10">
        <f>IF($B90="","",IF('Komisyon Tarifeleri'!N90="","",'Komisyon Tarifeleri'!N90))</f>
        <v/>
      </c>
      <c r="T90" s="11">
        <f>IF(S90="","",IF($AM$1=2,'Komisyon Tarifeleri'!X90,'Komisyon Tarifeleri'!S90))</f>
        <v/>
      </c>
      <c r="U90" s="10">
        <f>IF(OR(S90="",$D90=""),"",S90*(1-T90/100)-$D90-IF(S90&lt;=199.99,Kargo!$E$2,IF(S90&lt;=399.99,Kargo!$E$3,$F90)))</f>
        <v/>
      </c>
      <c r="V90" s="12">
        <f>IF(U90="","",U90/S90)</f>
        <v/>
      </c>
      <c r="W90" s="12">
        <f>IF($B90="","",IFERROR(VLOOKUP($C90,Hedefler!$A:$C,2,FALSE),0.04))</f>
        <v/>
      </c>
      <c r="X90" s="12">
        <f>IF($B90="","",IFERROR(VLOOKUP($C90,Hedefler!$A:$C,3,FALSE),0.1))</f>
        <v/>
      </c>
      <c r="Y90" s="13">
        <f>IF($B90="","",IFERROR(VLOOKUP($B90,Maliyetler!$A:$E,5,FALSE),""))</f>
        <v/>
      </c>
      <c r="Z90" s="13">
        <f>IF(OR(Y90="",Y90=0),"",Y90-1)</f>
        <v/>
      </c>
      <c r="AA90" s="14">
        <f>IF(Z90="","",IF(Z90&gt;='Komisyon Tarifeleri'!I90,IF($AM$1=2,'Komisyon Tarifeleri'!U90,'Komisyon Tarifeleri'!P90),IF(Z90&gt;='Komisyon Tarifeleri'!K90,IF($AM$1=2,'Komisyon Tarifeleri'!V90,'Komisyon Tarifeleri'!Q90),IF(Z90&gt;='Komisyon Tarifeleri'!M90,IF($AM$1=2,'Komisyon Tarifeleri'!W90,'Komisyon Tarifeleri'!R90),IF($AM$1=2,'Komisyon Tarifeleri'!X90,'Komisyon Tarifeleri'!S90)))))</f>
        <v/>
      </c>
      <c r="AB90" s="13">
        <f>IF(OR(AA90="",$D90=""),"",Z90*(1-AA90/100)-$D90-IF(Z90&lt;=199.99,Kargo!$E$2,IF(Z90&lt;=399.99,Kargo!$E$3,$F90)))</f>
        <v/>
      </c>
      <c r="AC90" s="15">
        <f>IF(AB90="","",AB90/Z90)</f>
        <v/>
      </c>
      <c r="AD90" s="10">
        <f>IF(OR($D90="",$B90=""),"",IF(AND((1-T90/100-W90)&gt;0,CEILING(($D90+$F90)/(1-T90/100-W90),1)&lt;='Komisyon Tarifeleri'!N90),CEILING(($D90+$F90)/(1-T90/100-W90),1),IF(AND((1-P90/100-W90)&gt;0,CEILING(MAX('Komisyon Tarifeleri'!M90,($D90+$F90)/(1-P90/100-W90)),1)&lt;='Komisyon Tarifeleri'!L90),CEILING(MAX('Komisyon Tarifeleri'!M90,($D90+$F90)/(1-P90/100-W90)),1),IF(AND((1-L90/100-W90)&gt;0,CEILING(MAX('Komisyon Tarifeleri'!K90,($D90+$F90)/(1-L90/100-W90)),1)&lt;='Komisyon Tarifeleri'!J90),CEILING(MAX('Komisyon Tarifeleri'!K90,($D90+$F90)/(1-L90/100-W90)),1),IF((1-H90/100-W90)&gt;0,CEILING(MAX('Komisyon Tarifeleri'!I90,($D90+$F90)/(1-H90/100-W90)),1),"İMKÂNSIZ")))))</f>
        <v/>
      </c>
      <c r="AE90" s="10">
        <f>IF(OR($D90="",$B90=""),"",IF(AND((1-T90/100-X90)&gt;0,CEILING(($D90+$F90)/(1-T90/100-X90),1)&lt;='Komisyon Tarifeleri'!N90),CEILING(($D90+$F90)/(1-T90/100-X90),1),IF(AND((1-P90/100-X90)&gt;0,CEILING(MAX('Komisyon Tarifeleri'!M90,($D90+$F90)/(1-P90/100-X90)),1)&lt;='Komisyon Tarifeleri'!L90),CEILING(MAX('Komisyon Tarifeleri'!M90,($D90+$F90)/(1-P90/100-X90)),1),IF(AND((1-L90/100-X90)&gt;0,CEILING(MAX('Komisyon Tarifeleri'!K90,($D90+$F90)/(1-L90/100-X90)),1)&lt;='Komisyon Tarifeleri'!J90),CEILING(MAX('Komisyon Tarifeleri'!K90,($D90+$F90)/(1-L90/100-X90)),1),IF((1-H90/100-X90)&gt;0,CEILING(MAX('Komisyon Tarifeleri'!I90,($D90+$F90)/(1-H90/100-X90)),1),"İMKÂNSIZ")))))</f>
        <v/>
      </c>
      <c r="AF90" s="16">
        <f>IF($D90="","",IF(AND(Y90&lt;&gt;"",AC90&lt;&gt;"",AC90&gt;=W90),Z90,IF(Y90&lt;&gt;"",AD90,AE90)))</f>
        <v/>
      </c>
      <c r="AG90" s="16">
        <f>IF(OR(AF90="",AF90="İMKÂNSIZ"),"",AF90*(1-IF(AF90&gt;='Komisyon Tarifeleri'!I90,IF($AM$1=2,'Komisyon Tarifeleri'!U90,'Komisyon Tarifeleri'!P90),IF(AF90&gt;='Komisyon Tarifeleri'!K90,IF($AM$1=2,'Komisyon Tarifeleri'!V90,'Komisyon Tarifeleri'!Q90),IF(AF90&gt;='Komisyon Tarifeleri'!M90,IF($AM$1=2,'Komisyon Tarifeleri'!W90,'Komisyon Tarifeleri'!R90),IF($AM$1=2,'Komisyon Tarifeleri'!X90,'Komisyon Tarifeleri'!S90))))/100)-$D90-IF(AF90&lt;=199.99,Kargo!$E$2,IF(AF90&lt;=399.99,Kargo!$E$3,$F90)))</f>
        <v/>
      </c>
      <c r="AH90" s="17">
        <f>IF(AG90="","",AG90/AF90)</f>
        <v/>
      </c>
      <c r="AI90" s="18">
        <f>IF($D90="","",IF(Y90="","BUYBOX YOK → hedef kârla min fiyat",IF(AC90&gt;=W90,"✓ BUYBOX ALTINA GİR","BUYBOX ALTI KÂRSIZ → min kârlı fiyat")))</f>
        <v/>
      </c>
      <c r="AJ90" s="10">
        <f>IF($B90="","",IFERROR(VLOOKUP($B90,Maliyetler!$A:$G,6,FALSE),""))</f>
        <v/>
      </c>
      <c r="AK90">
        <f>IF($B90="","",IFERROR(VLOOKUP($B90,Maliyetler!$A:$G,7,FALSE),""))</f>
        <v/>
      </c>
      <c r="AO90" s="21">
        <f>IF($B90="","",IFERROR(VLOOKUP($B90&amp;"",'Plus Tarifeleri'!$C:$Q,11,FALSE),""))</f>
        <v/>
      </c>
      <c r="AP90" s="22">
        <f>IF(AO90="","",IFERROR(IF($AM$1=2,VLOOKUP($B90&amp;"",'Plus Tarifeleri'!$C:$Q,15,FALSE),VLOOKUP($B90&amp;"",'Plus Tarifeleri'!$C:$Q,13,FALSE)),""))</f>
        <v/>
      </c>
      <c r="AQ90" s="21">
        <f>IF(OR(AO90="",AP90="",$D90=""),"",AO90*(1-AP90/100)-$D90-IF(AO90&lt;=199.99,Kargo!$E$2,IF(AO90&lt;=399.99,Kargo!$E$3,$F90)))</f>
        <v/>
      </c>
      <c r="AR90" s="23">
        <f>IF(AQ90="","",AQ90/AO90)</f>
        <v/>
      </c>
      <c r="AS90" s="24">
        <f>IF(OR(AQ90="",AG90=""),"",AQ90-AG90)</f>
        <v/>
      </c>
    </row>
    <row r="91">
      <c r="A91">
        <f>IF('Komisyon Tarifeleri'!A91="","",'Komisyon Tarifeleri'!A91)</f>
        <v/>
      </c>
      <c r="B91">
        <f>IF('Komisyon Tarifeleri'!B91="","",'Komisyon Tarifeleri'!B91&amp;"")</f>
        <v/>
      </c>
      <c r="C91">
        <f>IF($B91="","",'Komisyon Tarifeleri'!F91)</f>
        <v/>
      </c>
      <c r="D91" s="10">
        <f>IF($B91="","",IFERROR(VLOOKUP($B91,Maliyetler!$A:$E,3,FALSE),""))</f>
        <v/>
      </c>
      <c r="E91">
        <f>IF($B91="","",IFERROR(VLOOKUP($B91,Maliyetler!$A:$E,4,FALSE),1))</f>
        <v/>
      </c>
      <c r="F91" s="10">
        <f>IF($B91="","",IFERROR(VLOOKUP(MIN(20,MAX(1,ROUND($E91,0))),Kargo!$A:$B,2,FALSE),99.46))</f>
        <v/>
      </c>
      <c r="G91" s="10">
        <f>IF($B91="","",IF(IF(N('Komisyon Tarifeleri'!AA91)&gt;='Komisyon Tarifeleri'!I91,'Komisyon Tarifeleri'!AA91,'Komisyon Tarifeleri'!I91)="","",IF(N('Komisyon Tarifeleri'!AA91)&gt;='Komisyon Tarifeleri'!I91,'Komisyon Tarifeleri'!AA91,'Komisyon Tarifeleri'!I91)))</f>
        <v/>
      </c>
      <c r="H91" s="11">
        <f>IF(G91="","",IF($AM$1=2,'Komisyon Tarifeleri'!U91,'Komisyon Tarifeleri'!P91))</f>
        <v/>
      </c>
      <c r="I91" s="10">
        <f>IF(OR(G91="",$D91=""),"",G91*(1-H91/100)-$D91-IF(G91&lt;=199.99,Kargo!$E$2,IF(G91&lt;=399.99,Kargo!$E$3,$F91)))</f>
        <v/>
      </c>
      <c r="J91" s="12">
        <f>IF(I91="","",I91/G91)</f>
        <v/>
      </c>
      <c r="K91" s="10">
        <f>IF($B91="","",IF('Komisyon Tarifeleri'!J91="","",'Komisyon Tarifeleri'!J91))</f>
        <v/>
      </c>
      <c r="L91" s="11">
        <f>IF(K91="","",IF($AM$1=2,'Komisyon Tarifeleri'!V91,'Komisyon Tarifeleri'!Q91))</f>
        <v/>
      </c>
      <c r="M91" s="10">
        <f>IF(OR(K91="",$D91=""),"",K91*(1-L91/100)-$D91-IF(K91&lt;=199.99,Kargo!$E$2,IF(K91&lt;=399.99,Kargo!$E$3,$F91)))</f>
        <v/>
      </c>
      <c r="N91" s="12">
        <f>IF(M91="","",M91/K91)</f>
        <v/>
      </c>
      <c r="O91" s="10">
        <f>IF($B91="","",IF('Komisyon Tarifeleri'!L91="","",'Komisyon Tarifeleri'!L91))</f>
        <v/>
      </c>
      <c r="P91" s="11">
        <f>IF(O91="","",IF($AM$1=2,'Komisyon Tarifeleri'!W91,'Komisyon Tarifeleri'!R91))</f>
        <v/>
      </c>
      <c r="Q91" s="10">
        <f>IF(OR(O91="",$D91=""),"",O91*(1-P91/100)-$D91-IF(O91&lt;=199.99,Kargo!$E$2,IF(O91&lt;=399.99,Kargo!$E$3,$F91)))</f>
        <v/>
      </c>
      <c r="R91" s="12">
        <f>IF(Q91="","",Q91/O91)</f>
        <v/>
      </c>
      <c r="S91" s="10">
        <f>IF($B91="","",IF('Komisyon Tarifeleri'!N91="","",'Komisyon Tarifeleri'!N91))</f>
        <v/>
      </c>
      <c r="T91" s="11">
        <f>IF(S91="","",IF($AM$1=2,'Komisyon Tarifeleri'!X91,'Komisyon Tarifeleri'!S91))</f>
        <v/>
      </c>
      <c r="U91" s="10">
        <f>IF(OR(S91="",$D91=""),"",S91*(1-T91/100)-$D91-IF(S91&lt;=199.99,Kargo!$E$2,IF(S91&lt;=399.99,Kargo!$E$3,$F91)))</f>
        <v/>
      </c>
      <c r="V91" s="12">
        <f>IF(U91="","",U91/S91)</f>
        <v/>
      </c>
      <c r="W91" s="12">
        <f>IF($B91="","",IFERROR(VLOOKUP($C91,Hedefler!$A:$C,2,FALSE),0.04))</f>
        <v/>
      </c>
      <c r="X91" s="12">
        <f>IF($B91="","",IFERROR(VLOOKUP($C91,Hedefler!$A:$C,3,FALSE),0.1))</f>
        <v/>
      </c>
      <c r="Y91" s="13">
        <f>IF($B91="","",IFERROR(VLOOKUP($B91,Maliyetler!$A:$E,5,FALSE),""))</f>
        <v/>
      </c>
      <c r="Z91" s="13">
        <f>IF(OR(Y91="",Y91=0),"",Y91-1)</f>
        <v/>
      </c>
      <c r="AA91" s="14">
        <f>IF(Z91="","",IF(Z91&gt;='Komisyon Tarifeleri'!I91,IF($AM$1=2,'Komisyon Tarifeleri'!U91,'Komisyon Tarifeleri'!P91),IF(Z91&gt;='Komisyon Tarifeleri'!K91,IF($AM$1=2,'Komisyon Tarifeleri'!V91,'Komisyon Tarifeleri'!Q91),IF(Z91&gt;='Komisyon Tarifeleri'!M91,IF($AM$1=2,'Komisyon Tarifeleri'!W91,'Komisyon Tarifeleri'!R91),IF($AM$1=2,'Komisyon Tarifeleri'!X91,'Komisyon Tarifeleri'!S91)))))</f>
        <v/>
      </c>
      <c r="AB91" s="13">
        <f>IF(OR(AA91="",$D91=""),"",Z91*(1-AA91/100)-$D91-IF(Z91&lt;=199.99,Kargo!$E$2,IF(Z91&lt;=399.99,Kargo!$E$3,$F91)))</f>
        <v/>
      </c>
      <c r="AC91" s="15">
        <f>IF(AB91="","",AB91/Z91)</f>
        <v/>
      </c>
      <c r="AD91" s="10">
        <f>IF(OR($D91="",$B91=""),"",IF(AND((1-T91/100-W91)&gt;0,CEILING(($D91+$F91)/(1-T91/100-W91),1)&lt;='Komisyon Tarifeleri'!N91),CEILING(($D91+$F91)/(1-T91/100-W91),1),IF(AND((1-P91/100-W91)&gt;0,CEILING(MAX('Komisyon Tarifeleri'!M91,($D91+$F91)/(1-P91/100-W91)),1)&lt;='Komisyon Tarifeleri'!L91),CEILING(MAX('Komisyon Tarifeleri'!M91,($D91+$F91)/(1-P91/100-W91)),1),IF(AND((1-L91/100-W91)&gt;0,CEILING(MAX('Komisyon Tarifeleri'!K91,($D91+$F91)/(1-L91/100-W91)),1)&lt;='Komisyon Tarifeleri'!J91),CEILING(MAX('Komisyon Tarifeleri'!K91,($D91+$F91)/(1-L91/100-W91)),1),IF((1-H91/100-W91)&gt;0,CEILING(MAX('Komisyon Tarifeleri'!I91,($D91+$F91)/(1-H91/100-W91)),1),"İMKÂNSIZ")))))</f>
        <v/>
      </c>
      <c r="AE91" s="10">
        <f>IF(OR($D91="",$B91=""),"",IF(AND((1-T91/100-X91)&gt;0,CEILING(($D91+$F91)/(1-T91/100-X91),1)&lt;='Komisyon Tarifeleri'!N91),CEILING(($D91+$F91)/(1-T91/100-X91),1),IF(AND((1-P91/100-X91)&gt;0,CEILING(MAX('Komisyon Tarifeleri'!M91,($D91+$F91)/(1-P91/100-X91)),1)&lt;='Komisyon Tarifeleri'!L91),CEILING(MAX('Komisyon Tarifeleri'!M91,($D91+$F91)/(1-P91/100-X91)),1),IF(AND((1-L91/100-X91)&gt;0,CEILING(MAX('Komisyon Tarifeleri'!K91,($D91+$F91)/(1-L91/100-X91)),1)&lt;='Komisyon Tarifeleri'!J91),CEILING(MAX('Komisyon Tarifeleri'!K91,($D91+$F91)/(1-L91/100-X91)),1),IF((1-H91/100-X91)&gt;0,CEILING(MAX('Komisyon Tarifeleri'!I91,($D91+$F91)/(1-H91/100-X91)),1),"İMKÂNSIZ")))))</f>
        <v/>
      </c>
      <c r="AF91" s="16">
        <f>IF($D91="","",IF(AND(Y91&lt;&gt;"",AC91&lt;&gt;"",AC91&gt;=W91),Z91,IF(Y91&lt;&gt;"",AD91,AE91)))</f>
        <v/>
      </c>
      <c r="AG91" s="16">
        <f>IF(OR(AF91="",AF91="İMKÂNSIZ"),"",AF91*(1-IF(AF91&gt;='Komisyon Tarifeleri'!I91,IF($AM$1=2,'Komisyon Tarifeleri'!U91,'Komisyon Tarifeleri'!P91),IF(AF91&gt;='Komisyon Tarifeleri'!K91,IF($AM$1=2,'Komisyon Tarifeleri'!V91,'Komisyon Tarifeleri'!Q91),IF(AF91&gt;='Komisyon Tarifeleri'!M91,IF($AM$1=2,'Komisyon Tarifeleri'!W91,'Komisyon Tarifeleri'!R91),IF($AM$1=2,'Komisyon Tarifeleri'!X91,'Komisyon Tarifeleri'!S91))))/100)-$D91-IF(AF91&lt;=199.99,Kargo!$E$2,IF(AF91&lt;=399.99,Kargo!$E$3,$F91)))</f>
        <v/>
      </c>
      <c r="AH91" s="17">
        <f>IF(AG91="","",AG91/AF91)</f>
        <v/>
      </c>
      <c r="AI91" s="18">
        <f>IF($D91="","",IF(Y91="","BUYBOX YOK → hedef kârla min fiyat",IF(AC91&gt;=W91,"✓ BUYBOX ALTINA GİR","BUYBOX ALTI KÂRSIZ → min kârlı fiyat")))</f>
        <v/>
      </c>
      <c r="AJ91" s="10">
        <f>IF($B91="","",IFERROR(VLOOKUP($B91,Maliyetler!$A:$G,6,FALSE),""))</f>
        <v/>
      </c>
      <c r="AK91">
        <f>IF($B91="","",IFERROR(VLOOKUP($B91,Maliyetler!$A:$G,7,FALSE),""))</f>
        <v/>
      </c>
      <c r="AO91" s="21">
        <f>IF($B91="","",IFERROR(VLOOKUP($B91&amp;"",'Plus Tarifeleri'!$C:$Q,11,FALSE),""))</f>
        <v/>
      </c>
      <c r="AP91" s="22">
        <f>IF(AO91="","",IFERROR(IF($AM$1=2,VLOOKUP($B91&amp;"",'Plus Tarifeleri'!$C:$Q,15,FALSE),VLOOKUP($B91&amp;"",'Plus Tarifeleri'!$C:$Q,13,FALSE)),""))</f>
        <v/>
      </c>
      <c r="AQ91" s="21">
        <f>IF(OR(AO91="",AP91="",$D91=""),"",AO91*(1-AP91/100)-$D91-IF(AO91&lt;=199.99,Kargo!$E$2,IF(AO91&lt;=399.99,Kargo!$E$3,$F91)))</f>
        <v/>
      </c>
      <c r="AR91" s="23">
        <f>IF(AQ91="","",AQ91/AO91)</f>
        <v/>
      </c>
      <c r="AS91" s="24">
        <f>IF(OR(AQ91="",AG91=""),"",AQ91-AG91)</f>
        <v/>
      </c>
    </row>
    <row r="92">
      <c r="A92">
        <f>IF('Komisyon Tarifeleri'!A92="","",'Komisyon Tarifeleri'!A92)</f>
        <v/>
      </c>
      <c r="B92">
        <f>IF('Komisyon Tarifeleri'!B92="","",'Komisyon Tarifeleri'!B92&amp;"")</f>
        <v/>
      </c>
      <c r="C92">
        <f>IF($B92="","",'Komisyon Tarifeleri'!F92)</f>
        <v/>
      </c>
      <c r="D92" s="10">
        <f>IF($B92="","",IFERROR(VLOOKUP($B92,Maliyetler!$A:$E,3,FALSE),""))</f>
        <v/>
      </c>
      <c r="E92">
        <f>IF($B92="","",IFERROR(VLOOKUP($B92,Maliyetler!$A:$E,4,FALSE),1))</f>
        <v/>
      </c>
      <c r="F92" s="10">
        <f>IF($B92="","",IFERROR(VLOOKUP(MIN(20,MAX(1,ROUND($E92,0))),Kargo!$A:$B,2,FALSE),99.46))</f>
        <v/>
      </c>
      <c r="G92" s="10">
        <f>IF($B92="","",IF(IF(N('Komisyon Tarifeleri'!AA92)&gt;='Komisyon Tarifeleri'!I92,'Komisyon Tarifeleri'!AA92,'Komisyon Tarifeleri'!I92)="","",IF(N('Komisyon Tarifeleri'!AA92)&gt;='Komisyon Tarifeleri'!I92,'Komisyon Tarifeleri'!AA92,'Komisyon Tarifeleri'!I92)))</f>
        <v/>
      </c>
      <c r="H92" s="11">
        <f>IF(G92="","",IF($AM$1=2,'Komisyon Tarifeleri'!U92,'Komisyon Tarifeleri'!P92))</f>
        <v/>
      </c>
      <c r="I92" s="10">
        <f>IF(OR(G92="",$D92=""),"",G92*(1-H92/100)-$D92-IF(G92&lt;=199.99,Kargo!$E$2,IF(G92&lt;=399.99,Kargo!$E$3,$F92)))</f>
        <v/>
      </c>
      <c r="J92" s="12">
        <f>IF(I92="","",I92/G92)</f>
        <v/>
      </c>
      <c r="K92" s="10">
        <f>IF($B92="","",IF('Komisyon Tarifeleri'!J92="","",'Komisyon Tarifeleri'!J92))</f>
        <v/>
      </c>
      <c r="L92" s="11">
        <f>IF(K92="","",IF($AM$1=2,'Komisyon Tarifeleri'!V92,'Komisyon Tarifeleri'!Q92))</f>
        <v/>
      </c>
      <c r="M92" s="10">
        <f>IF(OR(K92="",$D92=""),"",K92*(1-L92/100)-$D92-IF(K92&lt;=199.99,Kargo!$E$2,IF(K92&lt;=399.99,Kargo!$E$3,$F92)))</f>
        <v/>
      </c>
      <c r="N92" s="12">
        <f>IF(M92="","",M92/K92)</f>
        <v/>
      </c>
      <c r="O92" s="10">
        <f>IF($B92="","",IF('Komisyon Tarifeleri'!L92="","",'Komisyon Tarifeleri'!L92))</f>
        <v/>
      </c>
      <c r="P92" s="11">
        <f>IF(O92="","",IF($AM$1=2,'Komisyon Tarifeleri'!W92,'Komisyon Tarifeleri'!R92))</f>
        <v/>
      </c>
      <c r="Q92" s="10">
        <f>IF(OR(O92="",$D92=""),"",O92*(1-P92/100)-$D92-IF(O92&lt;=199.99,Kargo!$E$2,IF(O92&lt;=399.99,Kargo!$E$3,$F92)))</f>
        <v/>
      </c>
      <c r="R92" s="12">
        <f>IF(Q92="","",Q92/O92)</f>
        <v/>
      </c>
      <c r="S92" s="10">
        <f>IF($B92="","",IF('Komisyon Tarifeleri'!N92="","",'Komisyon Tarifeleri'!N92))</f>
        <v/>
      </c>
      <c r="T92" s="11">
        <f>IF(S92="","",IF($AM$1=2,'Komisyon Tarifeleri'!X92,'Komisyon Tarifeleri'!S92))</f>
        <v/>
      </c>
      <c r="U92" s="10">
        <f>IF(OR(S92="",$D92=""),"",S92*(1-T92/100)-$D92-IF(S92&lt;=199.99,Kargo!$E$2,IF(S92&lt;=399.99,Kargo!$E$3,$F92)))</f>
        <v/>
      </c>
      <c r="V92" s="12">
        <f>IF(U92="","",U92/S92)</f>
        <v/>
      </c>
      <c r="W92" s="12">
        <f>IF($B92="","",IFERROR(VLOOKUP($C92,Hedefler!$A:$C,2,FALSE),0.04))</f>
        <v/>
      </c>
      <c r="X92" s="12">
        <f>IF($B92="","",IFERROR(VLOOKUP($C92,Hedefler!$A:$C,3,FALSE),0.1))</f>
        <v/>
      </c>
      <c r="Y92" s="13">
        <f>IF($B92="","",IFERROR(VLOOKUP($B92,Maliyetler!$A:$E,5,FALSE),""))</f>
        <v/>
      </c>
      <c r="Z92" s="13">
        <f>IF(OR(Y92="",Y92=0),"",Y92-1)</f>
        <v/>
      </c>
      <c r="AA92" s="14">
        <f>IF(Z92="","",IF(Z92&gt;='Komisyon Tarifeleri'!I92,IF($AM$1=2,'Komisyon Tarifeleri'!U92,'Komisyon Tarifeleri'!P92),IF(Z92&gt;='Komisyon Tarifeleri'!K92,IF($AM$1=2,'Komisyon Tarifeleri'!V92,'Komisyon Tarifeleri'!Q92),IF(Z92&gt;='Komisyon Tarifeleri'!M92,IF($AM$1=2,'Komisyon Tarifeleri'!W92,'Komisyon Tarifeleri'!R92),IF($AM$1=2,'Komisyon Tarifeleri'!X92,'Komisyon Tarifeleri'!S92)))))</f>
        <v/>
      </c>
      <c r="AB92" s="13">
        <f>IF(OR(AA92="",$D92=""),"",Z92*(1-AA92/100)-$D92-IF(Z92&lt;=199.99,Kargo!$E$2,IF(Z92&lt;=399.99,Kargo!$E$3,$F92)))</f>
        <v/>
      </c>
      <c r="AC92" s="15">
        <f>IF(AB92="","",AB92/Z92)</f>
        <v/>
      </c>
      <c r="AD92" s="10">
        <f>IF(OR($D92="",$B92=""),"",IF(AND((1-T92/100-W92)&gt;0,CEILING(($D92+$F92)/(1-T92/100-W92),1)&lt;='Komisyon Tarifeleri'!N92),CEILING(($D92+$F92)/(1-T92/100-W92),1),IF(AND((1-P92/100-W92)&gt;0,CEILING(MAX('Komisyon Tarifeleri'!M92,($D92+$F92)/(1-P92/100-W92)),1)&lt;='Komisyon Tarifeleri'!L92),CEILING(MAX('Komisyon Tarifeleri'!M92,($D92+$F92)/(1-P92/100-W92)),1),IF(AND((1-L92/100-W92)&gt;0,CEILING(MAX('Komisyon Tarifeleri'!K92,($D92+$F92)/(1-L92/100-W92)),1)&lt;='Komisyon Tarifeleri'!J92),CEILING(MAX('Komisyon Tarifeleri'!K92,($D92+$F92)/(1-L92/100-W92)),1),IF((1-H92/100-W92)&gt;0,CEILING(MAX('Komisyon Tarifeleri'!I92,($D92+$F92)/(1-H92/100-W92)),1),"İMKÂNSIZ")))))</f>
        <v/>
      </c>
      <c r="AE92" s="10">
        <f>IF(OR($D92="",$B92=""),"",IF(AND((1-T92/100-X92)&gt;0,CEILING(($D92+$F92)/(1-T92/100-X92),1)&lt;='Komisyon Tarifeleri'!N92),CEILING(($D92+$F92)/(1-T92/100-X92),1),IF(AND((1-P92/100-X92)&gt;0,CEILING(MAX('Komisyon Tarifeleri'!M92,($D92+$F92)/(1-P92/100-X92)),1)&lt;='Komisyon Tarifeleri'!L92),CEILING(MAX('Komisyon Tarifeleri'!M92,($D92+$F92)/(1-P92/100-X92)),1),IF(AND((1-L92/100-X92)&gt;0,CEILING(MAX('Komisyon Tarifeleri'!K92,($D92+$F92)/(1-L92/100-X92)),1)&lt;='Komisyon Tarifeleri'!J92),CEILING(MAX('Komisyon Tarifeleri'!K92,($D92+$F92)/(1-L92/100-X92)),1),IF((1-H92/100-X92)&gt;0,CEILING(MAX('Komisyon Tarifeleri'!I92,($D92+$F92)/(1-H92/100-X92)),1),"İMKÂNSIZ")))))</f>
        <v/>
      </c>
      <c r="AF92" s="16">
        <f>IF($D92="","",IF(AND(Y92&lt;&gt;"",AC92&lt;&gt;"",AC92&gt;=W92),Z92,IF(Y92&lt;&gt;"",AD92,AE92)))</f>
        <v/>
      </c>
      <c r="AG92" s="16">
        <f>IF(OR(AF92="",AF92="İMKÂNSIZ"),"",AF92*(1-IF(AF92&gt;='Komisyon Tarifeleri'!I92,IF($AM$1=2,'Komisyon Tarifeleri'!U92,'Komisyon Tarifeleri'!P92),IF(AF92&gt;='Komisyon Tarifeleri'!K92,IF($AM$1=2,'Komisyon Tarifeleri'!V92,'Komisyon Tarifeleri'!Q92),IF(AF92&gt;='Komisyon Tarifeleri'!M92,IF($AM$1=2,'Komisyon Tarifeleri'!W92,'Komisyon Tarifeleri'!R92),IF($AM$1=2,'Komisyon Tarifeleri'!X92,'Komisyon Tarifeleri'!S92))))/100)-$D92-IF(AF92&lt;=199.99,Kargo!$E$2,IF(AF92&lt;=399.99,Kargo!$E$3,$F92)))</f>
        <v/>
      </c>
      <c r="AH92" s="17">
        <f>IF(AG92="","",AG92/AF92)</f>
        <v/>
      </c>
      <c r="AI92" s="18">
        <f>IF($D92="","",IF(Y92="","BUYBOX YOK → hedef kârla min fiyat",IF(AC92&gt;=W92,"✓ BUYBOX ALTINA GİR","BUYBOX ALTI KÂRSIZ → min kârlı fiyat")))</f>
        <v/>
      </c>
      <c r="AJ92" s="10">
        <f>IF($B92="","",IFERROR(VLOOKUP($B92,Maliyetler!$A:$G,6,FALSE),""))</f>
        <v/>
      </c>
      <c r="AK92">
        <f>IF($B92="","",IFERROR(VLOOKUP($B92,Maliyetler!$A:$G,7,FALSE),""))</f>
        <v/>
      </c>
      <c r="AO92" s="21">
        <f>IF($B92="","",IFERROR(VLOOKUP($B92&amp;"",'Plus Tarifeleri'!$C:$Q,11,FALSE),""))</f>
        <v/>
      </c>
      <c r="AP92" s="22">
        <f>IF(AO92="","",IFERROR(IF($AM$1=2,VLOOKUP($B92&amp;"",'Plus Tarifeleri'!$C:$Q,15,FALSE),VLOOKUP($B92&amp;"",'Plus Tarifeleri'!$C:$Q,13,FALSE)),""))</f>
        <v/>
      </c>
      <c r="AQ92" s="21">
        <f>IF(OR(AO92="",AP92="",$D92=""),"",AO92*(1-AP92/100)-$D92-IF(AO92&lt;=199.99,Kargo!$E$2,IF(AO92&lt;=399.99,Kargo!$E$3,$F92)))</f>
        <v/>
      </c>
      <c r="AR92" s="23">
        <f>IF(AQ92="","",AQ92/AO92)</f>
        <v/>
      </c>
      <c r="AS92" s="24">
        <f>IF(OR(AQ92="",AG92=""),"",AQ92-AG92)</f>
        <v/>
      </c>
    </row>
    <row r="93">
      <c r="A93">
        <f>IF('Komisyon Tarifeleri'!A93="","",'Komisyon Tarifeleri'!A93)</f>
        <v/>
      </c>
      <c r="B93">
        <f>IF('Komisyon Tarifeleri'!B93="","",'Komisyon Tarifeleri'!B93&amp;"")</f>
        <v/>
      </c>
      <c r="C93">
        <f>IF($B93="","",'Komisyon Tarifeleri'!F93)</f>
        <v/>
      </c>
      <c r="D93" s="10">
        <f>IF($B93="","",IFERROR(VLOOKUP($B93,Maliyetler!$A:$E,3,FALSE),""))</f>
        <v/>
      </c>
      <c r="E93">
        <f>IF($B93="","",IFERROR(VLOOKUP($B93,Maliyetler!$A:$E,4,FALSE),1))</f>
        <v/>
      </c>
      <c r="F93" s="10">
        <f>IF($B93="","",IFERROR(VLOOKUP(MIN(20,MAX(1,ROUND($E93,0))),Kargo!$A:$B,2,FALSE),99.46))</f>
        <v/>
      </c>
      <c r="G93" s="10">
        <f>IF($B93="","",IF(IF(N('Komisyon Tarifeleri'!AA93)&gt;='Komisyon Tarifeleri'!I93,'Komisyon Tarifeleri'!AA93,'Komisyon Tarifeleri'!I93)="","",IF(N('Komisyon Tarifeleri'!AA93)&gt;='Komisyon Tarifeleri'!I93,'Komisyon Tarifeleri'!AA93,'Komisyon Tarifeleri'!I93)))</f>
        <v/>
      </c>
      <c r="H93" s="11">
        <f>IF(G93="","",IF($AM$1=2,'Komisyon Tarifeleri'!U93,'Komisyon Tarifeleri'!P93))</f>
        <v/>
      </c>
      <c r="I93" s="10">
        <f>IF(OR(G93="",$D93=""),"",G93*(1-H93/100)-$D93-IF(G93&lt;=199.99,Kargo!$E$2,IF(G93&lt;=399.99,Kargo!$E$3,$F93)))</f>
        <v/>
      </c>
      <c r="J93" s="12">
        <f>IF(I93="","",I93/G93)</f>
        <v/>
      </c>
      <c r="K93" s="10">
        <f>IF($B93="","",IF('Komisyon Tarifeleri'!J93="","",'Komisyon Tarifeleri'!J93))</f>
        <v/>
      </c>
      <c r="L93" s="11">
        <f>IF(K93="","",IF($AM$1=2,'Komisyon Tarifeleri'!V93,'Komisyon Tarifeleri'!Q93))</f>
        <v/>
      </c>
      <c r="M93" s="10">
        <f>IF(OR(K93="",$D93=""),"",K93*(1-L93/100)-$D93-IF(K93&lt;=199.99,Kargo!$E$2,IF(K93&lt;=399.99,Kargo!$E$3,$F93)))</f>
        <v/>
      </c>
      <c r="N93" s="12">
        <f>IF(M93="","",M93/K93)</f>
        <v/>
      </c>
      <c r="O93" s="10">
        <f>IF($B93="","",IF('Komisyon Tarifeleri'!L93="","",'Komisyon Tarifeleri'!L93))</f>
        <v/>
      </c>
      <c r="P93" s="11">
        <f>IF(O93="","",IF($AM$1=2,'Komisyon Tarifeleri'!W93,'Komisyon Tarifeleri'!R93))</f>
        <v/>
      </c>
      <c r="Q93" s="10">
        <f>IF(OR(O93="",$D93=""),"",O93*(1-P93/100)-$D93-IF(O93&lt;=199.99,Kargo!$E$2,IF(O93&lt;=399.99,Kargo!$E$3,$F93)))</f>
        <v/>
      </c>
      <c r="R93" s="12">
        <f>IF(Q93="","",Q93/O93)</f>
        <v/>
      </c>
      <c r="S93" s="10">
        <f>IF($B93="","",IF('Komisyon Tarifeleri'!N93="","",'Komisyon Tarifeleri'!N93))</f>
        <v/>
      </c>
      <c r="T93" s="11">
        <f>IF(S93="","",IF($AM$1=2,'Komisyon Tarifeleri'!X93,'Komisyon Tarifeleri'!S93))</f>
        <v/>
      </c>
      <c r="U93" s="10">
        <f>IF(OR(S93="",$D93=""),"",S93*(1-T93/100)-$D93-IF(S93&lt;=199.99,Kargo!$E$2,IF(S93&lt;=399.99,Kargo!$E$3,$F93)))</f>
        <v/>
      </c>
      <c r="V93" s="12">
        <f>IF(U93="","",U93/S93)</f>
        <v/>
      </c>
      <c r="W93" s="12">
        <f>IF($B93="","",IFERROR(VLOOKUP($C93,Hedefler!$A:$C,2,FALSE),0.04))</f>
        <v/>
      </c>
      <c r="X93" s="12">
        <f>IF($B93="","",IFERROR(VLOOKUP($C93,Hedefler!$A:$C,3,FALSE),0.1))</f>
        <v/>
      </c>
      <c r="Y93" s="13">
        <f>IF($B93="","",IFERROR(VLOOKUP($B93,Maliyetler!$A:$E,5,FALSE),""))</f>
        <v/>
      </c>
      <c r="Z93" s="13">
        <f>IF(OR(Y93="",Y93=0),"",Y93-1)</f>
        <v/>
      </c>
      <c r="AA93" s="14">
        <f>IF(Z93="","",IF(Z93&gt;='Komisyon Tarifeleri'!I93,IF($AM$1=2,'Komisyon Tarifeleri'!U93,'Komisyon Tarifeleri'!P93),IF(Z93&gt;='Komisyon Tarifeleri'!K93,IF($AM$1=2,'Komisyon Tarifeleri'!V93,'Komisyon Tarifeleri'!Q93),IF(Z93&gt;='Komisyon Tarifeleri'!M93,IF($AM$1=2,'Komisyon Tarifeleri'!W93,'Komisyon Tarifeleri'!R93),IF($AM$1=2,'Komisyon Tarifeleri'!X93,'Komisyon Tarifeleri'!S93)))))</f>
        <v/>
      </c>
      <c r="AB93" s="13">
        <f>IF(OR(AA93="",$D93=""),"",Z93*(1-AA93/100)-$D93-IF(Z93&lt;=199.99,Kargo!$E$2,IF(Z93&lt;=399.99,Kargo!$E$3,$F93)))</f>
        <v/>
      </c>
      <c r="AC93" s="15">
        <f>IF(AB93="","",AB93/Z93)</f>
        <v/>
      </c>
      <c r="AD93" s="10">
        <f>IF(OR($D93="",$B93=""),"",IF(AND((1-T93/100-W93)&gt;0,CEILING(($D93+$F93)/(1-T93/100-W93),1)&lt;='Komisyon Tarifeleri'!N93),CEILING(($D93+$F93)/(1-T93/100-W93),1),IF(AND((1-P93/100-W93)&gt;0,CEILING(MAX('Komisyon Tarifeleri'!M93,($D93+$F93)/(1-P93/100-W93)),1)&lt;='Komisyon Tarifeleri'!L93),CEILING(MAX('Komisyon Tarifeleri'!M93,($D93+$F93)/(1-P93/100-W93)),1),IF(AND((1-L93/100-W93)&gt;0,CEILING(MAX('Komisyon Tarifeleri'!K93,($D93+$F93)/(1-L93/100-W93)),1)&lt;='Komisyon Tarifeleri'!J93),CEILING(MAX('Komisyon Tarifeleri'!K93,($D93+$F93)/(1-L93/100-W93)),1),IF((1-H93/100-W93)&gt;0,CEILING(MAX('Komisyon Tarifeleri'!I93,($D93+$F93)/(1-H93/100-W93)),1),"İMKÂNSIZ")))))</f>
        <v/>
      </c>
      <c r="AE93" s="10">
        <f>IF(OR($D93="",$B93=""),"",IF(AND((1-T93/100-X93)&gt;0,CEILING(($D93+$F93)/(1-T93/100-X93),1)&lt;='Komisyon Tarifeleri'!N93),CEILING(($D93+$F93)/(1-T93/100-X93),1),IF(AND((1-P93/100-X93)&gt;0,CEILING(MAX('Komisyon Tarifeleri'!M93,($D93+$F93)/(1-P93/100-X93)),1)&lt;='Komisyon Tarifeleri'!L93),CEILING(MAX('Komisyon Tarifeleri'!M93,($D93+$F93)/(1-P93/100-X93)),1),IF(AND((1-L93/100-X93)&gt;0,CEILING(MAX('Komisyon Tarifeleri'!K93,($D93+$F93)/(1-L93/100-X93)),1)&lt;='Komisyon Tarifeleri'!J93),CEILING(MAX('Komisyon Tarifeleri'!K93,($D93+$F93)/(1-L93/100-X93)),1),IF((1-H93/100-X93)&gt;0,CEILING(MAX('Komisyon Tarifeleri'!I93,($D93+$F93)/(1-H93/100-X93)),1),"İMKÂNSIZ")))))</f>
        <v/>
      </c>
      <c r="AF93" s="16">
        <f>IF($D93="","",IF(AND(Y93&lt;&gt;"",AC93&lt;&gt;"",AC93&gt;=W93),Z93,IF(Y93&lt;&gt;"",AD93,AE93)))</f>
        <v/>
      </c>
      <c r="AG93" s="16">
        <f>IF(OR(AF93="",AF93="İMKÂNSIZ"),"",AF93*(1-IF(AF93&gt;='Komisyon Tarifeleri'!I93,IF($AM$1=2,'Komisyon Tarifeleri'!U93,'Komisyon Tarifeleri'!P93),IF(AF93&gt;='Komisyon Tarifeleri'!K93,IF($AM$1=2,'Komisyon Tarifeleri'!V93,'Komisyon Tarifeleri'!Q93),IF(AF93&gt;='Komisyon Tarifeleri'!M93,IF($AM$1=2,'Komisyon Tarifeleri'!W93,'Komisyon Tarifeleri'!R93),IF($AM$1=2,'Komisyon Tarifeleri'!X93,'Komisyon Tarifeleri'!S93))))/100)-$D93-IF(AF93&lt;=199.99,Kargo!$E$2,IF(AF93&lt;=399.99,Kargo!$E$3,$F93)))</f>
        <v/>
      </c>
      <c r="AH93" s="17">
        <f>IF(AG93="","",AG93/AF93)</f>
        <v/>
      </c>
      <c r="AI93" s="18">
        <f>IF($D93="","",IF(Y93="","BUYBOX YOK → hedef kârla min fiyat",IF(AC93&gt;=W93,"✓ BUYBOX ALTINA GİR","BUYBOX ALTI KÂRSIZ → min kârlı fiyat")))</f>
        <v/>
      </c>
      <c r="AJ93" s="10">
        <f>IF($B93="","",IFERROR(VLOOKUP($B93,Maliyetler!$A:$G,6,FALSE),""))</f>
        <v/>
      </c>
      <c r="AK93">
        <f>IF($B93="","",IFERROR(VLOOKUP($B93,Maliyetler!$A:$G,7,FALSE),""))</f>
        <v/>
      </c>
      <c r="AO93" s="21">
        <f>IF($B93="","",IFERROR(VLOOKUP($B93&amp;"",'Plus Tarifeleri'!$C:$Q,11,FALSE),""))</f>
        <v/>
      </c>
      <c r="AP93" s="22">
        <f>IF(AO93="","",IFERROR(IF($AM$1=2,VLOOKUP($B93&amp;"",'Plus Tarifeleri'!$C:$Q,15,FALSE),VLOOKUP($B93&amp;"",'Plus Tarifeleri'!$C:$Q,13,FALSE)),""))</f>
        <v/>
      </c>
      <c r="AQ93" s="21">
        <f>IF(OR(AO93="",AP93="",$D93=""),"",AO93*(1-AP93/100)-$D93-IF(AO93&lt;=199.99,Kargo!$E$2,IF(AO93&lt;=399.99,Kargo!$E$3,$F93)))</f>
        <v/>
      </c>
      <c r="AR93" s="23">
        <f>IF(AQ93="","",AQ93/AO93)</f>
        <v/>
      </c>
      <c r="AS93" s="24">
        <f>IF(OR(AQ93="",AG93=""),"",AQ93-AG93)</f>
        <v/>
      </c>
    </row>
    <row r="94">
      <c r="A94">
        <f>IF('Komisyon Tarifeleri'!A94="","",'Komisyon Tarifeleri'!A94)</f>
        <v/>
      </c>
      <c r="B94">
        <f>IF('Komisyon Tarifeleri'!B94="","",'Komisyon Tarifeleri'!B94&amp;"")</f>
        <v/>
      </c>
      <c r="C94">
        <f>IF($B94="","",'Komisyon Tarifeleri'!F94)</f>
        <v/>
      </c>
      <c r="D94" s="10">
        <f>IF($B94="","",IFERROR(VLOOKUP($B94,Maliyetler!$A:$E,3,FALSE),""))</f>
        <v/>
      </c>
      <c r="E94">
        <f>IF($B94="","",IFERROR(VLOOKUP($B94,Maliyetler!$A:$E,4,FALSE),1))</f>
        <v/>
      </c>
      <c r="F94" s="10">
        <f>IF($B94="","",IFERROR(VLOOKUP(MIN(20,MAX(1,ROUND($E94,0))),Kargo!$A:$B,2,FALSE),99.46))</f>
        <v/>
      </c>
      <c r="G94" s="10">
        <f>IF($B94="","",IF(IF(N('Komisyon Tarifeleri'!AA94)&gt;='Komisyon Tarifeleri'!I94,'Komisyon Tarifeleri'!AA94,'Komisyon Tarifeleri'!I94)="","",IF(N('Komisyon Tarifeleri'!AA94)&gt;='Komisyon Tarifeleri'!I94,'Komisyon Tarifeleri'!AA94,'Komisyon Tarifeleri'!I94)))</f>
        <v/>
      </c>
      <c r="H94" s="11">
        <f>IF(G94="","",IF($AM$1=2,'Komisyon Tarifeleri'!U94,'Komisyon Tarifeleri'!P94))</f>
        <v/>
      </c>
      <c r="I94" s="10">
        <f>IF(OR(G94="",$D94=""),"",G94*(1-H94/100)-$D94-IF(G94&lt;=199.99,Kargo!$E$2,IF(G94&lt;=399.99,Kargo!$E$3,$F94)))</f>
        <v/>
      </c>
      <c r="J94" s="12">
        <f>IF(I94="","",I94/G94)</f>
        <v/>
      </c>
      <c r="K94" s="10">
        <f>IF($B94="","",IF('Komisyon Tarifeleri'!J94="","",'Komisyon Tarifeleri'!J94))</f>
        <v/>
      </c>
      <c r="L94" s="11">
        <f>IF(K94="","",IF($AM$1=2,'Komisyon Tarifeleri'!V94,'Komisyon Tarifeleri'!Q94))</f>
        <v/>
      </c>
      <c r="M94" s="10">
        <f>IF(OR(K94="",$D94=""),"",K94*(1-L94/100)-$D94-IF(K94&lt;=199.99,Kargo!$E$2,IF(K94&lt;=399.99,Kargo!$E$3,$F94)))</f>
        <v/>
      </c>
      <c r="N94" s="12">
        <f>IF(M94="","",M94/K94)</f>
        <v/>
      </c>
      <c r="O94" s="10">
        <f>IF($B94="","",IF('Komisyon Tarifeleri'!L94="","",'Komisyon Tarifeleri'!L94))</f>
        <v/>
      </c>
      <c r="P94" s="11">
        <f>IF(O94="","",IF($AM$1=2,'Komisyon Tarifeleri'!W94,'Komisyon Tarifeleri'!R94))</f>
        <v/>
      </c>
      <c r="Q94" s="10">
        <f>IF(OR(O94="",$D94=""),"",O94*(1-P94/100)-$D94-IF(O94&lt;=199.99,Kargo!$E$2,IF(O94&lt;=399.99,Kargo!$E$3,$F94)))</f>
        <v/>
      </c>
      <c r="R94" s="12">
        <f>IF(Q94="","",Q94/O94)</f>
        <v/>
      </c>
      <c r="S94" s="10">
        <f>IF($B94="","",IF('Komisyon Tarifeleri'!N94="","",'Komisyon Tarifeleri'!N94))</f>
        <v/>
      </c>
      <c r="T94" s="11">
        <f>IF(S94="","",IF($AM$1=2,'Komisyon Tarifeleri'!X94,'Komisyon Tarifeleri'!S94))</f>
        <v/>
      </c>
      <c r="U94" s="10">
        <f>IF(OR(S94="",$D94=""),"",S94*(1-T94/100)-$D94-IF(S94&lt;=199.99,Kargo!$E$2,IF(S94&lt;=399.99,Kargo!$E$3,$F94)))</f>
        <v/>
      </c>
      <c r="V94" s="12">
        <f>IF(U94="","",U94/S94)</f>
        <v/>
      </c>
      <c r="W94" s="12">
        <f>IF($B94="","",IFERROR(VLOOKUP($C94,Hedefler!$A:$C,2,FALSE),0.04))</f>
        <v/>
      </c>
      <c r="X94" s="12">
        <f>IF($B94="","",IFERROR(VLOOKUP($C94,Hedefler!$A:$C,3,FALSE),0.1))</f>
        <v/>
      </c>
      <c r="Y94" s="13">
        <f>IF($B94="","",IFERROR(VLOOKUP($B94,Maliyetler!$A:$E,5,FALSE),""))</f>
        <v/>
      </c>
      <c r="Z94" s="13">
        <f>IF(OR(Y94="",Y94=0),"",Y94-1)</f>
        <v/>
      </c>
      <c r="AA94" s="14">
        <f>IF(Z94="","",IF(Z94&gt;='Komisyon Tarifeleri'!I94,IF($AM$1=2,'Komisyon Tarifeleri'!U94,'Komisyon Tarifeleri'!P94),IF(Z94&gt;='Komisyon Tarifeleri'!K94,IF($AM$1=2,'Komisyon Tarifeleri'!V94,'Komisyon Tarifeleri'!Q94),IF(Z94&gt;='Komisyon Tarifeleri'!M94,IF($AM$1=2,'Komisyon Tarifeleri'!W94,'Komisyon Tarifeleri'!R94),IF($AM$1=2,'Komisyon Tarifeleri'!X94,'Komisyon Tarifeleri'!S94)))))</f>
        <v/>
      </c>
      <c r="AB94" s="13">
        <f>IF(OR(AA94="",$D94=""),"",Z94*(1-AA94/100)-$D94-IF(Z94&lt;=199.99,Kargo!$E$2,IF(Z94&lt;=399.99,Kargo!$E$3,$F94)))</f>
        <v/>
      </c>
      <c r="AC94" s="15">
        <f>IF(AB94="","",AB94/Z94)</f>
        <v/>
      </c>
      <c r="AD94" s="10">
        <f>IF(OR($D94="",$B94=""),"",IF(AND((1-T94/100-W94)&gt;0,CEILING(($D94+$F94)/(1-T94/100-W94),1)&lt;='Komisyon Tarifeleri'!N94),CEILING(($D94+$F94)/(1-T94/100-W94),1),IF(AND((1-P94/100-W94)&gt;0,CEILING(MAX('Komisyon Tarifeleri'!M94,($D94+$F94)/(1-P94/100-W94)),1)&lt;='Komisyon Tarifeleri'!L94),CEILING(MAX('Komisyon Tarifeleri'!M94,($D94+$F94)/(1-P94/100-W94)),1),IF(AND((1-L94/100-W94)&gt;0,CEILING(MAX('Komisyon Tarifeleri'!K94,($D94+$F94)/(1-L94/100-W94)),1)&lt;='Komisyon Tarifeleri'!J94),CEILING(MAX('Komisyon Tarifeleri'!K94,($D94+$F94)/(1-L94/100-W94)),1),IF((1-H94/100-W94)&gt;0,CEILING(MAX('Komisyon Tarifeleri'!I94,($D94+$F94)/(1-H94/100-W94)),1),"İMKÂNSIZ")))))</f>
        <v/>
      </c>
      <c r="AE94" s="10">
        <f>IF(OR($D94="",$B94=""),"",IF(AND((1-T94/100-X94)&gt;0,CEILING(($D94+$F94)/(1-T94/100-X94),1)&lt;='Komisyon Tarifeleri'!N94),CEILING(($D94+$F94)/(1-T94/100-X94),1),IF(AND((1-P94/100-X94)&gt;0,CEILING(MAX('Komisyon Tarifeleri'!M94,($D94+$F94)/(1-P94/100-X94)),1)&lt;='Komisyon Tarifeleri'!L94),CEILING(MAX('Komisyon Tarifeleri'!M94,($D94+$F94)/(1-P94/100-X94)),1),IF(AND((1-L94/100-X94)&gt;0,CEILING(MAX('Komisyon Tarifeleri'!K94,($D94+$F94)/(1-L94/100-X94)),1)&lt;='Komisyon Tarifeleri'!J94),CEILING(MAX('Komisyon Tarifeleri'!K94,($D94+$F94)/(1-L94/100-X94)),1),IF((1-H94/100-X94)&gt;0,CEILING(MAX('Komisyon Tarifeleri'!I94,($D94+$F94)/(1-H94/100-X94)),1),"İMKÂNSIZ")))))</f>
        <v/>
      </c>
      <c r="AF94" s="16">
        <f>IF($D94="","",IF(AND(Y94&lt;&gt;"",AC94&lt;&gt;"",AC94&gt;=W94),Z94,IF(Y94&lt;&gt;"",AD94,AE94)))</f>
        <v/>
      </c>
      <c r="AG94" s="16">
        <f>IF(OR(AF94="",AF94="İMKÂNSIZ"),"",AF94*(1-IF(AF94&gt;='Komisyon Tarifeleri'!I94,IF($AM$1=2,'Komisyon Tarifeleri'!U94,'Komisyon Tarifeleri'!P94),IF(AF94&gt;='Komisyon Tarifeleri'!K94,IF($AM$1=2,'Komisyon Tarifeleri'!V94,'Komisyon Tarifeleri'!Q94),IF(AF94&gt;='Komisyon Tarifeleri'!M94,IF($AM$1=2,'Komisyon Tarifeleri'!W94,'Komisyon Tarifeleri'!R94),IF($AM$1=2,'Komisyon Tarifeleri'!X94,'Komisyon Tarifeleri'!S94))))/100)-$D94-IF(AF94&lt;=199.99,Kargo!$E$2,IF(AF94&lt;=399.99,Kargo!$E$3,$F94)))</f>
        <v/>
      </c>
      <c r="AH94" s="17">
        <f>IF(AG94="","",AG94/AF94)</f>
        <v/>
      </c>
      <c r="AI94" s="18">
        <f>IF($D94="","",IF(Y94="","BUYBOX YOK → hedef kârla min fiyat",IF(AC94&gt;=W94,"✓ BUYBOX ALTINA GİR","BUYBOX ALTI KÂRSIZ → min kârlı fiyat")))</f>
        <v/>
      </c>
      <c r="AJ94" s="10">
        <f>IF($B94="","",IFERROR(VLOOKUP($B94,Maliyetler!$A:$G,6,FALSE),""))</f>
        <v/>
      </c>
      <c r="AK94">
        <f>IF($B94="","",IFERROR(VLOOKUP($B94,Maliyetler!$A:$G,7,FALSE),""))</f>
        <v/>
      </c>
      <c r="AO94" s="21">
        <f>IF($B94="","",IFERROR(VLOOKUP($B94&amp;"",'Plus Tarifeleri'!$C:$Q,11,FALSE),""))</f>
        <v/>
      </c>
      <c r="AP94" s="22">
        <f>IF(AO94="","",IFERROR(IF($AM$1=2,VLOOKUP($B94&amp;"",'Plus Tarifeleri'!$C:$Q,15,FALSE),VLOOKUP($B94&amp;"",'Plus Tarifeleri'!$C:$Q,13,FALSE)),""))</f>
        <v/>
      </c>
      <c r="AQ94" s="21">
        <f>IF(OR(AO94="",AP94="",$D94=""),"",AO94*(1-AP94/100)-$D94-IF(AO94&lt;=199.99,Kargo!$E$2,IF(AO94&lt;=399.99,Kargo!$E$3,$F94)))</f>
        <v/>
      </c>
      <c r="AR94" s="23">
        <f>IF(AQ94="","",AQ94/AO94)</f>
        <v/>
      </c>
      <c r="AS94" s="24">
        <f>IF(OR(AQ94="",AG94=""),"",AQ94-AG94)</f>
        <v/>
      </c>
    </row>
    <row r="95">
      <c r="A95">
        <f>IF('Komisyon Tarifeleri'!A95="","",'Komisyon Tarifeleri'!A95)</f>
        <v/>
      </c>
      <c r="B95">
        <f>IF('Komisyon Tarifeleri'!B95="","",'Komisyon Tarifeleri'!B95&amp;"")</f>
        <v/>
      </c>
      <c r="C95">
        <f>IF($B95="","",'Komisyon Tarifeleri'!F95)</f>
        <v/>
      </c>
      <c r="D95" s="10">
        <f>IF($B95="","",IFERROR(VLOOKUP($B95,Maliyetler!$A:$E,3,FALSE),""))</f>
        <v/>
      </c>
      <c r="E95">
        <f>IF($B95="","",IFERROR(VLOOKUP($B95,Maliyetler!$A:$E,4,FALSE),1))</f>
        <v/>
      </c>
      <c r="F95" s="10">
        <f>IF($B95="","",IFERROR(VLOOKUP(MIN(20,MAX(1,ROUND($E95,0))),Kargo!$A:$B,2,FALSE),99.46))</f>
        <v/>
      </c>
      <c r="G95" s="10">
        <f>IF($B95="","",IF(IF(N('Komisyon Tarifeleri'!AA95)&gt;='Komisyon Tarifeleri'!I95,'Komisyon Tarifeleri'!AA95,'Komisyon Tarifeleri'!I95)="","",IF(N('Komisyon Tarifeleri'!AA95)&gt;='Komisyon Tarifeleri'!I95,'Komisyon Tarifeleri'!AA95,'Komisyon Tarifeleri'!I95)))</f>
        <v/>
      </c>
      <c r="H95" s="11">
        <f>IF(G95="","",IF($AM$1=2,'Komisyon Tarifeleri'!U95,'Komisyon Tarifeleri'!P95))</f>
        <v/>
      </c>
      <c r="I95" s="10">
        <f>IF(OR(G95="",$D95=""),"",G95*(1-H95/100)-$D95-IF(G95&lt;=199.99,Kargo!$E$2,IF(G95&lt;=399.99,Kargo!$E$3,$F95)))</f>
        <v/>
      </c>
      <c r="J95" s="12">
        <f>IF(I95="","",I95/G95)</f>
        <v/>
      </c>
      <c r="K95" s="10">
        <f>IF($B95="","",IF('Komisyon Tarifeleri'!J95="","",'Komisyon Tarifeleri'!J95))</f>
        <v/>
      </c>
      <c r="L95" s="11">
        <f>IF(K95="","",IF($AM$1=2,'Komisyon Tarifeleri'!V95,'Komisyon Tarifeleri'!Q95))</f>
        <v/>
      </c>
      <c r="M95" s="10">
        <f>IF(OR(K95="",$D95=""),"",K95*(1-L95/100)-$D95-IF(K95&lt;=199.99,Kargo!$E$2,IF(K95&lt;=399.99,Kargo!$E$3,$F95)))</f>
        <v/>
      </c>
      <c r="N95" s="12">
        <f>IF(M95="","",M95/K95)</f>
        <v/>
      </c>
      <c r="O95" s="10">
        <f>IF($B95="","",IF('Komisyon Tarifeleri'!L95="","",'Komisyon Tarifeleri'!L95))</f>
        <v/>
      </c>
      <c r="P95" s="11">
        <f>IF(O95="","",IF($AM$1=2,'Komisyon Tarifeleri'!W95,'Komisyon Tarifeleri'!R95))</f>
        <v/>
      </c>
      <c r="Q95" s="10">
        <f>IF(OR(O95="",$D95=""),"",O95*(1-P95/100)-$D95-IF(O95&lt;=199.99,Kargo!$E$2,IF(O95&lt;=399.99,Kargo!$E$3,$F95)))</f>
        <v/>
      </c>
      <c r="R95" s="12">
        <f>IF(Q95="","",Q95/O95)</f>
        <v/>
      </c>
      <c r="S95" s="10">
        <f>IF($B95="","",IF('Komisyon Tarifeleri'!N95="","",'Komisyon Tarifeleri'!N95))</f>
        <v/>
      </c>
      <c r="T95" s="11">
        <f>IF(S95="","",IF($AM$1=2,'Komisyon Tarifeleri'!X95,'Komisyon Tarifeleri'!S95))</f>
        <v/>
      </c>
      <c r="U95" s="10">
        <f>IF(OR(S95="",$D95=""),"",S95*(1-T95/100)-$D95-IF(S95&lt;=199.99,Kargo!$E$2,IF(S95&lt;=399.99,Kargo!$E$3,$F95)))</f>
        <v/>
      </c>
      <c r="V95" s="12">
        <f>IF(U95="","",U95/S95)</f>
        <v/>
      </c>
      <c r="W95" s="12">
        <f>IF($B95="","",IFERROR(VLOOKUP($C95,Hedefler!$A:$C,2,FALSE),0.04))</f>
        <v/>
      </c>
      <c r="X95" s="12">
        <f>IF($B95="","",IFERROR(VLOOKUP($C95,Hedefler!$A:$C,3,FALSE),0.1))</f>
        <v/>
      </c>
      <c r="Y95" s="13">
        <f>IF($B95="","",IFERROR(VLOOKUP($B95,Maliyetler!$A:$E,5,FALSE),""))</f>
        <v/>
      </c>
      <c r="Z95" s="13">
        <f>IF(OR(Y95="",Y95=0),"",Y95-1)</f>
        <v/>
      </c>
      <c r="AA95" s="14">
        <f>IF(Z95="","",IF(Z95&gt;='Komisyon Tarifeleri'!I95,IF($AM$1=2,'Komisyon Tarifeleri'!U95,'Komisyon Tarifeleri'!P95),IF(Z95&gt;='Komisyon Tarifeleri'!K95,IF($AM$1=2,'Komisyon Tarifeleri'!V95,'Komisyon Tarifeleri'!Q95),IF(Z95&gt;='Komisyon Tarifeleri'!M95,IF($AM$1=2,'Komisyon Tarifeleri'!W95,'Komisyon Tarifeleri'!R95),IF($AM$1=2,'Komisyon Tarifeleri'!X95,'Komisyon Tarifeleri'!S95)))))</f>
        <v/>
      </c>
      <c r="AB95" s="13">
        <f>IF(OR(AA95="",$D95=""),"",Z95*(1-AA95/100)-$D95-IF(Z95&lt;=199.99,Kargo!$E$2,IF(Z95&lt;=399.99,Kargo!$E$3,$F95)))</f>
        <v/>
      </c>
      <c r="AC95" s="15">
        <f>IF(AB95="","",AB95/Z95)</f>
        <v/>
      </c>
      <c r="AD95" s="10">
        <f>IF(OR($D95="",$B95=""),"",IF(AND((1-T95/100-W95)&gt;0,CEILING(($D95+$F95)/(1-T95/100-W95),1)&lt;='Komisyon Tarifeleri'!N95),CEILING(($D95+$F95)/(1-T95/100-W95),1),IF(AND((1-P95/100-W95)&gt;0,CEILING(MAX('Komisyon Tarifeleri'!M95,($D95+$F95)/(1-P95/100-W95)),1)&lt;='Komisyon Tarifeleri'!L95),CEILING(MAX('Komisyon Tarifeleri'!M95,($D95+$F95)/(1-P95/100-W95)),1),IF(AND((1-L95/100-W95)&gt;0,CEILING(MAX('Komisyon Tarifeleri'!K95,($D95+$F95)/(1-L95/100-W95)),1)&lt;='Komisyon Tarifeleri'!J95),CEILING(MAX('Komisyon Tarifeleri'!K95,($D95+$F95)/(1-L95/100-W95)),1),IF((1-H95/100-W95)&gt;0,CEILING(MAX('Komisyon Tarifeleri'!I95,($D95+$F95)/(1-H95/100-W95)),1),"İMKÂNSIZ")))))</f>
        <v/>
      </c>
      <c r="AE95" s="10">
        <f>IF(OR($D95="",$B95=""),"",IF(AND((1-T95/100-X95)&gt;0,CEILING(($D95+$F95)/(1-T95/100-X95),1)&lt;='Komisyon Tarifeleri'!N95),CEILING(($D95+$F95)/(1-T95/100-X95),1),IF(AND((1-P95/100-X95)&gt;0,CEILING(MAX('Komisyon Tarifeleri'!M95,($D95+$F95)/(1-P95/100-X95)),1)&lt;='Komisyon Tarifeleri'!L95),CEILING(MAX('Komisyon Tarifeleri'!M95,($D95+$F95)/(1-P95/100-X95)),1),IF(AND((1-L95/100-X95)&gt;0,CEILING(MAX('Komisyon Tarifeleri'!K95,($D95+$F95)/(1-L95/100-X95)),1)&lt;='Komisyon Tarifeleri'!J95),CEILING(MAX('Komisyon Tarifeleri'!K95,($D95+$F95)/(1-L95/100-X95)),1),IF((1-H95/100-X95)&gt;0,CEILING(MAX('Komisyon Tarifeleri'!I95,($D95+$F95)/(1-H95/100-X95)),1),"İMKÂNSIZ")))))</f>
        <v/>
      </c>
      <c r="AF95" s="16">
        <f>IF($D95="","",IF(AND(Y95&lt;&gt;"",AC95&lt;&gt;"",AC95&gt;=W95),Z95,IF(Y95&lt;&gt;"",AD95,AE95)))</f>
        <v/>
      </c>
      <c r="AG95" s="16">
        <f>IF(OR(AF95="",AF95="İMKÂNSIZ"),"",AF95*(1-IF(AF95&gt;='Komisyon Tarifeleri'!I95,IF($AM$1=2,'Komisyon Tarifeleri'!U95,'Komisyon Tarifeleri'!P95),IF(AF95&gt;='Komisyon Tarifeleri'!K95,IF($AM$1=2,'Komisyon Tarifeleri'!V95,'Komisyon Tarifeleri'!Q95),IF(AF95&gt;='Komisyon Tarifeleri'!M95,IF($AM$1=2,'Komisyon Tarifeleri'!W95,'Komisyon Tarifeleri'!R95),IF($AM$1=2,'Komisyon Tarifeleri'!X95,'Komisyon Tarifeleri'!S95))))/100)-$D95-IF(AF95&lt;=199.99,Kargo!$E$2,IF(AF95&lt;=399.99,Kargo!$E$3,$F95)))</f>
        <v/>
      </c>
      <c r="AH95" s="17">
        <f>IF(AG95="","",AG95/AF95)</f>
        <v/>
      </c>
      <c r="AI95" s="18">
        <f>IF($D95="","",IF(Y95="","BUYBOX YOK → hedef kârla min fiyat",IF(AC95&gt;=W95,"✓ BUYBOX ALTINA GİR","BUYBOX ALTI KÂRSIZ → min kârlı fiyat")))</f>
        <v/>
      </c>
      <c r="AJ95" s="10">
        <f>IF($B95="","",IFERROR(VLOOKUP($B95,Maliyetler!$A:$G,6,FALSE),""))</f>
        <v/>
      </c>
      <c r="AK95">
        <f>IF($B95="","",IFERROR(VLOOKUP($B95,Maliyetler!$A:$G,7,FALSE),""))</f>
        <v/>
      </c>
      <c r="AO95" s="21">
        <f>IF($B95="","",IFERROR(VLOOKUP($B95&amp;"",'Plus Tarifeleri'!$C:$Q,11,FALSE),""))</f>
        <v/>
      </c>
      <c r="AP95" s="22">
        <f>IF(AO95="","",IFERROR(IF($AM$1=2,VLOOKUP($B95&amp;"",'Plus Tarifeleri'!$C:$Q,15,FALSE),VLOOKUP($B95&amp;"",'Plus Tarifeleri'!$C:$Q,13,FALSE)),""))</f>
        <v/>
      </c>
      <c r="AQ95" s="21">
        <f>IF(OR(AO95="",AP95="",$D95=""),"",AO95*(1-AP95/100)-$D95-IF(AO95&lt;=199.99,Kargo!$E$2,IF(AO95&lt;=399.99,Kargo!$E$3,$F95)))</f>
        <v/>
      </c>
      <c r="AR95" s="23">
        <f>IF(AQ95="","",AQ95/AO95)</f>
        <v/>
      </c>
      <c r="AS95" s="24">
        <f>IF(OR(AQ95="",AG95=""),"",AQ95-AG95)</f>
        <v/>
      </c>
    </row>
    <row r="96">
      <c r="A96">
        <f>IF('Komisyon Tarifeleri'!A96="","",'Komisyon Tarifeleri'!A96)</f>
        <v/>
      </c>
      <c r="B96">
        <f>IF('Komisyon Tarifeleri'!B96="","",'Komisyon Tarifeleri'!B96&amp;"")</f>
        <v/>
      </c>
      <c r="C96">
        <f>IF($B96="","",'Komisyon Tarifeleri'!F96)</f>
        <v/>
      </c>
      <c r="D96" s="10">
        <f>IF($B96="","",IFERROR(VLOOKUP($B96,Maliyetler!$A:$E,3,FALSE),""))</f>
        <v/>
      </c>
      <c r="E96">
        <f>IF($B96="","",IFERROR(VLOOKUP($B96,Maliyetler!$A:$E,4,FALSE),1))</f>
        <v/>
      </c>
      <c r="F96" s="10">
        <f>IF($B96="","",IFERROR(VLOOKUP(MIN(20,MAX(1,ROUND($E96,0))),Kargo!$A:$B,2,FALSE),99.46))</f>
        <v/>
      </c>
      <c r="G96" s="10">
        <f>IF($B96="","",IF(IF(N('Komisyon Tarifeleri'!AA96)&gt;='Komisyon Tarifeleri'!I96,'Komisyon Tarifeleri'!AA96,'Komisyon Tarifeleri'!I96)="","",IF(N('Komisyon Tarifeleri'!AA96)&gt;='Komisyon Tarifeleri'!I96,'Komisyon Tarifeleri'!AA96,'Komisyon Tarifeleri'!I96)))</f>
        <v/>
      </c>
      <c r="H96" s="11">
        <f>IF(G96="","",IF($AM$1=2,'Komisyon Tarifeleri'!U96,'Komisyon Tarifeleri'!P96))</f>
        <v/>
      </c>
      <c r="I96" s="10">
        <f>IF(OR(G96="",$D96=""),"",G96*(1-H96/100)-$D96-IF(G96&lt;=199.99,Kargo!$E$2,IF(G96&lt;=399.99,Kargo!$E$3,$F96)))</f>
        <v/>
      </c>
      <c r="J96" s="12">
        <f>IF(I96="","",I96/G96)</f>
        <v/>
      </c>
      <c r="K96" s="10">
        <f>IF($B96="","",IF('Komisyon Tarifeleri'!J96="","",'Komisyon Tarifeleri'!J96))</f>
        <v/>
      </c>
      <c r="L96" s="11">
        <f>IF(K96="","",IF($AM$1=2,'Komisyon Tarifeleri'!V96,'Komisyon Tarifeleri'!Q96))</f>
        <v/>
      </c>
      <c r="M96" s="10">
        <f>IF(OR(K96="",$D96=""),"",K96*(1-L96/100)-$D96-IF(K96&lt;=199.99,Kargo!$E$2,IF(K96&lt;=399.99,Kargo!$E$3,$F96)))</f>
        <v/>
      </c>
      <c r="N96" s="12">
        <f>IF(M96="","",M96/K96)</f>
        <v/>
      </c>
      <c r="O96" s="10">
        <f>IF($B96="","",IF('Komisyon Tarifeleri'!L96="","",'Komisyon Tarifeleri'!L96))</f>
        <v/>
      </c>
      <c r="P96" s="11">
        <f>IF(O96="","",IF($AM$1=2,'Komisyon Tarifeleri'!W96,'Komisyon Tarifeleri'!R96))</f>
        <v/>
      </c>
      <c r="Q96" s="10">
        <f>IF(OR(O96="",$D96=""),"",O96*(1-P96/100)-$D96-IF(O96&lt;=199.99,Kargo!$E$2,IF(O96&lt;=399.99,Kargo!$E$3,$F96)))</f>
        <v/>
      </c>
      <c r="R96" s="12">
        <f>IF(Q96="","",Q96/O96)</f>
        <v/>
      </c>
      <c r="S96" s="10">
        <f>IF($B96="","",IF('Komisyon Tarifeleri'!N96="","",'Komisyon Tarifeleri'!N96))</f>
        <v/>
      </c>
      <c r="T96" s="11">
        <f>IF(S96="","",IF($AM$1=2,'Komisyon Tarifeleri'!X96,'Komisyon Tarifeleri'!S96))</f>
        <v/>
      </c>
      <c r="U96" s="10">
        <f>IF(OR(S96="",$D96=""),"",S96*(1-T96/100)-$D96-IF(S96&lt;=199.99,Kargo!$E$2,IF(S96&lt;=399.99,Kargo!$E$3,$F96)))</f>
        <v/>
      </c>
      <c r="V96" s="12">
        <f>IF(U96="","",U96/S96)</f>
        <v/>
      </c>
      <c r="W96" s="12">
        <f>IF($B96="","",IFERROR(VLOOKUP($C96,Hedefler!$A:$C,2,FALSE),0.04))</f>
        <v/>
      </c>
      <c r="X96" s="12">
        <f>IF($B96="","",IFERROR(VLOOKUP($C96,Hedefler!$A:$C,3,FALSE),0.1))</f>
        <v/>
      </c>
      <c r="Y96" s="13">
        <f>IF($B96="","",IFERROR(VLOOKUP($B96,Maliyetler!$A:$E,5,FALSE),""))</f>
        <v/>
      </c>
      <c r="Z96" s="13">
        <f>IF(OR(Y96="",Y96=0),"",Y96-1)</f>
        <v/>
      </c>
      <c r="AA96" s="14">
        <f>IF(Z96="","",IF(Z96&gt;='Komisyon Tarifeleri'!I96,IF($AM$1=2,'Komisyon Tarifeleri'!U96,'Komisyon Tarifeleri'!P96),IF(Z96&gt;='Komisyon Tarifeleri'!K96,IF($AM$1=2,'Komisyon Tarifeleri'!V96,'Komisyon Tarifeleri'!Q96),IF(Z96&gt;='Komisyon Tarifeleri'!M96,IF($AM$1=2,'Komisyon Tarifeleri'!W96,'Komisyon Tarifeleri'!R96),IF($AM$1=2,'Komisyon Tarifeleri'!X96,'Komisyon Tarifeleri'!S96)))))</f>
        <v/>
      </c>
      <c r="AB96" s="13">
        <f>IF(OR(AA96="",$D96=""),"",Z96*(1-AA96/100)-$D96-IF(Z96&lt;=199.99,Kargo!$E$2,IF(Z96&lt;=399.99,Kargo!$E$3,$F96)))</f>
        <v/>
      </c>
      <c r="AC96" s="15">
        <f>IF(AB96="","",AB96/Z96)</f>
        <v/>
      </c>
      <c r="AD96" s="10">
        <f>IF(OR($D96="",$B96=""),"",IF(AND((1-T96/100-W96)&gt;0,CEILING(($D96+$F96)/(1-T96/100-W96),1)&lt;='Komisyon Tarifeleri'!N96),CEILING(($D96+$F96)/(1-T96/100-W96),1),IF(AND((1-P96/100-W96)&gt;0,CEILING(MAX('Komisyon Tarifeleri'!M96,($D96+$F96)/(1-P96/100-W96)),1)&lt;='Komisyon Tarifeleri'!L96),CEILING(MAX('Komisyon Tarifeleri'!M96,($D96+$F96)/(1-P96/100-W96)),1),IF(AND((1-L96/100-W96)&gt;0,CEILING(MAX('Komisyon Tarifeleri'!K96,($D96+$F96)/(1-L96/100-W96)),1)&lt;='Komisyon Tarifeleri'!J96),CEILING(MAX('Komisyon Tarifeleri'!K96,($D96+$F96)/(1-L96/100-W96)),1),IF((1-H96/100-W96)&gt;0,CEILING(MAX('Komisyon Tarifeleri'!I96,($D96+$F96)/(1-H96/100-W96)),1),"İMKÂNSIZ")))))</f>
        <v/>
      </c>
      <c r="AE96" s="10">
        <f>IF(OR($D96="",$B96=""),"",IF(AND((1-T96/100-X96)&gt;0,CEILING(($D96+$F96)/(1-T96/100-X96),1)&lt;='Komisyon Tarifeleri'!N96),CEILING(($D96+$F96)/(1-T96/100-X96),1),IF(AND((1-P96/100-X96)&gt;0,CEILING(MAX('Komisyon Tarifeleri'!M96,($D96+$F96)/(1-P96/100-X96)),1)&lt;='Komisyon Tarifeleri'!L96),CEILING(MAX('Komisyon Tarifeleri'!M96,($D96+$F96)/(1-P96/100-X96)),1),IF(AND((1-L96/100-X96)&gt;0,CEILING(MAX('Komisyon Tarifeleri'!K96,($D96+$F96)/(1-L96/100-X96)),1)&lt;='Komisyon Tarifeleri'!J96),CEILING(MAX('Komisyon Tarifeleri'!K96,($D96+$F96)/(1-L96/100-X96)),1),IF((1-H96/100-X96)&gt;0,CEILING(MAX('Komisyon Tarifeleri'!I96,($D96+$F96)/(1-H96/100-X96)),1),"İMKÂNSIZ")))))</f>
        <v/>
      </c>
      <c r="AF96" s="16">
        <f>IF($D96="","",IF(AND(Y96&lt;&gt;"",AC96&lt;&gt;"",AC96&gt;=W96),Z96,IF(Y96&lt;&gt;"",AD96,AE96)))</f>
        <v/>
      </c>
      <c r="AG96" s="16">
        <f>IF(OR(AF96="",AF96="İMKÂNSIZ"),"",AF96*(1-IF(AF96&gt;='Komisyon Tarifeleri'!I96,IF($AM$1=2,'Komisyon Tarifeleri'!U96,'Komisyon Tarifeleri'!P96),IF(AF96&gt;='Komisyon Tarifeleri'!K96,IF($AM$1=2,'Komisyon Tarifeleri'!V96,'Komisyon Tarifeleri'!Q96),IF(AF96&gt;='Komisyon Tarifeleri'!M96,IF($AM$1=2,'Komisyon Tarifeleri'!W96,'Komisyon Tarifeleri'!R96),IF($AM$1=2,'Komisyon Tarifeleri'!X96,'Komisyon Tarifeleri'!S96))))/100)-$D96-IF(AF96&lt;=199.99,Kargo!$E$2,IF(AF96&lt;=399.99,Kargo!$E$3,$F96)))</f>
        <v/>
      </c>
      <c r="AH96" s="17">
        <f>IF(AG96="","",AG96/AF96)</f>
        <v/>
      </c>
      <c r="AI96" s="18">
        <f>IF($D96="","",IF(Y96="","BUYBOX YOK → hedef kârla min fiyat",IF(AC96&gt;=W96,"✓ BUYBOX ALTINA GİR","BUYBOX ALTI KÂRSIZ → min kârlı fiyat")))</f>
        <v/>
      </c>
      <c r="AJ96" s="10">
        <f>IF($B96="","",IFERROR(VLOOKUP($B96,Maliyetler!$A:$G,6,FALSE),""))</f>
        <v/>
      </c>
      <c r="AK96">
        <f>IF($B96="","",IFERROR(VLOOKUP($B96,Maliyetler!$A:$G,7,FALSE),""))</f>
        <v/>
      </c>
      <c r="AO96" s="21">
        <f>IF($B96="","",IFERROR(VLOOKUP($B96&amp;"",'Plus Tarifeleri'!$C:$Q,11,FALSE),""))</f>
        <v/>
      </c>
      <c r="AP96" s="22">
        <f>IF(AO96="","",IFERROR(IF($AM$1=2,VLOOKUP($B96&amp;"",'Plus Tarifeleri'!$C:$Q,15,FALSE),VLOOKUP($B96&amp;"",'Plus Tarifeleri'!$C:$Q,13,FALSE)),""))</f>
        <v/>
      </c>
      <c r="AQ96" s="21">
        <f>IF(OR(AO96="",AP96="",$D96=""),"",AO96*(1-AP96/100)-$D96-IF(AO96&lt;=199.99,Kargo!$E$2,IF(AO96&lt;=399.99,Kargo!$E$3,$F96)))</f>
        <v/>
      </c>
      <c r="AR96" s="23">
        <f>IF(AQ96="","",AQ96/AO96)</f>
        <v/>
      </c>
      <c r="AS96" s="24">
        <f>IF(OR(AQ96="",AG96=""),"",AQ96-AG96)</f>
        <v/>
      </c>
    </row>
    <row r="97">
      <c r="A97">
        <f>IF('Komisyon Tarifeleri'!A97="","",'Komisyon Tarifeleri'!A97)</f>
        <v/>
      </c>
      <c r="B97">
        <f>IF('Komisyon Tarifeleri'!B97="","",'Komisyon Tarifeleri'!B97&amp;"")</f>
        <v/>
      </c>
      <c r="C97">
        <f>IF($B97="","",'Komisyon Tarifeleri'!F97)</f>
        <v/>
      </c>
      <c r="D97" s="10">
        <f>IF($B97="","",IFERROR(VLOOKUP($B97,Maliyetler!$A:$E,3,FALSE),""))</f>
        <v/>
      </c>
      <c r="E97">
        <f>IF($B97="","",IFERROR(VLOOKUP($B97,Maliyetler!$A:$E,4,FALSE),1))</f>
        <v/>
      </c>
      <c r="F97" s="10">
        <f>IF($B97="","",IFERROR(VLOOKUP(MIN(20,MAX(1,ROUND($E97,0))),Kargo!$A:$B,2,FALSE),99.46))</f>
        <v/>
      </c>
      <c r="G97" s="10">
        <f>IF($B97="","",IF(IF(N('Komisyon Tarifeleri'!AA97)&gt;='Komisyon Tarifeleri'!I97,'Komisyon Tarifeleri'!AA97,'Komisyon Tarifeleri'!I97)="","",IF(N('Komisyon Tarifeleri'!AA97)&gt;='Komisyon Tarifeleri'!I97,'Komisyon Tarifeleri'!AA97,'Komisyon Tarifeleri'!I97)))</f>
        <v/>
      </c>
      <c r="H97" s="11">
        <f>IF(G97="","",IF($AM$1=2,'Komisyon Tarifeleri'!U97,'Komisyon Tarifeleri'!P97))</f>
        <v/>
      </c>
      <c r="I97" s="10">
        <f>IF(OR(G97="",$D97=""),"",G97*(1-H97/100)-$D97-IF(G97&lt;=199.99,Kargo!$E$2,IF(G97&lt;=399.99,Kargo!$E$3,$F97)))</f>
        <v/>
      </c>
      <c r="J97" s="12">
        <f>IF(I97="","",I97/G97)</f>
        <v/>
      </c>
      <c r="K97" s="10">
        <f>IF($B97="","",IF('Komisyon Tarifeleri'!J97="","",'Komisyon Tarifeleri'!J97))</f>
        <v/>
      </c>
      <c r="L97" s="11">
        <f>IF(K97="","",IF($AM$1=2,'Komisyon Tarifeleri'!V97,'Komisyon Tarifeleri'!Q97))</f>
        <v/>
      </c>
      <c r="M97" s="10">
        <f>IF(OR(K97="",$D97=""),"",K97*(1-L97/100)-$D97-IF(K97&lt;=199.99,Kargo!$E$2,IF(K97&lt;=399.99,Kargo!$E$3,$F97)))</f>
        <v/>
      </c>
      <c r="N97" s="12">
        <f>IF(M97="","",M97/K97)</f>
        <v/>
      </c>
      <c r="O97" s="10">
        <f>IF($B97="","",IF('Komisyon Tarifeleri'!L97="","",'Komisyon Tarifeleri'!L97))</f>
        <v/>
      </c>
      <c r="P97" s="11">
        <f>IF(O97="","",IF($AM$1=2,'Komisyon Tarifeleri'!W97,'Komisyon Tarifeleri'!R97))</f>
        <v/>
      </c>
      <c r="Q97" s="10">
        <f>IF(OR(O97="",$D97=""),"",O97*(1-P97/100)-$D97-IF(O97&lt;=199.99,Kargo!$E$2,IF(O97&lt;=399.99,Kargo!$E$3,$F97)))</f>
        <v/>
      </c>
      <c r="R97" s="12">
        <f>IF(Q97="","",Q97/O97)</f>
        <v/>
      </c>
      <c r="S97" s="10">
        <f>IF($B97="","",IF('Komisyon Tarifeleri'!N97="","",'Komisyon Tarifeleri'!N97))</f>
        <v/>
      </c>
      <c r="T97" s="11">
        <f>IF(S97="","",IF($AM$1=2,'Komisyon Tarifeleri'!X97,'Komisyon Tarifeleri'!S97))</f>
        <v/>
      </c>
      <c r="U97" s="10">
        <f>IF(OR(S97="",$D97=""),"",S97*(1-T97/100)-$D97-IF(S97&lt;=199.99,Kargo!$E$2,IF(S97&lt;=399.99,Kargo!$E$3,$F97)))</f>
        <v/>
      </c>
      <c r="V97" s="12">
        <f>IF(U97="","",U97/S97)</f>
        <v/>
      </c>
      <c r="W97" s="12">
        <f>IF($B97="","",IFERROR(VLOOKUP($C97,Hedefler!$A:$C,2,FALSE),0.04))</f>
        <v/>
      </c>
      <c r="X97" s="12">
        <f>IF($B97="","",IFERROR(VLOOKUP($C97,Hedefler!$A:$C,3,FALSE),0.1))</f>
        <v/>
      </c>
      <c r="Y97" s="13">
        <f>IF($B97="","",IFERROR(VLOOKUP($B97,Maliyetler!$A:$E,5,FALSE),""))</f>
        <v/>
      </c>
      <c r="Z97" s="13">
        <f>IF(OR(Y97="",Y97=0),"",Y97-1)</f>
        <v/>
      </c>
      <c r="AA97" s="14">
        <f>IF(Z97="","",IF(Z97&gt;='Komisyon Tarifeleri'!I97,IF($AM$1=2,'Komisyon Tarifeleri'!U97,'Komisyon Tarifeleri'!P97),IF(Z97&gt;='Komisyon Tarifeleri'!K97,IF($AM$1=2,'Komisyon Tarifeleri'!V97,'Komisyon Tarifeleri'!Q97),IF(Z97&gt;='Komisyon Tarifeleri'!M97,IF($AM$1=2,'Komisyon Tarifeleri'!W97,'Komisyon Tarifeleri'!R97),IF($AM$1=2,'Komisyon Tarifeleri'!X97,'Komisyon Tarifeleri'!S97)))))</f>
        <v/>
      </c>
      <c r="AB97" s="13">
        <f>IF(OR(AA97="",$D97=""),"",Z97*(1-AA97/100)-$D97-IF(Z97&lt;=199.99,Kargo!$E$2,IF(Z97&lt;=399.99,Kargo!$E$3,$F97)))</f>
        <v/>
      </c>
      <c r="AC97" s="15">
        <f>IF(AB97="","",AB97/Z97)</f>
        <v/>
      </c>
      <c r="AD97" s="10">
        <f>IF(OR($D97="",$B97=""),"",IF(AND((1-T97/100-W97)&gt;0,CEILING(($D97+$F97)/(1-T97/100-W97),1)&lt;='Komisyon Tarifeleri'!N97),CEILING(($D97+$F97)/(1-T97/100-W97),1),IF(AND((1-P97/100-W97)&gt;0,CEILING(MAX('Komisyon Tarifeleri'!M97,($D97+$F97)/(1-P97/100-W97)),1)&lt;='Komisyon Tarifeleri'!L97),CEILING(MAX('Komisyon Tarifeleri'!M97,($D97+$F97)/(1-P97/100-W97)),1),IF(AND((1-L97/100-W97)&gt;0,CEILING(MAX('Komisyon Tarifeleri'!K97,($D97+$F97)/(1-L97/100-W97)),1)&lt;='Komisyon Tarifeleri'!J97),CEILING(MAX('Komisyon Tarifeleri'!K97,($D97+$F97)/(1-L97/100-W97)),1),IF((1-H97/100-W97)&gt;0,CEILING(MAX('Komisyon Tarifeleri'!I97,($D97+$F97)/(1-H97/100-W97)),1),"İMKÂNSIZ")))))</f>
        <v/>
      </c>
      <c r="AE97" s="10">
        <f>IF(OR($D97="",$B97=""),"",IF(AND((1-T97/100-X97)&gt;0,CEILING(($D97+$F97)/(1-T97/100-X97),1)&lt;='Komisyon Tarifeleri'!N97),CEILING(($D97+$F97)/(1-T97/100-X97),1),IF(AND((1-P97/100-X97)&gt;0,CEILING(MAX('Komisyon Tarifeleri'!M97,($D97+$F97)/(1-P97/100-X97)),1)&lt;='Komisyon Tarifeleri'!L97),CEILING(MAX('Komisyon Tarifeleri'!M97,($D97+$F97)/(1-P97/100-X97)),1),IF(AND((1-L97/100-X97)&gt;0,CEILING(MAX('Komisyon Tarifeleri'!K97,($D97+$F97)/(1-L97/100-X97)),1)&lt;='Komisyon Tarifeleri'!J97),CEILING(MAX('Komisyon Tarifeleri'!K97,($D97+$F97)/(1-L97/100-X97)),1),IF((1-H97/100-X97)&gt;0,CEILING(MAX('Komisyon Tarifeleri'!I97,($D97+$F97)/(1-H97/100-X97)),1),"İMKÂNSIZ")))))</f>
        <v/>
      </c>
      <c r="AF97" s="16">
        <f>IF($D97="","",IF(AND(Y97&lt;&gt;"",AC97&lt;&gt;"",AC97&gt;=W97),Z97,IF(Y97&lt;&gt;"",AD97,AE97)))</f>
        <v/>
      </c>
      <c r="AG97" s="16">
        <f>IF(OR(AF97="",AF97="İMKÂNSIZ"),"",AF97*(1-IF(AF97&gt;='Komisyon Tarifeleri'!I97,IF($AM$1=2,'Komisyon Tarifeleri'!U97,'Komisyon Tarifeleri'!P97),IF(AF97&gt;='Komisyon Tarifeleri'!K97,IF($AM$1=2,'Komisyon Tarifeleri'!V97,'Komisyon Tarifeleri'!Q97),IF(AF97&gt;='Komisyon Tarifeleri'!M97,IF($AM$1=2,'Komisyon Tarifeleri'!W97,'Komisyon Tarifeleri'!R97),IF($AM$1=2,'Komisyon Tarifeleri'!X97,'Komisyon Tarifeleri'!S97))))/100)-$D97-IF(AF97&lt;=199.99,Kargo!$E$2,IF(AF97&lt;=399.99,Kargo!$E$3,$F97)))</f>
        <v/>
      </c>
      <c r="AH97" s="17">
        <f>IF(AG97="","",AG97/AF97)</f>
        <v/>
      </c>
      <c r="AI97" s="18">
        <f>IF($D97="","",IF(Y97="","BUYBOX YOK → hedef kârla min fiyat",IF(AC97&gt;=W97,"✓ BUYBOX ALTINA GİR","BUYBOX ALTI KÂRSIZ → min kârlı fiyat")))</f>
        <v/>
      </c>
      <c r="AJ97" s="10">
        <f>IF($B97="","",IFERROR(VLOOKUP($B97,Maliyetler!$A:$G,6,FALSE),""))</f>
        <v/>
      </c>
      <c r="AK97">
        <f>IF($B97="","",IFERROR(VLOOKUP($B97,Maliyetler!$A:$G,7,FALSE),""))</f>
        <v/>
      </c>
      <c r="AO97" s="21">
        <f>IF($B97="","",IFERROR(VLOOKUP($B97&amp;"",'Plus Tarifeleri'!$C:$Q,11,FALSE),""))</f>
        <v/>
      </c>
      <c r="AP97" s="22">
        <f>IF(AO97="","",IFERROR(IF($AM$1=2,VLOOKUP($B97&amp;"",'Plus Tarifeleri'!$C:$Q,15,FALSE),VLOOKUP($B97&amp;"",'Plus Tarifeleri'!$C:$Q,13,FALSE)),""))</f>
        <v/>
      </c>
      <c r="AQ97" s="21">
        <f>IF(OR(AO97="",AP97="",$D97=""),"",AO97*(1-AP97/100)-$D97-IF(AO97&lt;=199.99,Kargo!$E$2,IF(AO97&lt;=399.99,Kargo!$E$3,$F97)))</f>
        <v/>
      </c>
      <c r="AR97" s="23">
        <f>IF(AQ97="","",AQ97/AO97)</f>
        <v/>
      </c>
      <c r="AS97" s="24">
        <f>IF(OR(AQ97="",AG97=""),"",AQ97-AG97)</f>
        <v/>
      </c>
    </row>
    <row r="98">
      <c r="A98">
        <f>IF('Komisyon Tarifeleri'!A98="","",'Komisyon Tarifeleri'!A98)</f>
        <v/>
      </c>
      <c r="B98">
        <f>IF('Komisyon Tarifeleri'!B98="","",'Komisyon Tarifeleri'!B98&amp;"")</f>
        <v/>
      </c>
      <c r="C98">
        <f>IF($B98="","",'Komisyon Tarifeleri'!F98)</f>
        <v/>
      </c>
      <c r="D98" s="10">
        <f>IF($B98="","",IFERROR(VLOOKUP($B98,Maliyetler!$A:$E,3,FALSE),""))</f>
        <v/>
      </c>
      <c r="E98">
        <f>IF($B98="","",IFERROR(VLOOKUP($B98,Maliyetler!$A:$E,4,FALSE),1))</f>
        <v/>
      </c>
      <c r="F98" s="10">
        <f>IF($B98="","",IFERROR(VLOOKUP(MIN(20,MAX(1,ROUND($E98,0))),Kargo!$A:$B,2,FALSE),99.46))</f>
        <v/>
      </c>
      <c r="G98" s="10">
        <f>IF($B98="","",IF(IF(N('Komisyon Tarifeleri'!AA98)&gt;='Komisyon Tarifeleri'!I98,'Komisyon Tarifeleri'!AA98,'Komisyon Tarifeleri'!I98)="","",IF(N('Komisyon Tarifeleri'!AA98)&gt;='Komisyon Tarifeleri'!I98,'Komisyon Tarifeleri'!AA98,'Komisyon Tarifeleri'!I98)))</f>
        <v/>
      </c>
      <c r="H98" s="11">
        <f>IF(G98="","",IF($AM$1=2,'Komisyon Tarifeleri'!U98,'Komisyon Tarifeleri'!P98))</f>
        <v/>
      </c>
      <c r="I98" s="10">
        <f>IF(OR(G98="",$D98=""),"",G98*(1-H98/100)-$D98-IF(G98&lt;=199.99,Kargo!$E$2,IF(G98&lt;=399.99,Kargo!$E$3,$F98)))</f>
        <v/>
      </c>
      <c r="J98" s="12">
        <f>IF(I98="","",I98/G98)</f>
        <v/>
      </c>
      <c r="K98" s="10">
        <f>IF($B98="","",IF('Komisyon Tarifeleri'!J98="","",'Komisyon Tarifeleri'!J98))</f>
        <v/>
      </c>
      <c r="L98" s="11">
        <f>IF(K98="","",IF($AM$1=2,'Komisyon Tarifeleri'!V98,'Komisyon Tarifeleri'!Q98))</f>
        <v/>
      </c>
      <c r="M98" s="10">
        <f>IF(OR(K98="",$D98=""),"",K98*(1-L98/100)-$D98-IF(K98&lt;=199.99,Kargo!$E$2,IF(K98&lt;=399.99,Kargo!$E$3,$F98)))</f>
        <v/>
      </c>
      <c r="N98" s="12">
        <f>IF(M98="","",M98/K98)</f>
        <v/>
      </c>
      <c r="O98" s="10">
        <f>IF($B98="","",IF('Komisyon Tarifeleri'!L98="","",'Komisyon Tarifeleri'!L98))</f>
        <v/>
      </c>
      <c r="P98" s="11">
        <f>IF(O98="","",IF($AM$1=2,'Komisyon Tarifeleri'!W98,'Komisyon Tarifeleri'!R98))</f>
        <v/>
      </c>
      <c r="Q98" s="10">
        <f>IF(OR(O98="",$D98=""),"",O98*(1-P98/100)-$D98-IF(O98&lt;=199.99,Kargo!$E$2,IF(O98&lt;=399.99,Kargo!$E$3,$F98)))</f>
        <v/>
      </c>
      <c r="R98" s="12">
        <f>IF(Q98="","",Q98/O98)</f>
        <v/>
      </c>
      <c r="S98" s="10">
        <f>IF($B98="","",IF('Komisyon Tarifeleri'!N98="","",'Komisyon Tarifeleri'!N98))</f>
        <v/>
      </c>
      <c r="T98" s="11">
        <f>IF(S98="","",IF($AM$1=2,'Komisyon Tarifeleri'!X98,'Komisyon Tarifeleri'!S98))</f>
        <v/>
      </c>
      <c r="U98" s="10">
        <f>IF(OR(S98="",$D98=""),"",S98*(1-T98/100)-$D98-IF(S98&lt;=199.99,Kargo!$E$2,IF(S98&lt;=399.99,Kargo!$E$3,$F98)))</f>
        <v/>
      </c>
      <c r="V98" s="12">
        <f>IF(U98="","",U98/S98)</f>
        <v/>
      </c>
      <c r="W98" s="12">
        <f>IF($B98="","",IFERROR(VLOOKUP($C98,Hedefler!$A:$C,2,FALSE),0.04))</f>
        <v/>
      </c>
      <c r="X98" s="12">
        <f>IF($B98="","",IFERROR(VLOOKUP($C98,Hedefler!$A:$C,3,FALSE),0.1))</f>
        <v/>
      </c>
      <c r="Y98" s="13">
        <f>IF($B98="","",IFERROR(VLOOKUP($B98,Maliyetler!$A:$E,5,FALSE),""))</f>
        <v/>
      </c>
      <c r="Z98" s="13">
        <f>IF(OR(Y98="",Y98=0),"",Y98-1)</f>
        <v/>
      </c>
      <c r="AA98" s="14">
        <f>IF(Z98="","",IF(Z98&gt;='Komisyon Tarifeleri'!I98,IF($AM$1=2,'Komisyon Tarifeleri'!U98,'Komisyon Tarifeleri'!P98),IF(Z98&gt;='Komisyon Tarifeleri'!K98,IF($AM$1=2,'Komisyon Tarifeleri'!V98,'Komisyon Tarifeleri'!Q98),IF(Z98&gt;='Komisyon Tarifeleri'!M98,IF($AM$1=2,'Komisyon Tarifeleri'!W98,'Komisyon Tarifeleri'!R98),IF($AM$1=2,'Komisyon Tarifeleri'!X98,'Komisyon Tarifeleri'!S98)))))</f>
        <v/>
      </c>
      <c r="AB98" s="13">
        <f>IF(OR(AA98="",$D98=""),"",Z98*(1-AA98/100)-$D98-IF(Z98&lt;=199.99,Kargo!$E$2,IF(Z98&lt;=399.99,Kargo!$E$3,$F98)))</f>
        <v/>
      </c>
      <c r="AC98" s="15">
        <f>IF(AB98="","",AB98/Z98)</f>
        <v/>
      </c>
      <c r="AD98" s="10">
        <f>IF(OR($D98="",$B98=""),"",IF(AND((1-T98/100-W98)&gt;0,CEILING(($D98+$F98)/(1-T98/100-W98),1)&lt;='Komisyon Tarifeleri'!N98),CEILING(($D98+$F98)/(1-T98/100-W98),1),IF(AND((1-P98/100-W98)&gt;0,CEILING(MAX('Komisyon Tarifeleri'!M98,($D98+$F98)/(1-P98/100-W98)),1)&lt;='Komisyon Tarifeleri'!L98),CEILING(MAX('Komisyon Tarifeleri'!M98,($D98+$F98)/(1-P98/100-W98)),1),IF(AND((1-L98/100-W98)&gt;0,CEILING(MAX('Komisyon Tarifeleri'!K98,($D98+$F98)/(1-L98/100-W98)),1)&lt;='Komisyon Tarifeleri'!J98),CEILING(MAX('Komisyon Tarifeleri'!K98,($D98+$F98)/(1-L98/100-W98)),1),IF((1-H98/100-W98)&gt;0,CEILING(MAX('Komisyon Tarifeleri'!I98,($D98+$F98)/(1-H98/100-W98)),1),"İMKÂNSIZ")))))</f>
        <v/>
      </c>
      <c r="AE98" s="10">
        <f>IF(OR($D98="",$B98=""),"",IF(AND((1-T98/100-X98)&gt;0,CEILING(($D98+$F98)/(1-T98/100-X98),1)&lt;='Komisyon Tarifeleri'!N98),CEILING(($D98+$F98)/(1-T98/100-X98),1),IF(AND((1-P98/100-X98)&gt;0,CEILING(MAX('Komisyon Tarifeleri'!M98,($D98+$F98)/(1-P98/100-X98)),1)&lt;='Komisyon Tarifeleri'!L98),CEILING(MAX('Komisyon Tarifeleri'!M98,($D98+$F98)/(1-P98/100-X98)),1),IF(AND((1-L98/100-X98)&gt;0,CEILING(MAX('Komisyon Tarifeleri'!K98,($D98+$F98)/(1-L98/100-X98)),1)&lt;='Komisyon Tarifeleri'!J98),CEILING(MAX('Komisyon Tarifeleri'!K98,($D98+$F98)/(1-L98/100-X98)),1),IF((1-H98/100-X98)&gt;0,CEILING(MAX('Komisyon Tarifeleri'!I98,($D98+$F98)/(1-H98/100-X98)),1),"İMKÂNSIZ")))))</f>
        <v/>
      </c>
      <c r="AF98" s="16">
        <f>IF($D98="","",IF(AND(Y98&lt;&gt;"",AC98&lt;&gt;"",AC98&gt;=W98),Z98,IF(Y98&lt;&gt;"",AD98,AE98)))</f>
        <v/>
      </c>
      <c r="AG98" s="16">
        <f>IF(OR(AF98="",AF98="İMKÂNSIZ"),"",AF98*(1-IF(AF98&gt;='Komisyon Tarifeleri'!I98,IF($AM$1=2,'Komisyon Tarifeleri'!U98,'Komisyon Tarifeleri'!P98),IF(AF98&gt;='Komisyon Tarifeleri'!K98,IF($AM$1=2,'Komisyon Tarifeleri'!V98,'Komisyon Tarifeleri'!Q98),IF(AF98&gt;='Komisyon Tarifeleri'!M98,IF($AM$1=2,'Komisyon Tarifeleri'!W98,'Komisyon Tarifeleri'!R98),IF($AM$1=2,'Komisyon Tarifeleri'!X98,'Komisyon Tarifeleri'!S98))))/100)-$D98-IF(AF98&lt;=199.99,Kargo!$E$2,IF(AF98&lt;=399.99,Kargo!$E$3,$F98)))</f>
        <v/>
      </c>
      <c r="AH98" s="17">
        <f>IF(AG98="","",AG98/AF98)</f>
        <v/>
      </c>
      <c r="AI98" s="18">
        <f>IF($D98="","",IF(Y98="","BUYBOX YOK → hedef kârla min fiyat",IF(AC98&gt;=W98,"✓ BUYBOX ALTINA GİR","BUYBOX ALTI KÂRSIZ → min kârlı fiyat")))</f>
        <v/>
      </c>
      <c r="AJ98" s="10">
        <f>IF($B98="","",IFERROR(VLOOKUP($B98,Maliyetler!$A:$G,6,FALSE),""))</f>
        <v/>
      </c>
      <c r="AK98">
        <f>IF($B98="","",IFERROR(VLOOKUP($B98,Maliyetler!$A:$G,7,FALSE),""))</f>
        <v/>
      </c>
      <c r="AO98" s="21">
        <f>IF($B98="","",IFERROR(VLOOKUP($B98&amp;"",'Plus Tarifeleri'!$C:$Q,11,FALSE),""))</f>
        <v/>
      </c>
      <c r="AP98" s="22">
        <f>IF(AO98="","",IFERROR(IF($AM$1=2,VLOOKUP($B98&amp;"",'Plus Tarifeleri'!$C:$Q,15,FALSE),VLOOKUP($B98&amp;"",'Plus Tarifeleri'!$C:$Q,13,FALSE)),""))</f>
        <v/>
      </c>
      <c r="AQ98" s="21">
        <f>IF(OR(AO98="",AP98="",$D98=""),"",AO98*(1-AP98/100)-$D98-IF(AO98&lt;=199.99,Kargo!$E$2,IF(AO98&lt;=399.99,Kargo!$E$3,$F98)))</f>
        <v/>
      </c>
      <c r="AR98" s="23">
        <f>IF(AQ98="","",AQ98/AO98)</f>
        <v/>
      </c>
      <c r="AS98" s="24">
        <f>IF(OR(AQ98="",AG98=""),"",AQ98-AG98)</f>
        <v/>
      </c>
    </row>
    <row r="99">
      <c r="A99">
        <f>IF('Komisyon Tarifeleri'!A99="","",'Komisyon Tarifeleri'!A99)</f>
        <v/>
      </c>
      <c r="B99">
        <f>IF('Komisyon Tarifeleri'!B99="","",'Komisyon Tarifeleri'!B99&amp;"")</f>
        <v/>
      </c>
      <c r="C99">
        <f>IF($B99="","",'Komisyon Tarifeleri'!F99)</f>
        <v/>
      </c>
      <c r="D99" s="10">
        <f>IF($B99="","",IFERROR(VLOOKUP($B99,Maliyetler!$A:$E,3,FALSE),""))</f>
        <v/>
      </c>
      <c r="E99">
        <f>IF($B99="","",IFERROR(VLOOKUP($B99,Maliyetler!$A:$E,4,FALSE),1))</f>
        <v/>
      </c>
      <c r="F99" s="10">
        <f>IF($B99="","",IFERROR(VLOOKUP(MIN(20,MAX(1,ROUND($E99,0))),Kargo!$A:$B,2,FALSE),99.46))</f>
        <v/>
      </c>
      <c r="G99" s="10">
        <f>IF($B99="","",IF(IF(N('Komisyon Tarifeleri'!AA99)&gt;='Komisyon Tarifeleri'!I99,'Komisyon Tarifeleri'!AA99,'Komisyon Tarifeleri'!I99)="","",IF(N('Komisyon Tarifeleri'!AA99)&gt;='Komisyon Tarifeleri'!I99,'Komisyon Tarifeleri'!AA99,'Komisyon Tarifeleri'!I99)))</f>
        <v/>
      </c>
      <c r="H99" s="11">
        <f>IF(G99="","",IF($AM$1=2,'Komisyon Tarifeleri'!U99,'Komisyon Tarifeleri'!P99))</f>
        <v/>
      </c>
      <c r="I99" s="10">
        <f>IF(OR(G99="",$D99=""),"",G99*(1-H99/100)-$D99-IF(G99&lt;=199.99,Kargo!$E$2,IF(G99&lt;=399.99,Kargo!$E$3,$F99)))</f>
        <v/>
      </c>
      <c r="J99" s="12">
        <f>IF(I99="","",I99/G99)</f>
        <v/>
      </c>
      <c r="K99" s="10">
        <f>IF($B99="","",IF('Komisyon Tarifeleri'!J99="","",'Komisyon Tarifeleri'!J99))</f>
        <v/>
      </c>
      <c r="L99" s="11">
        <f>IF(K99="","",IF($AM$1=2,'Komisyon Tarifeleri'!V99,'Komisyon Tarifeleri'!Q99))</f>
        <v/>
      </c>
      <c r="M99" s="10">
        <f>IF(OR(K99="",$D99=""),"",K99*(1-L99/100)-$D99-IF(K99&lt;=199.99,Kargo!$E$2,IF(K99&lt;=399.99,Kargo!$E$3,$F99)))</f>
        <v/>
      </c>
      <c r="N99" s="12">
        <f>IF(M99="","",M99/K99)</f>
        <v/>
      </c>
      <c r="O99" s="10">
        <f>IF($B99="","",IF('Komisyon Tarifeleri'!L99="","",'Komisyon Tarifeleri'!L99))</f>
        <v/>
      </c>
      <c r="P99" s="11">
        <f>IF(O99="","",IF($AM$1=2,'Komisyon Tarifeleri'!W99,'Komisyon Tarifeleri'!R99))</f>
        <v/>
      </c>
      <c r="Q99" s="10">
        <f>IF(OR(O99="",$D99=""),"",O99*(1-P99/100)-$D99-IF(O99&lt;=199.99,Kargo!$E$2,IF(O99&lt;=399.99,Kargo!$E$3,$F99)))</f>
        <v/>
      </c>
      <c r="R99" s="12">
        <f>IF(Q99="","",Q99/O99)</f>
        <v/>
      </c>
      <c r="S99" s="10">
        <f>IF($B99="","",IF('Komisyon Tarifeleri'!N99="","",'Komisyon Tarifeleri'!N99))</f>
        <v/>
      </c>
      <c r="T99" s="11">
        <f>IF(S99="","",IF($AM$1=2,'Komisyon Tarifeleri'!X99,'Komisyon Tarifeleri'!S99))</f>
        <v/>
      </c>
      <c r="U99" s="10">
        <f>IF(OR(S99="",$D99=""),"",S99*(1-T99/100)-$D99-IF(S99&lt;=199.99,Kargo!$E$2,IF(S99&lt;=399.99,Kargo!$E$3,$F99)))</f>
        <v/>
      </c>
      <c r="V99" s="12">
        <f>IF(U99="","",U99/S99)</f>
        <v/>
      </c>
      <c r="W99" s="12">
        <f>IF($B99="","",IFERROR(VLOOKUP($C99,Hedefler!$A:$C,2,FALSE),0.04))</f>
        <v/>
      </c>
      <c r="X99" s="12">
        <f>IF($B99="","",IFERROR(VLOOKUP($C99,Hedefler!$A:$C,3,FALSE),0.1))</f>
        <v/>
      </c>
      <c r="Y99" s="13">
        <f>IF($B99="","",IFERROR(VLOOKUP($B99,Maliyetler!$A:$E,5,FALSE),""))</f>
        <v/>
      </c>
      <c r="Z99" s="13">
        <f>IF(OR(Y99="",Y99=0),"",Y99-1)</f>
        <v/>
      </c>
      <c r="AA99" s="14">
        <f>IF(Z99="","",IF(Z99&gt;='Komisyon Tarifeleri'!I99,IF($AM$1=2,'Komisyon Tarifeleri'!U99,'Komisyon Tarifeleri'!P99),IF(Z99&gt;='Komisyon Tarifeleri'!K99,IF($AM$1=2,'Komisyon Tarifeleri'!V99,'Komisyon Tarifeleri'!Q99),IF(Z99&gt;='Komisyon Tarifeleri'!M99,IF($AM$1=2,'Komisyon Tarifeleri'!W99,'Komisyon Tarifeleri'!R99),IF($AM$1=2,'Komisyon Tarifeleri'!X99,'Komisyon Tarifeleri'!S99)))))</f>
        <v/>
      </c>
      <c r="AB99" s="13">
        <f>IF(OR(AA99="",$D99=""),"",Z99*(1-AA99/100)-$D99-IF(Z99&lt;=199.99,Kargo!$E$2,IF(Z99&lt;=399.99,Kargo!$E$3,$F99)))</f>
        <v/>
      </c>
      <c r="AC99" s="15">
        <f>IF(AB99="","",AB99/Z99)</f>
        <v/>
      </c>
      <c r="AD99" s="10">
        <f>IF(OR($D99="",$B99=""),"",IF(AND((1-T99/100-W99)&gt;0,CEILING(($D99+$F99)/(1-T99/100-W99),1)&lt;='Komisyon Tarifeleri'!N99),CEILING(($D99+$F99)/(1-T99/100-W99),1),IF(AND((1-P99/100-W99)&gt;0,CEILING(MAX('Komisyon Tarifeleri'!M99,($D99+$F99)/(1-P99/100-W99)),1)&lt;='Komisyon Tarifeleri'!L99),CEILING(MAX('Komisyon Tarifeleri'!M99,($D99+$F99)/(1-P99/100-W99)),1),IF(AND((1-L99/100-W99)&gt;0,CEILING(MAX('Komisyon Tarifeleri'!K99,($D99+$F99)/(1-L99/100-W99)),1)&lt;='Komisyon Tarifeleri'!J99),CEILING(MAX('Komisyon Tarifeleri'!K99,($D99+$F99)/(1-L99/100-W99)),1),IF((1-H99/100-W99)&gt;0,CEILING(MAX('Komisyon Tarifeleri'!I99,($D99+$F99)/(1-H99/100-W99)),1),"İMKÂNSIZ")))))</f>
        <v/>
      </c>
      <c r="AE99" s="10">
        <f>IF(OR($D99="",$B99=""),"",IF(AND((1-T99/100-X99)&gt;0,CEILING(($D99+$F99)/(1-T99/100-X99),1)&lt;='Komisyon Tarifeleri'!N99),CEILING(($D99+$F99)/(1-T99/100-X99),1),IF(AND((1-P99/100-X99)&gt;0,CEILING(MAX('Komisyon Tarifeleri'!M99,($D99+$F99)/(1-P99/100-X99)),1)&lt;='Komisyon Tarifeleri'!L99),CEILING(MAX('Komisyon Tarifeleri'!M99,($D99+$F99)/(1-P99/100-X99)),1),IF(AND((1-L99/100-X99)&gt;0,CEILING(MAX('Komisyon Tarifeleri'!K99,($D99+$F99)/(1-L99/100-X99)),1)&lt;='Komisyon Tarifeleri'!J99),CEILING(MAX('Komisyon Tarifeleri'!K99,($D99+$F99)/(1-L99/100-X99)),1),IF((1-H99/100-X99)&gt;0,CEILING(MAX('Komisyon Tarifeleri'!I99,($D99+$F99)/(1-H99/100-X99)),1),"İMKÂNSIZ")))))</f>
        <v/>
      </c>
      <c r="AF99" s="16">
        <f>IF($D99="","",IF(AND(Y99&lt;&gt;"",AC99&lt;&gt;"",AC99&gt;=W99),Z99,IF(Y99&lt;&gt;"",AD99,AE99)))</f>
        <v/>
      </c>
      <c r="AG99" s="16">
        <f>IF(OR(AF99="",AF99="İMKÂNSIZ"),"",AF99*(1-IF(AF99&gt;='Komisyon Tarifeleri'!I99,IF($AM$1=2,'Komisyon Tarifeleri'!U99,'Komisyon Tarifeleri'!P99),IF(AF99&gt;='Komisyon Tarifeleri'!K99,IF($AM$1=2,'Komisyon Tarifeleri'!V99,'Komisyon Tarifeleri'!Q99),IF(AF99&gt;='Komisyon Tarifeleri'!M99,IF($AM$1=2,'Komisyon Tarifeleri'!W99,'Komisyon Tarifeleri'!R99),IF($AM$1=2,'Komisyon Tarifeleri'!X99,'Komisyon Tarifeleri'!S99))))/100)-$D99-IF(AF99&lt;=199.99,Kargo!$E$2,IF(AF99&lt;=399.99,Kargo!$E$3,$F99)))</f>
        <v/>
      </c>
      <c r="AH99" s="17">
        <f>IF(AG99="","",AG99/AF99)</f>
        <v/>
      </c>
      <c r="AI99" s="18">
        <f>IF($D99="","",IF(Y99="","BUYBOX YOK → hedef kârla min fiyat",IF(AC99&gt;=W99,"✓ BUYBOX ALTINA GİR","BUYBOX ALTI KÂRSIZ → min kârlı fiyat")))</f>
        <v/>
      </c>
      <c r="AJ99" s="10">
        <f>IF($B99="","",IFERROR(VLOOKUP($B99,Maliyetler!$A:$G,6,FALSE),""))</f>
        <v/>
      </c>
      <c r="AK99">
        <f>IF($B99="","",IFERROR(VLOOKUP($B99,Maliyetler!$A:$G,7,FALSE),""))</f>
        <v/>
      </c>
      <c r="AO99" s="21">
        <f>IF($B99="","",IFERROR(VLOOKUP($B99&amp;"",'Plus Tarifeleri'!$C:$Q,11,FALSE),""))</f>
        <v/>
      </c>
      <c r="AP99" s="22">
        <f>IF(AO99="","",IFERROR(IF($AM$1=2,VLOOKUP($B99&amp;"",'Plus Tarifeleri'!$C:$Q,15,FALSE),VLOOKUP($B99&amp;"",'Plus Tarifeleri'!$C:$Q,13,FALSE)),""))</f>
        <v/>
      </c>
      <c r="AQ99" s="21">
        <f>IF(OR(AO99="",AP99="",$D99=""),"",AO99*(1-AP99/100)-$D99-IF(AO99&lt;=199.99,Kargo!$E$2,IF(AO99&lt;=399.99,Kargo!$E$3,$F99)))</f>
        <v/>
      </c>
      <c r="AR99" s="23">
        <f>IF(AQ99="","",AQ99/AO99)</f>
        <v/>
      </c>
      <c r="AS99" s="24">
        <f>IF(OR(AQ99="",AG99=""),"",AQ99-AG99)</f>
        <v/>
      </c>
    </row>
    <row r="100">
      <c r="A100">
        <f>IF('Komisyon Tarifeleri'!A100="","",'Komisyon Tarifeleri'!A100)</f>
        <v/>
      </c>
      <c r="B100">
        <f>IF('Komisyon Tarifeleri'!B100="","",'Komisyon Tarifeleri'!B100&amp;"")</f>
        <v/>
      </c>
      <c r="C100">
        <f>IF($B100="","",'Komisyon Tarifeleri'!F100)</f>
        <v/>
      </c>
      <c r="D100" s="10">
        <f>IF($B100="","",IFERROR(VLOOKUP($B100,Maliyetler!$A:$E,3,FALSE),""))</f>
        <v/>
      </c>
      <c r="E100">
        <f>IF($B100="","",IFERROR(VLOOKUP($B100,Maliyetler!$A:$E,4,FALSE),1))</f>
        <v/>
      </c>
      <c r="F100" s="10">
        <f>IF($B100="","",IFERROR(VLOOKUP(MIN(20,MAX(1,ROUND($E100,0))),Kargo!$A:$B,2,FALSE),99.46))</f>
        <v/>
      </c>
      <c r="G100" s="10">
        <f>IF($B100="","",IF(IF(N('Komisyon Tarifeleri'!AA100)&gt;='Komisyon Tarifeleri'!I100,'Komisyon Tarifeleri'!AA100,'Komisyon Tarifeleri'!I100)="","",IF(N('Komisyon Tarifeleri'!AA100)&gt;='Komisyon Tarifeleri'!I100,'Komisyon Tarifeleri'!AA100,'Komisyon Tarifeleri'!I100)))</f>
        <v/>
      </c>
      <c r="H100" s="11">
        <f>IF(G100="","",IF($AM$1=2,'Komisyon Tarifeleri'!U100,'Komisyon Tarifeleri'!P100))</f>
        <v/>
      </c>
      <c r="I100" s="10">
        <f>IF(OR(G100="",$D100=""),"",G100*(1-H100/100)-$D100-IF(G100&lt;=199.99,Kargo!$E$2,IF(G100&lt;=399.99,Kargo!$E$3,$F100)))</f>
        <v/>
      </c>
      <c r="J100" s="12">
        <f>IF(I100="","",I100/G100)</f>
        <v/>
      </c>
      <c r="K100" s="10">
        <f>IF($B100="","",IF('Komisyon Tarifeleri'!J100="","",'Komisyon Tarifeleri'!J100))</f>
        <v/>
      </c>
      <c r="L100" s="11">
        <f>IF(K100="","",IF($AM$1=2,'Komisyon Tarifeleri'!V100,'Komisyon Tarifeleri'!Q100))</f>
        <v/>
      </c>
      <c r="M100" s="10">
        <f>IF(OR(K100="",$D100=""),"",K100*(1-L100/100)-$D100-IF(K100&lt;=199.99,Kargo!$E$2,IF(K100&lt;=399.99,Kargo!$E$3,$F100)))</f>
        <v/>
      </c>
      <c r="N100" s="12">
        <f>IF(M100="","",M100/K100)</f>
        <v/>
      </c>
      <c r="O100" s="10">
        <f>IF($B100="","",IF('Komisyon Tarifeleri'!L100="","",'Komisyon Tarifeleri'!L100))</f>
        <v/>
      </c>
      <c r="P100" s="11">
        <f>IF(O100="","",IF($AM$1=2,'Komisyon Tarifeleri'!W100,'Komisyon Tarifeleri'!R100))</f>
        <v/>
      </c>
      <c r="Q100" s="10">
        <f>IF(OR(O100="",$D100=""),"",O100*(1-P100/100)-$D100-IF(O100&lt;=199.99,Kargo!$E$2,IF(O100&lt;=399.99,Kargo!$E$3,$F100)))</f>
        <v/>
      </c>
      <c r="R100" s="12">
        <f>IF(Q100="","",Q100/O100)</f>
        <v/>
      </c>
      <c r="S100" s="10">
        <f>IF($B100="","",IF('Komisyon Tarifeleri'!N100="","",'Komisyon Tarifeleri'!N100))</f>
        <v/>
      </c>
      <c r="T100" s="11">
        <f>IF(S100="","",IF($AM$1=2,'Komisyon Tarifeleri'!X100,'Komisyon Tarifeleri'!S100))</f>
        <v/>
      </c>
      <c r="U100" s="10">
        <f>IF(OR(S100="",$D100=""),"",S100*(1-T100/100)-$D100-IF(S100&lt;=199.99,Kargo!$E$2,IF(S100&lt;=399.99,Kargo!$E$3,$F100)))</f>
        <v/>
      </c>
      <c r="V100" s="12">
        <f>IF(U100="","",U100/S100)</f>
        <v/>
      </c>
      <c r="W100" s="12">
        <f>IF($B100="","",IFERROR(VLOOKUP($C100,Hedefler!$A:$C,2,FALSE),0.04))</f>
        <v/>
      </c>
      <c r="X100" s="12">
        <f>IF($B100="","",IFERROR(VLOOKUP($C100,Hedefler!$A:$C,3,FALSE),0.1))</f>
        <v/>
      </c>
      <c r="Y100" s="13">
        <f>IF($B100="","",IFERROR(VLOOKUP($B100,Maliyetler!$A:$E,5,FALSE),""))</f>
        <v/>
      </c>
      <c r="Z100" s="13">
        <f>IF(OR(Y100="",Y100=0),"",Y100-1)</f>
        <v/>
      </c>
      <c r="AA100" s="14">
        <f>IF(Z100="","",IF(Z100&gt;='Komisyon Tarifeleri'!I100,IF($AM$1=2,'Komisyon Tarifeleri'!U100,'Komisyon Tarifeleri'!P100),IF(Z100&gt;='Komisyon Tarifeleri'!K100,IF($AM$1=2,'Komisyon Tarifeleri'!V100,'Komisyon Tarifeleri'!Q100),IF(Z100&gt;='Komisyon Tarifeleri'!M100,IF($AM$1=2,'Komisyon Tarifeleri'!W100,'Komisyon Tarifeleri'!R100),IF($AM$1=2,'Komisyon Tarifeleri'!X100,'Komisyon Tarifeleri'!S100)))))</f>
        <v/>
      </c>
      <c r="AB100" s="13">
        <f>IF(OR(AA100="",$D100=""),"",Z100*(1-AA100/100)-$D100-IF(Z100&lt;=199.99,Kargo!$E$2,IF(Z100&lt;=399.99,Kargo!$E$3,$F100)))</f>
        <v/>
      </c>
      <c r="AC100" s="15">
        <f>IF(AB100="","",AB100/Z100)</f>
        <v/>
      </c>
      <c r="AD100" s="10">
        <f>IF(OR($D100="",$B100=""),"",IF(AND((1-T100/100-W100)&gt;0,CEILING(($D100+$F100)/(1-T100/100-W100),1)&lt;='Komisyon Tarifeleri'!N100),CEILING(($D100+$F100)/(1-T100/100-W100),1),IF(AND((1-P100/100-W100)&gt;0,CEILING(MAX('Komisyon Tarifeleri'!M100,($D100+$F100)/(1-P100/100-W100)),1)&lt;='Komisyon Tarifeleri'!L100),CEILING(MAX('Komisyon Tarifeleri'!M100,($D100+$F100)/(1-P100/100-W100)),1),IF(AND((1-L100/100-W100)&gt;0,CEILING(MAX('Komisyon Tarifeleri'!K100,($D100+$F100)/(1-L100/100-W100)),1)&lt;='Komisyon Tarifeleri'!J100),CEILING(MAX('Komisyon Tarifeleri'!K100,($D100+$F100)/(1-L100/100-W100)),1),IF((1-H100/100-W100)&gt;0,CEILING(MAX('Komisyon Tarifeleri'!I100,($D100+$F100)/(1-H100/100-W100)),1),"İMKÂNSIZ")))))</f>
        <v/>
      </c>
      <c r="AE100" s="10">
        <f>IF(OR($D100="",$B100=""),"",IF(AND((1-T100/100-X100)&gt;0,CEILING(($D100+$F100)/(1-T100/100-X100),1)&lt;='Komisyon Tarifeleri'!N100),CEILING(($D100+$F100)/(1-T100/100-X100),1),IF(AND((1-P100/100-X100)&gt;0,CEILING(MAX('Komisyon Tarifeleri'!M100,($D100+$F100)/(1-P100/100-X100)),1)&lt;='Komisyon Tarifeleri'!L100),CEILING(MAX('Komisyon Tarifeleri'!M100,($D100+$F100)/(1-P100/100-X100)),1),IF(AND((1-L100/100-X100)&gt;0,CEILING(MAX('Komisyon Tarifeleri'!K100,($D100+$F100)/(1-L100/100-X100)),1)&lt;='Komisyon Tarifeleri'!J100),CEILING(MAX('Komisyon Tarifeleri'!K100,($D100+$F100)/(1-L100/100-X100)),1),IF((1-H100/100-X100)&gt;0,CEILING(MAX('Komisyon Tarifeleri'!I100,($D100+$F100)/(1-H100/100-X100)),1),"İMKÂNSIZ")))))</f>
        <v/>
      </c>
      <c r="AF100" s="16">
        <f>IF($D100="","",IF(AND(Y100&lt;&gt;"",AC100&lt;&gt;"",AC100&gt;=W100),Z100,IF(Y100&lt;&gt;"",AD100,AE100)))</f>
        <v/>
      </c>
      <c r="AG100" s="16">
        <f>IF(OR(AF100="",AF100="İMKÂNSIZ"),"",AF100*(1-IF(AF100&gt;='Komisyon Tarifeleri'!I100,IF($AM$1=2,'Komisyon Tarifeleri'!U100,'Komisyon Tarifeleri'!P100),IF(AF100&gt;='Komisyon Tarifeleri'!K100,IF($AM$1=2,'Komisyon Tarifeleri'!V100,'Komisyon Tarifeleri'!Q100),IF(AF100&gt;='Komisyon Tarifeleri'!M100,IF($AM$1=2,'Komisyon Tarifeleri'!W100,'Komisyon Tarifeleri'!R100),IF($AM$1=2,'Komisyon Tarifeleri'!X100,'Komisyon Tarifeleri'!S100))))/100)-$D100-IF(AF100&lt;=199.99,Kargo!$E$2,IF(AF100&lt;=399.99,Kargo!$E$3,$F100)))</f>
        <v/>
      </c>
      <c r="AH100" s="17">
        <f>IF(AG100="","",AG100/AF100)</f>
        <v/>
      </c>
      <c r="AI100" s="18">
        <f>IF($D100="","",IF(Y100="","BUYBOX YOK → hedef kârla min fiyat",IF(AC100&gt;=W100,"✓ BUYBOX ALTINA GİR","BUYBOX ALTI KÂRSIZ → min kârlı fiyat")))</f>
        <v/>
      </c>
      <c r="AJ100" s="10">
        <f>IF($B100="","",IFERROR(VLOOKUP($B100,Maliyetler!$A:$G,6,FALSE),""))</f>
        <v/>
      </c>
      <c r="AK100">
        <f>IF($B100="","",IFERROR(VLOOKUP($B100,Maliyetler!$A:$G,7,FALSE),""))</f>
        <v/>
      </c>
      <c r="AO100" s="21">
        <f>IF($B100="","",IFERROR(VLOOKUP($B100&amp;"",'Plus Tarifeleri'!$C:$Q,11,FALSE),""))</f>
        <v/>
      </c>
      <c r="AP100" s="22">
        <f>IF(AO100="","",IFERROR(IF($AM$1=2,VLOOKUP($B100&amp;"",'Plus Tarifeleri'!$C:$Q,15,FALSE),VLOOKUP($B100&amp;"",'Plus Tarifeleri'!$C:$Q,13,FALSE)),""))</f>
        <v/>
      </c>
      <c r="AQ100" s="21">
        <f>IF(OR(AO100="",AP100="",$D100=""),"",AO100*(1-AP100/100)-$D100-IF(AO100&lt;=199.99,Kargo!$E$2,IF(AO100&lt;=399.99,Kargo!$E$3,$F100)))</f>
        <v/>
      </c>
      <c r="AR100" s="23">
        <f>IF(AQ100="","",AQ100/AO100)</f>
        <v/>
      </c>
      <c r="AS100" s="24">
        <f>IF(OR(AQ100="",AG100=""),"",AQ100-AG100)</f>
        <v/>
      </c>
    </row>
    <row r="101">
      <c r="A101">
        <f>IF('Komisyon Tarifeleri'!A101="","",'Komisyon Tarifeleri'!A101)</f>
        <v/>
      </c>
      <c r="B101">
        <f>IF('Komisyon Tarifeleri'!B101="","",'Komisyon Tarifeleri'!B101&amp;"")</f>
        <v/>
      </c>
      <c r="C101">
        <f>IF($B101="","",'Komisyon Tarifeleri'!F101)</f>
        <v/>
      </c>
      <c r="D101" s="10">
        <f>IF($B101="","",IFERROR(VLOOKUP($B101,Maliyetler!$A:$E,3,FALSE),""))</f>
        <v/>
      </c>
      <c r="E101">
        <f>IF($B101="","",IFERROR(VLOOKUP($B101,Maliyetler!$A:$E,4,FALSE),1))</f>
        <v/>
      </c>
      <c r="F101" s="10">
        <f>IF($B101="","",IFERROR(VLOOKUP(MIN(20,MAX(1,ROUND($E101,0))),Kargo!$A:$B,2,FALSE),99.46))</f>
        <v/>
      </c>
      <c r="G101" s="10">
        <f>IF($B101="","",IF(IF(N('Komisyon Tarifeleri'!AA101)&gt;='Komisyon Tarifeleri'!I101,'Komisyon Tarifeleri'!AA101,'Komisyon Tarifeleri'!I101)="","",IF(N('Komisyon Tarifeleri'!AA101)&gt;='Komisyon Tarifeleri'!I101,'Komisyon Tarifeleri'!AA101,'Komisyon Tarifeleri'!I101)))</f>
        <v/>
      </c>
      <c r="H101" s="11">
        <f>IF(G101="","",IF($AM$1=2,'Komisyon Tarifeleri'!U101,'Komisyon Tarifeleri'!P101))</f>
        <v/>
      </c>
      <c r="I101" s="10">
        <f>IF(OR(G101="",$D101=""),"",G101*(1-H101/100)-$D101-IF(G101&lt;=199.99,Kargo!$E$2,IF(G101&lt;=399.99,Kargo!$E$3,$F101)))</f>
        <v/>
      </c>
      <c r="J101" s="12">
        <f>IF(I101="","",I101/G101)</f>
        <v/>
      </c>
      <c r="K101" s="10">
        <f>IF($B101="","",IF('Komisyon Tarifeleri'!J101="","",'Komisyon Tarifeleri'!J101))</f>
        <v/>
      </c>
      <c r="L101" s="11">
        <f>IF(K101="","",IF($AM$1=2,'Komisyon Tarifeleri'!V101,'Komisyon Tarifeleri'!Q101))</f>
        <v/>
      </c>
      <c r="M101" s="10">
        <f>IF(OR(K101="",$D101=""),"",K101*(1-L101/100)-$D101-IF(K101&lt;=199.99,Kargo!$E$2,IF(K101&lt;=399.99,Kargo!$E$3,$F101)))</f>
        <v/>
      </c>
      <c r="N101" s="12">
        <f>IF(M101="","",M101/K101)</f>
        <v/>
      </c>
      <c r="O101" s="10">
        <f>IF($B101="","",IF('Komisyon Tarifeleri'!L101="","",'Komisyon Tarifeleri'!L101))</f>
        <v/>
      </c>
      <c r="P101" s="11">
        <f>IF(O101="","",IF($AM$1=2,'Komisyon Tarifeleri'!W101,'Komisyon Tarifeleri'!R101))</f>
        <v/>
      </c>
      <c r="Q101" s="10">
        <f>IF(OR(O101="",$D101=""),"",O101*(1-P101/100)-$D101-IF(O101&lt;=199.99,Kargo!$E$2,IF(O101&lt;=399.99,Kargo!$E$3,$F101)))</f>
        <v/>
      </c>
      <c r="R101" s="12">
        <f>IF(Q101="","",Q101/O101)</f>
        <v/>
      </c>
      <c r="S101" s="10">
        <f>IF($B101="","",IF('Komisyon Tarifeleri'!N101="","",'Komisyon Tarifeleri'!N101))</f>
        <v/>
      </c>
      <c r="T101" s="11">
        <f>IF(S101="","",IF($AM$1=2,'Komisyon Tarifeleri'!X101,'Komisyon Tarifeleri'!S101))</f>
        <v/>
      </c>
      <c r="U101" s="10">
        <f>IF(OR(S101="",$D101=""),"",S101*(1-T101/100)-$D101-IF(S101&lt;=199.99,Kargo!$E$2,IF(S101&lt;=399.99,Kargo!$E$3,$F101)))</f>
        <v/>
      </c>
      <c r="V101" s="12">
        <f>IF(U101="","",U101/S101)</f>
        <v/>
      </c>
      <c r="W101" s="12">
        <f>IF($B101="","",IFERROR(VLOOKUP($C101,Hedefler!$A:$C,2,FALSE),0.04))</f>
        <v/>
      </c>
      <c r="X101" s="12">
        <f>IF($B101="","",IFERROR(VLOOKUP($C101,Hedefler!$A:$C,3,FALSE),0.1))</f>
        <v/>
      </c>
      <c r="Y101" s="13">
        <f>IF($B101="","",IFERROR(VLOOKUP($B101,Maliyetler!$A:$E,5,FALSE),""))</f>
        <v/>
      </c>
      <c r="Z101" s="13">
        <f>IF(OR(Y101="",Y101=0),"",Y101-1)</f>
        <v/>
      </c>
      <c r="AA101" s="14">
        <f>IF(Z101="","",IF(Z101&gt;='Komisyon Tarifeleri'!I101,IF($AM$1=2,'Komisyon Tarifeleri'!U101,'Komisyon Tarifeleri'!P101),IF(Z101&gt;='Komisyon Tarifeleri'!K101,IF($AM$1=2,'Komisyon Tarifeleri'!V101,'Komisyon Tarifeleri'!Q101),IF(Z101&gt;='Komisyon Tarifeleri'!M101,IF($AM$1=2,'Komisyon Tarifeleri'!W101,'Komisyon Tarifeleri'!R101),IF($AM$1=2,'Komisyon Tarifeleri'!X101,'Komisyon Tarifeleri'!S101)))))</f>
        <v/>
      </c>
      <c r="AB101" s="13">
        <f>IF(OR(AA101="",$D101=""),"",Z101*(1-AA101/100)-$D101-IF(Z101&lt;=199.99,Kargo!$E$2,IF(Z101&lt;=399.99,Kargo!$E$3,$F101)))</f>
        <v/>
      </c>
      <c r="AC101" s="15">
        <f>IF(AB101="","",AB101/Z101)</f>
        <v/>
      </c>
      <c r="AD101" s="10">
        <f>IF(OR($D101="",$B101=""),"",IF(AND((1-T101/100-W101)&gt;0,CEILING(($D101+$F101)/(1-T101/100-W101),1)&lt;='Komisyon Tarifeleri'!N101),CEILING(($D101+$F101)/(1-T101/100-W101),1),IF(AND((1-P101/100-W101)&gt;0,CEILING(MAX('Komisyon Tarifeleri'!M101,($D101+$F101)/(1-P101/100-W101)),1)&lt;='Komisyon Tarifeleri'!L101),CEILING(MAX('Komisyon Tarifeleri'!M101,($D101+$F101)/(1-P101/100-W101)),1),IF(AND((1-L101/100-W101)&gt;0,CEILING(MAX('Komisyon Tarifeleri'!K101,($D101+$F101)/(1-L101/100-W101)),1)&lt;='Komisyon Tarifeleri'!J101),CEILING(MAX('Komisyon Tarifeleri'!K101,($D101+$F101)/(1-L101/100-W101)),1),IF((1-H101/100-W101)&gt;0,CEILING(MAX('Komisyon Tarifeleri'!I101,($D101+$F101)/(1-H101/100-W101)),1),"İMKÂNSIZ")))))</f>
        <v/>
      </c>
      <c r="AE101" s="10">
        <f>IF(OR($D101="",$B101=""),"",IF(AND((1-T101/100-X101)&gt;0,CEILING(($D101+$F101)/(1-T101/100-X101),1)&lt;='Komisyon Tarifeleri'!N101),CEILING(($D101+$F101)/(1-T101/100-X101),1),IF(AND((1-P101/100-X101)&gt;0,CEILING(MAX('Komisyon Tarifeleri'!M101,($D101+$F101)/(1-P101/100-X101)),1)&lt;='Komisyon Tarifeleri'!L101),CEILING(MAX('Komisyon Tarifeleri'!M101,($D101+$F101)/(1-P101/100-X101)),1),IF(AND((1-L101/100-X101)&gt;0,CEILING(MAX('Komisyon Tarifeleri'!K101,($D101+$F101)/(1-L101/100-X101)),1)&lt;='Komisyon Tarifeleri'!J101),CEILING(MAX('Komisyon Tarifeleri'!K101,($D101+$F101)/(1-L101/100-X101)),1),IF((1-H101/100-X101)&gt;0,CEILING(MAX('Komisyon Tarifeleri'!I101,($D101+$F101)/(1-H101/100-X101)),1),"İMKÂNSIZ")))))</f>
        <v/>
      </c>
      <c r="AF101" s="16">
        <f>IF($D101="","",IF(AND(Y101&lt;&gt;"",AC101&lt;&gt;"",AC101&gt;=W101),Z101,IF(Y101&lt;&gt;"",AD101,AE101)))</f>
        <v/>
      </c>
      <c r="AG101" s="16">
        <f>IF(OR(AF101="",AF101="İMKÂNSIZ"),"",AF101*(1-IF(AF101&gt;='Komisyon Tarifeleri'!I101,IF($AM$1=2,'Komisyon Tarifeleri'!U101,'Komisyon Tarifeleri'!P101),IF(AF101&gt;='Komisyon Tarifeleri'!K101,IF($AM$1=2,'Komisyon Tarifeleri'!V101,'Komisyon Tarifeleri'!Q101),IF(AF101&gt;='Komisyon Tarifeleri'!M101,IF($AM$1=2,'Komisyon Tarifeleri'!W101,'Komisyon Tarifeleri'!R101),IF($AM$1=2,'Komisyon Tarifeleri'!X101,'Komisyon Tarifeleri'!S101))))/100)-$D101-IF(AF101&lt;=199.99,Kargo!$E$2,IF(AF101&lt;=399.99,Kargo!$E$3,$F101)))</f>
        <v/>
      </c>
      <c r="AH101" s="17">
        <f>IF(AG101="","",AG101/AF101)</f>
        <v/>
      </c>
      <c r="AI101" s="18">
        <f>IF($D101="","",IF(Y101="","BUYBOX YOK → hedef kârla min fiyat",IF(AC101&gt;=W101,"✓ BUYBOX ALTINA GİR","BUYBOX ALTI KÂRSIZ → min kârlı fiyat")))</f>
        <v/>
      </c>
      <c r="AJ101" s="10">
        <f>IF($B101="","",IFERROR(VLOOKUP($B101,Maliyetler!$A:$G,6,FALSE),""))</f>
        <v/>
      </c>
      <c r="AK101">
        <f>IF($B101="","",IFERROR(VLOOKUP($B101,Maliyetler!$A:$G,7,FALSE),""))</f>
        <v/>
      </c>
      <c r="AO101" s="21">
        <f>IF($B101="","",IFERROR(VLOOKUP($B101&amp;"",'Plus Tarifeleri'!$C:$Q,11,FALSE),""))</f>
        <v/>
      </c>
      <c r="AP101" s="22">
        <f>IF(AO101="","",IFERROR(IF($AM$1=2,VLOOKUP($B101&amp;"",'Plus Tarifeleri'!$C:$Q,15,FALSE),VLOOKUP($B101&amp;"",'Plus Tarifeleri'!$C:$Q,13,FALSE)),""))</f>
        <v/>
      </c>
      <c r="AQ101" s="21">
        <f>IF(OR(AO101="",AP101="",$D101=""),"",AO101*(1-AP101/100)-$D101-IF(AO101&lt;=199.99,Kargo!$E$2,IF(AO101&lt;=399.99,Kargo!$E$3,$F101)))</f>
        <v/>
      </c>
      <c r="AR101" s="23">
        <f>IF(AQ101="","",AQ101/AO101)</f>
        <v/>
      </c>
      <c r="AS101" s="24">
        <f>IF(OR(AQ101="",AG101=""),"",AQ101-AG101)</f>
        <v/>
      </c>
    </row>
    <row r="102">
      <c r="A102">
        <f>IF('Komisyon Tarifeleri'!A102="","",'Komisyon Tarifeleri'!A102)</f>
        <v/>
      </c>
      <c r="B102">
        <f>IF('Komisyon Tarifeleri'!B102="","",'Komisyon Tarifeleri'!B102&amp;"")</f>
        <v/>
      </c>
      <c r="C102">
        <f>IF($B102="","",'Komisyon Tarifeleri'!F102)</f>
        <v/>
      </c>
      <c r="D102" s="10">
        <f>IF($B102="","",IFERROR(VLOOKUP($B102,Maliyetler!$A:$E,3,FALSE),""))</f>
        <v/>
      </c>
      <c r="E102">
        <f>IF($B102="","",IFERROR(VLOOKUP($B102,Maliyetler!$A:$E,4,FALSE),1))</f>
        <v/>
      </c>
      <c r="F102" s="10">
        <f>IF($B102="","",IFERROR(VLOOKUP(MIN(20,MAX(1,ROUND($E102,0))),Kargo!$A:$B,2,FALSE),99.46))</f>
        <v/>
      </c>
      <c r="G102" s="10">
        <f>IF($B102="","",IF(IF(N('Komisyon Tarifeleri'!AA102)&gt;='Komisyon Tarifeleri'!I102,'Komisyon Tarifeleri'!AA102,'Komisyon Tarifeleri'!I102)="","",IF(N('Komisyon Tarifeleri'!AA102)&gt;='Komisyon Tarifeleri'!I102,'Komisyon Tarifeleri'!AA102,'Komisyon Tarifeleri'!I102)))</f>
        <v/>
      </c>
      <c r="H102" s="11">
        <f>IF(G102="","",IF($AM$1=2,'Komisyon Tarifeleri'!U102,'Komisyon Tarifeleri'!P102))</f>
        <v/>
      </c>
      <c r="I102" s="10">
        <f>IF(OR(G102="",$D102=""),"",G102*(1-H102/100)-$D102-IF(G102&lt;=199.99,Kargo!$E$2,IF(G102&lt;=399.99,Kargo!$E$3,$F102)))</f>
        <v/>
      </c>
      <c r="J102" s="12">
        <f>IF(I102="","",I102/G102)</f>
        <v/>
      </c>
      <c r="K102" s="10">
        <f>IF($B102="","",IF('Komisyon Tarifeleri'!J102="","",'Komisyon Tarifeleri'!J102))</f>
        <v/>
      </c>
      <c r="L102" s="11">
        <f>IF(K102="","",IF($AM$1=2,'Komisyon Tarifeleri'!V102,'Komisyon Tarifeleri'!Q102))</f>
        <v/>
      </c>
      <c r="M102" s="10">
        <f>IF(OR(K102="",$D102=""),"",K102*(1-L102/100)-$D102-IF(K102&lt;=199.99,Kargo!$E$2,IF(K102&lt;=399.99,Kargo!$E$3,$F102)))</f>
        <v/>
      </c>
      <c r="N102" s="12">
        <f>IF(M102="","",M102/K102)</f>
        <v/>
      </c>
      <c r="O102" s="10">
        <f>IF($B102="","",IF('Komisyon Tarifeleri'!L102="","",'Komisyon Tarifeleri'!L102))</f>
        <v/>
      </c>
      <c r="P102" s="11">
        <f>IF(O102="","",IF($AM$1=2,'Komisyon Tarifeleri'!W102,'Komisyon Tarifeleri'!R102))</f>
        <v/>
      </c>
      <c r="Q102" s="10">
        <f>IF(OR(O102="",$D102=""),"",O102*(1-P102/100)-$D102-IF(O102&lt;=199.99,Kargo!$E$2,IF(O102&lt;=399.99,Kargo!$E$3,$F102)))</f>
        <v/>
      </c>
      <c r="R102" s="12">
        <f>IF(Q102="","",Q102/O102)</f>
        <v/>
      </c>
      <c r="S102" s="10">
        <f>IF($B102="","",IF('Komisyon Tarifeleri'!N102="","",'Komisyon Tarifeleri'!N102))</f>
        <v/>
      </c>
      <c r="T102" s="11">
        <f>IF(S102="","",IF($AM$1=2,'Komisyon Tarifeleri'!X102,'Komisyon Tarifeleri'!S102))</f>
        <v/>
      </c>
      <c r="U102" s="10">
        <f>IF(OR(S102="",$D102=""),"",S102*(1-T102/100)-$D102-IF(S102&lt;=199.99,Kargo!$E$2,IF(S102&lt;=399.99,Kargo!$E$3,$F102)))</f>
        <v/>
      </c>
      <c r="V102" s="12">
        <f>IF(U102="","",U102/S102)</f>
        <v/>
      </c>
      <c r="W102" s="12">
        <f>IF($B102="","",IFERROR(VLOOKUP($C102,Hedefler!$A:$C,2,FALSE),0.04))</f>
        <v/>
      </c>
      <c r="X102" s="12">
        <f>IF($B102="","",IFERROR(VLOOKUP($C102,Hedefler!$A:$C,3,FALSE),0.1))</f>
        <v/>
      </c>
      <c r="Y102" s="13">
        <f>IF($B102="","",IFERROR(VLOOKUP($B102,Maliyetler!$A:$E,5,FALSE),""))</f>
        <v/>
      </c>
      <c r="Z102" s="13">
        <f>IF(OR(Y102="",Y102=0),"",Y102-1)</f>
        <v/>
      </c>
      <c r="AA102" s="14">
        <f>IF(Z102="","",IF(Z102&gt;='Komisyon Tarifeleri'!I102,IF($AM$1=2,'Komisyon Tarifeleri'!U102,'Komisyon Tarifeleri'!P102),IF(Z102&gt;='Komisyon Tarifeleri'!K102,IF($AM$1=2,'Komisyon Tarifeleri'!V102,'Komisyon Tarifeleri'!Q102),IF(Z102&gt;='Komisyon Tarifeleri'!M102,IF($AM$1=2,'Komisyon Tarifeleri'!W102,'Komisyon Tarifeleri'!R102),IF($AM$1=2,'Komisyon Tarifeleri'!X102,'Komisyon Tarifeleri'!S102)))))</f>
        <v/>
      </c>
      <c r="AB102" s="13">
        <f>IF(OR(AA102="",$D102=""),"",Z102*(1-AA102/100)-$D102-IF(Z102&lt;=199.99,Kargo!$E$2,IF(Z102&lt;=399.99,Kargo!$E$3,$F102)))</f>
        <v/>
      </c>
      <c r="AC102" s="15">
        <f>IF(AB102="","",AB102/Z102)</f>
        <v/>
      </c>
      <c r="AD102" s="10">
        <f>IF(OR($D102="",$B102=""),"",IF(AND((1-T102/100-W102)&gt;0,CEILING(($D102+$F102)/(1-T102/100-W102),1)&lt;='Komisyon Tarifeleri'!N102),CEILING(($D102+$F102)/(1-T102/100-W102),1),IF(AND((1-P102/100-W102)&gt;0,CEILING(MAX('Komisyon Tarifeleri'!M102,($D102+$F102)/(1-P102/100-W102)),1)&lt;='Komisyon Tarifeleri'!L102),CEILING(MAX('Komisyon Tarifeleri'!M102,($D102+$F102)/(1-P102/100-W102)),1),IF(AND((1-L102/100-W102)&gt;0,CEILING(MAX('Komisyon Tarifeleri'!K102,($D102+$F102)/(1-L102/100-W102)),1)&lt;='Komisyon Tarifeleri'!J102),CEILING(MAX('Komisyon Tarifeleri'!K102,($D102+$F102)/(1-L102/100-W102)),1),IF((1-H102/100-W102)&gt;0,CEILING(MAX('Komisyon Tarifeleri'!I102,($D102+$F102)/(1-H102/100-W102)),1),"İMKÂNSIZ")))))</f>
        <v/>
      </c>
      <c r="AE102" s="10">
        <f>IF(OR($D102="",$B102=""),"",IF(AND((1-T102/100-X102)&gt;0,CEILING(($D102+$F102)/(1-T102/100-X102),1)&lt;='Komisyon Tarifeleri'!N102),CEILING(($D102+$F102)/(1-T102/100-X102),1),IF(AND((1-P102/100-X102)&gt;0,CEILING(MAX('Komisyon Tarifeleri'!M102,($D102+$F102)/(1-P102/100-X102)),1)&lt;='Komisyon Tarifeleri'!L102),CEILING(MAX('Komisyon Tarifeleri'!M102,($D102+$F102)/(1-P102/100-X102)),1),IF(AND((1-L102/100-X102)&gt;0,CEILING(MAX('Komisyon Tarifeleri'!K102,($D102+$F102)/(1-L102/100-X102)),1)&lt;='Komisyon Tarifeleri'!J102),CEILING(MAX('Komisyon Tarifeleri'!K102,($D102+$F102)/(1-L102/100-X102)),1),IF((1-H102/100-X102)&gt;0,CEILING(MAX('Komisyon Tarifeleri'!I102,($D102+$F102)/(1-H102/100-X102)),1),"İMKÂNSIZ")))))</f>
        <v/>
      </c>
      <c r="AF102" s="16">
        <f>IF($D102="","",IF(AND(Y102&lt;&gt;"",AC102&lt;&gt;"",AC102&gt;=W102),Z102,IF(Y102&lt;&gt;"",AD102,AE102)))</f>
        <v/>
      </c>
      <c r="AG102" s="16">
        <f>IF(OR(AF102="",AF102="İMKÂNSIZ"),"",AF102*(1-IF(AF102&gt;='Komisyon Tarifeleri'!I102,IF($AM$1=2,'Komisyon Tarifeleri'!U102,'Komisyon Tarifeleri'!P102),IF(AF102&gt;='Komisyon Tarifeleri'!K102,IF($AM$1=2,'Komisyon Tarifeleri'!V102,'Komisyon Tarifeleri'!Q102),IF(AF102&gt;='Komisyon Tarifeleri'!M102,IF($AM$1=2,'Komisyon Tarifeleri'!W102,'Komisyon Tarifeleri'!R102),IF($AM$1=2,'Komisyon Tarifeleri'!X102,'Komisyon Tarifeleri'!S102))))/100)-$D102-IF(AF102&lt;=199.99,Kargo!$E$2,IF(AF102&lt;=399.99,Kargo!$E$3,$F102)))</f>
        <v/>
      </c>
      <c r="AH102" s="17">
        <f>IF(AG102="","",AG102/AF102)</f>
        <v/>
      </c>
      <c r="AI102" s="18">
        <f>IF($D102="","",IF(Y102="","BUYBOX YOK → hedef kârla min fiyat",IF(AC102&gt;=W102,"✓ BUYBOX ALTINA GİR","BUYBOX ALTI KÂRSIZ → min kârlı fiyat")))</f>
        <v/>
      </c>
      <c r="AJ102" s="10">
        <f>IF($B102="","",IFERROR(VLOOKUP($B102,Maliyetler!$A:$G,6,FALSE),""))</f>
        <v/>
      </c>
      <c r="AK102">
        <f>IF($B102="","",IFERROR(VLOOKUP($B102,Maliyetler!$A:$G,7,FALSE),""))</f>
        <v/>
      </c>
      <c r="AO102" s="21">
        <f>IF($B102="","",IFERROR(VLOOKUP($B102&amp;"",'Plus Tarifeleri'!$C:$Q,11,FALSE),""))</f>
        <v/>
      </c>
      <c r="AP102" s="22">
        <f>IF(AO102="","",IFERROR(IF($AM$1=2,VLOOKUP($B102&amp;"",'Plus Tarifeleri'!$C:$Q,15,FALSE),VLOOKUP($B102&amp;"",'Plus Tarifeleri'!$C:$Q,13,FALSE)),""))</f>
        <v/>
      </c>
      <c r="AQ102" s="21">
        <f>IF(OR(AO102="",AP102="",$D102=""),"",AO102*(1-AP102/100)-$D102-IF(AO102&lt;=199.99,Kargo!$E$2,IF(AO102&lt;=399.99,Kargo!$E$3,$F102)))</f>
        <v/>
      </c>
      <c r="AR102" s="23">
        <f>IF(AQ102="","",AQ102/AO102)</f>
        <v/>
      </c>
      <c r="AS102" s="24">
        <f>IF(OR(AQ102="",AG102=""),"",AQ102-AG102)</f>
        <v/>
      </c>
    </row>
    <row r="103">
      <c r="A103">
        <f>IF('Komisyon Tarifeleri'!A103="","",'Komisyon Tarifeleri'!A103)</f>
        <v/>
      </c>
      <c r="B103">
        <f>IF('Komisyon Tarifeleri'!B103="","",'Komisyon Tarifeleri'!B103&amp;"")</f>
        <v/>
      </c>
      <c r="C103">
        <f>IF($B103="","",'Komisyon Tarifeleri'!F103)</f>
        <v/>
      </c>
      <c r="D103" s="10">
        <f>IF($B103="","",IFERROR(VLOOKUP($B103,Maliyetler!$A:$E,3,FALSE),""))</f>
        <v/>
      </c>
      <c r="E103">
        <f>IF($B103="","",IFERROR(VLOOKUP($B103,Maliyetler!$A:$E,4,FALSE),1))</f>
        <v/>
      </c>
      <c r="F103" s="10">
        <f>IF($B103="","",IFERROR(VLOOKUP(MIN(20,MAX(1,ROUND($E103,0))),Kargo!$A:$B,2,FALSE),99.46))</f>
        <v/>
      </c>
      <c r="G103" s="10">
        <f>IF($B103="","",IF(IF(N('Komisyon Tarifeleri'!AA103)&gt;='Komisyon Tarifeleri'!I103,'Komisyon Tarifeleri'!AA103,'Komisyon Tarifeleri'!I103)="","",IF(N('Komisyon Tarifeleri'!AA103)&gt;='Komisyon Tarifeleri'!I103,'Komisyon Tarifeleri'!AA103,'Komisyon Tarifeleri'!I103)))</f>
        <v/>
      </c>
      <c r="H103" s="11">
        <f>IF(G103="","",IF($AM$1=2,'Komisyon Tarifeleri'!U103,'Komisyon Tarifeleri'!P103))</f>
        <v/>
      </c>
      <c r="I103" s="10">
        <f>IF(OR(G103="",$D103=""),"",G103*(1-H103/100)-$D103-IF(G103&lt;=199.99,Kargo!$E$2,IF(G103&lt;=399.99,Kargo!$E$3,$F103)))</f>
        <v/>
      </c>
      <c r="J103" s="12">
        <f>IF(I103="","",I103/G103)</f>
        <v/>
      </c>
      <c r="K103" s="10">
        <f>IF($B103="","",IF('Komisyon Tarifeleri'!J103="","",'Komisyon Tarifeleri'!J103))</f>
        <v/>
      </c>
      <c r="L103" s="11">
        <f>IF(K103="","",IF($AM$1=2,'Komisyon Tarifeleri'!V103,'Komisyon Tarifeleri'!Q103))</f>
        <v/>
      </c>
      <c r="M103" s="10">
        <f>IF(OR(K103="",$D103=""),"",K103*(1-L103/100)-$D103-IF(K103&lt;=199.99,Kargo!$E$2,IF(K103&lt;=399.99,Kargo!$E$3,$F103)))</f>
        <v/>
      </c>
      <c r="N103" s="12">
        <f>IF(M103="","",M103/K103)</f>
        <v/>
      </c>
      <c r="O103" s="10">
        <f>IF($B103="","",IF('Komisyon Tarifeleri'!L103="","",'Komisyon Tarifeleri'!L103))</f>
        <v/>
      </c>
      <c r="P103" s="11">
        <f>IF(O103="","",IF($AM$1=2,'Komisyon Tarifeleri'!W103,'Komisyon Tarifeleri'!R103))</f>
        <v/>
      </c>
      <c r="Q103" s="10">
        <f>IF(OR(O103="",$D103=""),"",O103*(1-P103/100)-$D103-IF(O103&lt;=199.99,Kargo!$E$2,IF(O103&lt;=399.99,Kargo!$E$3,$F103)))</f>
        <v/>
      </c>
      <c r="R103" s="12">
        <f>IF(Q103="","",Q103/O103)</f>
        <v/>
      </c>
      <c r="S103" s="10">
        <f>IF($B103="","",IF('Komisyon Tarifeleri'!N103="","",'Komisyon Tarifeleri'!N103))</f>
        <v/>
      </c>
      <c r="T103" s="11">
        <f>IF(S103="","",IF($AM$1=2,'Komisyon Tarifeleri'!X103,'Komisyon Tarifeleri'!S103))</f>
        <v/>
      </c>
      <c r="U103" s="10">
        <f>IF(OR(S103="",$D103=""),"",S103*(1-T103/100)-$D103-IF(S103&lt;=199.99,Kargo!$E$2,IF(S103&lt;=399.99,Kargo!$E$3,$F103)))</f>
        <v/>
      </c>
      <c r="V103" s="12">
        <f>IF(U103="","",U103/S103)</f>
        <v/>
      </c>
      <c r="W103" s="12">
        <f>IF($B103="","",IFERROR(VLOOKUP($C103,Hedefler!$A:$C,2,FALSE),0.04))</f>
        <v/>
      </c>
      <c r="X103" s="12">
        <f>IF($B103="","",IFERROR(VLOOKUP($C103,Hedefler!$A:$C,3,FALSE),0.1))</f>
        <v/>
      </c>
      <c r="Y103" s="13">
        <f>IF($B103="","",IFERROR(VLOOKUP($B103,Maliyetler!$A:$E,5,FALSE),""))</f>
        <v/>
      </c>
      <c r="Z103" s="13">
        <f>IF(OR(Y103="",Y103=0),"",Y103-1)</f>
        <v/>
      </c>
      <c r="AA103" s="14">
        <f>IF(Z103="","",IF(Z103&gt;='Komisyon Tarifeleri'!I103,IF($AM$1=2,'Komisyon Tarifeleri'!U103,'Komisyon Tarifeleri'!P103),IF(Z103&gt;='Komisyon Tarifeleri'!K103,IF($AM$1=2,'Komisyon Tarifeleri'!V103,'Komisyon Tarifeleri'!Q103),IF(Z103&gt;='Komisyon Tarifeleri'!M103,IF($AM$1=2,'Komisyon Tarifeleri'!W103,'Komisyon Tarifeleri'!R103),IF($AM$1=2,'Komisyon Tarifeleri'!X103,'Komisyon Tarifeleri'!S103)))))</f>
        <v/>
      </c>
      <c r="AB103" s="13">
        <f>IF(OR(AA103="",$D103=""),"",Z103*(1-AA103/100)-$D103-IF(Z103&lt;=199.99,Kargo!$E$2,IF(Z103&lt;=399.99,Kargo!$E$3,$F103)))</f>
        <v/>
      </c>
      <c r="AC103" s="15">
        <f>IF(AB103="","",AB103/Z103)</f>
        <v/>
      </c>
      <c r="AD103" s="10">
        <f>IF(OR($D103="",$B103=""),"",IF(AND((1-T103/100-W103)&gt;0,CEILING(($D103+$F103)/(1-T103/100-W103),1)&lt;='Komisyon Tarifeleri'!N103),CEILING(($D103+$F103)/(1-T103/100-W103),1),IF(AND((1-P103/100-W103)&gt;0,CEILING(MAX('Komisyon Tarifeleri'!M103,($D103+$F103)/(1-P103/100-W103)),1)&lt;='Komisyon Tarifeleri'!L103),CEILING(MAX('Komisyon Tarifeleri'!M103,($D103+$F103)/(1-P103/100-W103)),1),IF(AND((1-L103/100-W103)&gt;0,CEILING(MAX('Komisyon Tarifeleri'!K103,($D103+$F103)/(1-L103/100-W103)),1)&lt;='Komisyon Tarifeleri'!J103),CEILING(MAX('Komisyon Tarifeleri'!K103,($D103+$F103)/(1-L103/100-W103)),1),IF((1-H103/100-W103)&gt;0,CEILING(MAX('Komisyon Tarifeleri'!I103,($D103+$F103)/(1-H103/100-W103)),1),"İMKÂNSIZ")))))</f>
        <v/>
      </c>
      <c r="AE103" s="10">
        <f>IF(OR($D103="",$B103=""),"",IF(AND((1-T103/100-X103)&gt;0,CEILING(($D103+$F103)/(1-T103/100-X103),1)&lt;='Komisyon Tarifeleri'!N103),CEILING(($D103+$F103)/(1-T103/100-X103),1),IF(AND((1-P103/100-X103)&gt;0,CEILING(MAX('Komisyon Tarifeleri'!M103,($D103+$F103)/(1-P103/100-X103)),1)&lt;='Komisyon Tarifeleri'!L103),CEILING(MAX('Komisyon Tarifeleri'!M103,($D103+$F103)/(1-P103/100-X103)),1),IF(AND((1-L103/100-X103)&gt;0,CEILING(MAX('Komisyon Tarifeleri'!K103,($D103+$F103)/(1-L103/100-X103)),1)&lt;='Komisyon Tarifeleri'!J103),CEILING(MAX('Komisyon Tarifeleri'!K103,($D103+$F103)/(1-L103/100-X103)),1),IF((1-H103/100-X103)&gt;0,CEILING(MAX('Komisyon Tarifeleri'!I103,($D103+$F103)/(1-H103/100-X103)),1),"İMKÂNSIZ")))))</f>
        <v/>
      </c>
      <c r="AF103" s="16">
        <f>IF($D103="","",IF(AND(Y103&lt;&gt;"",AC103&lt;&gt;"",AC103&gt;=W103),Z103,IF(Y103&lt;&gt;"",AD103,AE103)))</f>
        <v/>
      </c>
      <c r="AG103" s="16">
        <f>IF(OR(AF103="",AF103="İMKÂNSIZ"),"",AF103*(1-IF(AF103&gt;='Komisyon Tarifeleri'!I103,IF($AM$1=2,'Komisyon Tarifeleri'!U103,'Komisyon Tarifeleri'!P103),IF(AF103&gt;='Komisyon Tarifeleri'!K103,IF($AM$1=2,'Komisyon Tarifeleri'!V103,'Komisyon Tarifeleri'!Q103),IF(AF103&gt;='Komisyon Tarifeleri'!M103,IF($AM$1=2,'Komisyon Tarifeleri'!W103,'Komisyon Tarifeleri'!R103),IF($AM$1=2,'Komisyon Tarifeleri'!X103,'Komisyon Tarifeleri'!S103))))/100)-$D103-IF(AF103&lt;=199.99,Kargo!$E$2,IF(AF103&lt;=399.99,Kargo!$E$3,$F103)))</f>
        <v/>
      </c>
      <c r="AH103" s="17">
        <f>IF(AG103="","",AG103/AF103)</f>
        <v/>
      </c>
      <c r="AI103" s="18">
        <f>IF($D103="","",IF(Y103="","BUYBOX YOK → hedef kârla min fiyat",IF(AC103&gt;=W103,"✓ BUYBOX ALTINA GİR","BUYBOX ALTI KÂRSIZ → min kârlı fiyat")))</f>
        <v/>
      </c>
      <c r="AJ103" s="10">
        <f>IF($B103="","",IFERROR(VLOOKUP($B103,Maliyetler!$A:$G,6,FALSE),""))</f>
        <v/>
      </c>
      <c r="AK103">
        <f>IF($B103="","",IFERROR(VLOOKUP($B103,Maliyetler!$A:$G,7,FALSE),""))</f>
        <v/>
      </c>
      <c r="AO103" s="21">
        <f>IF($B103="","",IFERROR(VLOOKUP($B103&amp;"",'Plus Tarifeleri'!$C:$Q,11,FALSE),""))</f>
        <v/>
      </c>
      <c r="AP103" s="22">
        <f>IF(AO103="","",IFERROR(IF($AM$1=2,VLOOKUP($B103&amp;"",'Plus Tarifeleri'!$C:$Q,15,FALSE),VLOOKUP($B103&amp;"",'Plus Tarifeleri'!$C:$Q,13,FALSE)),""))</f>
        <v/>
      </c>
      <c r="AQ103" s="21">
        <f>IF(OR(AO103="",AP103="",$D103=""),"",AO103*(1-AP103/100)-$D103-IF(AO103&lt;=199.99,Kargo!$E$2,IF(AO103&lt;=399.99,Kargo!$E$3,$F103)))</f>
        <v/>
      </c>
      <c r="AR103" s="23">
        <f>IF(AQ103="","",AQ103/AO103)</f>
        <v/>
      </c>
      <c r="AS103" s="24">
        <f>IF(OR(AQ103="",AG103=""),"",AQ103-AG103)</f>
        <v/>
      </c>
    </row>
    <row r="104">
      <c r="A104">
        <f>IF('Komisyon Tarifeleri'!A104="","",'Komisyon Tarifeleri'!A104)</f>
        <v/>
      </c>
      <c r="B104">
        <f>IF('Komisyon Tarifeleri'!B104="","",'Komisyon Tarifeleri'!B104&amp;"")</f>
        <v/>
      </c>
      <c r="C104">
        <f>IF($B104="","",'Komisyon Tarifeleri'!F104)</f>
        <v/>
      </c>
      <c r="D104" s="10">
        <f>IF($B104="","",IFERROR(VLOOKUP($B104,Maliyetler!$A:$E,3,FALSE),""))</f>
        <v/>
      </c>
      <c r="E104">
        <f>IF($B104="","",IFERROR(VLOOKUP($B104,Maliyetler!$A:$E,4,FALSE),1))</f>
        <v/>
      </c>
      <c r="F104" s="10">
        <f>IF($B104="","",IFERROR(VLOOKUP(MIN(20,MAX(1,ROUND($E104,0))),Kargo!$A:$B,2,FALSE),99.46))</f>
        <v/>
      </c>
      <c r="G104" s="10">
        <f>IF($B104="","",IF(IF(N('Komisyon Tarifeleri'!AA104)&gt;='Komisyon Tarifeleri'!I104,'Komisyon Tarifeleri'!AA104,'Komisyon Tarifeleri'!I104)="","",IF(N('Komisyon Tarifeleri'!AA104)&gt;='Komisyon Tarifeleri'!I104,'Komisyon Tarifeleri'!AA104,'Komisyon Tarifeleri'!I104)))</f>
        <v/>
      </c>
      <c r="H104" s="11">
        <f>IF(G104="","",IF($AM$1=2,'Komisyon Tarifeleri'!U104,'Komisyon Tarifeleri'!P104))</f>
        <v/>
      </c>
      <c r="I104" s="10">
        <f>IF(OR(G104="",$D104=""),"",G104*(1-H104/100)-$D104-IF(G104&lt;=199.99,Kargo!$E$2,IF(G104&lt;=399.99,Kargo!$E$3,$F104)))</f>
        <v/>
      </c>
      <c r="J104" s="12">
        <f>IF(I104="","",I104/G104)</f>
        <v/>
      </c>
      <c r="K104" s="10">
        <f>IF($B104="","",IF('Komisyon Tarifeleri'!J104="","",'Komisyon Tarifeleri'!J104))</f>
        <v/>
      </c>
      <c r="L104" s="11">
        <f>IF(K104="","",IF($AM$1=2,'Komisyon Tarifeleri'!V104,'Komisyon Tarifeleri'!Q104))</f>
        <v/>
      </c>
      <c r="M104" s="10">
        <f>IF(OR(K104="",$D104=""),"",K104*(1-L104/100)-$D104-IF(K104&lt;=199.99,Kargo!$E$2,IF(K104&lt;=399.99,Kargo!$E$3,$F104)))</f>
        <v/>
      </c>
      <c r="N104" s="12">
        <f>IF(M104="","",M104/K104)</f>
        <v/>
      </c>
      <c r="O104" s="10">
        <f>IF($B104="","",IF('Komisyon Tarifeleri'!L104="","",'Komisyon Tarifeleri'!L104))</f>
        <v/>
      </c>
      <c r="P104" s="11">
        <f>IF(O104="","",IF($AM$1=2,'Komisyon Tarifeleri'!W104,'Komisyon Tarifeleri'!R104))</f>
        <v/>
      </c>
      <c r="Q104" s="10">
        <f>IF(OR(O104="",$D104=""),"",O104*(1-P104/100)-$D104-IF(O104&lt;=199.99,Kargo!$E$2,IF(O104&lt;=399.99,Kargo!$E$3,$F104)))</f>
        <v/>
      </c>
      <c r="R104" s="12">
        <f>IF(Q104="","",Q104/O104)</f>
        <v/>
      </c>
      <c r="S104" s="10">
        <f>IF($B104="","",IF('Komisyon Tarifeleri'!N104="","",'Komisyon Tarifeleri'!N104))</f>
        <v/>
      </c>
      <c r="T104" s="11">
        <f>IF(S104="","",IF($AM$1=2,'Komisyon Tarifeleri'!X104,'Komisyon Tarifeleri'!S104))</f>
        <v/>
      </c>
      <c r="U104" s="10">
        <f>IF(OR(S104="",$D104=""),"",S104*(1-T104/100)-$D104-IF(S104&lt;=199.99,Kargo!$E$2,IF(S104&lt;=399.99,Kargo!$E$3,$F104)))</f>
        <v/>
      </c>
      <c r="V104" s="12">
        <f>IF(U104="","",U104/S104)</f>
        <v/>
      </c>
      <c r="W104" s="12">
        <f>IF($B104="","",IFERROR(VLOOKUP($C104,Hedefler!$A:$C,2,FALSE),0.04))</f>
        <v/>
      </c>
      <c r="X104" s="12">
        <f>IF($B104="","",IFERROR(VLOOKUP($C104,Hedefler!$A:$C,3,FALSE),0.1))</f>
        <v/>
      </c>
      <c r="Y104" s="13">
        <f>IF($B104="","",IFERROR(VLOOKUP($B104,Maliyetler!$A:$E,5,FALSE),""))</f>
        <v/>
      </c>
      <c r="Z104" s="13">
        <f>IF(OR(Y104="",Y104=0),"",Y104-1)</f>
        <v/>
      </c>
      <c r="AA104" s="14">
        <f>IF(Z104="","",IF(Z104&gt;='Komisyon Tarifeleri'!I104,IF($AM$1=2,'Komisyon Tarifeleri'!U104,'Komisyon Tarifeleri'!P104),IF(Z104&gt;='Komisyon Tarifeleri'!K104,IF($AM$1=2,'Komisyon Tarifeleri'!V104,'Komisyon Tarifeleri'!Q104),IF(Z104&gt;='Komisyon Tarifeleri'!M104,IF($AM$1=2,'Komisyon Tarifeleri'!W104,'Komisyon Tarifeleri'!R104),IF($AM$1=2,'Komisyon Tarifeleri'!X104,'Komisyon Tarifeleri'!S104)))))</f>
        <v/>
      </c>
      <c r="AB104" s="13">
        <f>IF(OR(AA104="",$D104=""),"",Z104*(1-AA104/100)-$D104-IF(Z104&lt;=199.99,Kargo!$E$2,IF(Z104&lt;=399.99,Kargo!$E$3,$F104)))</f>
        <v/>
      </c>
      <c r="AC104" s="15">
        <f>IF(AB104="","",AB104/Z104)</f>
        <v/>
      </c>
      <c r="AD104" s="10">
        <f>IF(OR($D104="",$B104=""),"",IF(AND((1-T104/100-W104)&gt;0,CEILING(($D104+$F104)/(1-T104/100-W104),1)&lt;='Komisyon Tarifeleri'!N104),CEILING(($D104+$F104)/(1-T104/100-W104),1),IF(AND((1-P104/100-W104)&gt;0,CEILING(MAX('Komisyon Tarifeleri'!M104,($D104+$F104)/(1-P104/100-W104)),1)&lt;='Komisyon Tarifeleri'!L104),CEILING(MAX('Komisyon Tarifeleri'!M104,($D104+$F104)/(1-P104/100-W104)),1),IF(AND((1-L104/100-W104)&gt;0,CEILING(MAX('Komisyon Tarifeleri'!K104,($D104+$F104)/(1-L104/100-W104)),1)&lt;='Komisyon Tarifeleri'!J104),CEILING(MAX('Komisyon Tarifeleri'!K104,($D104+$F104)/(1-L104/100-W104)),1),IF((1-H104/100-W104)&gt;0,CEILING(MAX('Komisyon Tarifeleri'!I104,($D104+$F104)/(1-H104/100-W104)),1),"İMKÂNSIZ")))))</f>
        <v/>
      </c>
      <c r="AE104" s="10">
        <f>IF(OR($D104="",$B104=""),"",IF(AND((1-T104/100-X104)&gt;0,CEILING(($D104+$F104)/(1-T104/100-X104),1)&lt;='Komisyon Tarifeleri'!N104),CEILING(($D104+$F104)/(1-T104/100-X104),1),IF(AND((1-P104/100-X104)&gt;0,CEILING(MAX('Komisyon Tarifeleri'!M104,($D104+$F104)/(1-P104/100-X104)),1)&lt;='Komisyon Tarifeleri'!L104),CEILING(MAX('Komisyon Tarifeleri'!M104,($D104+$F104)/(1-P104/100-X104)),1),IF(AND((1-L104/100-X104)&gt;0,CEILING(MAX('Komisyon Tarifeleri'!K104,($D104+$F104)/(1-L104/100-X104)),1)&lt;='Komisyon Tarifeleri'!J104),CEILING(MAX('Komisyon Tarifeleri'!K104,($D104+$F104)/(1-L104/100-X104)),1),IF((1-H104/100-X104)&gt;0,CEILING(MAX('Komisyon Tarifeleri'!I104,($D104+$F104)/(1-H104/100-X104)),1),"İMKÂNSIZ")))))</f>
        <v/>
      </c>
      <c r="AF104" s="16">
        <f>IF($D104="","",IF(AND(Y104&lt;&gt;"",AC104&lt;&gt;"",AC104&gt;=W104),Z104,IF(Y104&lt;&gt;"",AD104,AE104)))</f>
        <v/>
      </c>
      <c r="AG104" s="16">
        <f>IF(OR(AF104="",AF104="İMKÂNSIZ"),"",AF104*(1-IF(AF104&gt;='Komisyon Tarifeleri'!I104,IF($AM$1=2,'Komisyon Tarifeleri'!U104,'Komisyon Tarifeleri'!P104),IF(AF104&gt;='Komisyon Tarifeleri'!K104,IF($AM$1=2,'Komisyon Tarifeleri'!V104,'Komisyon Tarifeleri'!Q104),IF(AF104&gt;='Komisyon Tarifeleri'!M104,IF($AM$1=2,'Komisyon Tarifeleri'!W104,'Komisyon Tarifeleri'!R104),IF($AM$1=2,'Komisyon Tarifeleri'!X104,'Komisyon Tarifeleri'!S104))))/100)-$D104-IF(AF104&lt;=199.99,Kargo!$E$2,IF(AF104&lt;=399.99,Kargo!$E$3,$F104)))</f>
        <v/>
      </c>
      <c r="AH104" s="17">
        <f>IF(AG104="","",AG104/AF104)</f>
        <v/>
      </c>
      <c r="AI104" s="18">
        <f>IF($D104="","",IF(Y104="","BUYBOX YOK → hedef kârla min fiyat",IF(AC104&gt;=W104,"✓ BUYBOX ALTINA GİR","BUYBOX ALTI KÂRSIZ → min kârlı fiyat")))</f>
        <v/>
      </c>
      <c r="AJ104" s="10">
        <f>IF($B104="","",IFERROR(VLOOKUP($B104,Maliyetler!$A:$G,6,FALSE),""))</f>
        <v/>
      </c>
      <c r="AK104">
        <f>IF($B104="","",IFERROR(VLOOKUP($B104,Maliyetler!$A:$G,7,FALSE),""))</f>
        <v/>
      </c>
      <c r="AO104" s="21">
        <f>IF($B104="","",IFERROR(VLOOKUP($B104&amp;"",'Plus Tarifeleri'!$C:$Q,11,FALSE),""))</f>
        <v/>
      </c>
      <c r="AP104" s="22">
        <f>IF(AO104="","",IFERROR(IF($AM$1=2,VLOOKUP($B104&amp;"",'Plus Tarifeleri'!$C:$Q,15,FALSE),VLOOKUP($B104&amp;"",'Plus Tarifeleri'!$C:$Q,13,FALSE)),""))</f>
        <v/>
      </c>
      <c r="AQ104" s="21">
        <f>IF(OR(AO104="",AP104="",$D104=""),"",AO104*(1-AP104/100)-$D104-IF(AO104&lt;=199.99,Kargo!$E$2,IF(AO104&lt;=399.99,Kargo!$E$3,$F104)))</f>
        <v/>
      </c>
      <c r="AR104" s="23">
        <f>IF(AQ104="","",AQ104/AO104)</f>
        <v/>
      </c>
      <c r="AS104" s="24">
        <f>IF(OR(AQ104="",AG104=""),"",AQ104-AG104)</f>
        <v/>
      </c>
    </row>
    <row r="105">
      <c r="A105">
        <f>IF('Komisyon Tarifeleri'!A105="","",'Komisyon Tarifeleri'!A105)</f>
        <v/>
      </c>
      <c r="B105">
        <f>IF('Komisyon Tarifeleri'!B105="","",'Komisyon Tarifeleri'!B105&amp;"")</f>
        <v/>
      </c>
      <c r="C105">
        <f>IF($B105="","",'Komisyon Tarifeleri'!F105)</f>
        <v/>
      </c>
      <c r="D105" s="10">
        <f>IF($B105="","",IFERROR(VLOOKUP($B105,Maliyetler!$A:$E,3,FALSE),""))</f>
        <v/>
      </c>
      <c r="E105">
        <f>IF($B105="","",IFERROR(VLOOKUP($B105,Maliyetler!$A:$E,4,FALSE),1))</f>
        <v/>
      </c>
      <c r="F105" s="10">
        <f>IF($B105="","",IFERROR(VLOOKUP(MIN(20,MAX(1,ROUND($E105,0))),Kargo!$A:$B,2,FALSE),99.46))</f>
        <v/>
      </c>
      <c r="G105" s="10">
        <f>IF($B105="","",IF(IF(N('Komisyon Tarifeleri'!AA105)&gt;='Komisyon Tarifeleri'!I105,'Komisyon Tarifeleri'!AA105,'Komisyon Tarifeleri'!I105)="","",IF(N('Komisyon Tarifeleri'!AA105)&gt;='Komisyon Tarifeleri'!I105,'Komisyon Tarifeleri'!AA105,'Komisyon Tarifeleri'!I105)))</f>
        <v/>
      </c>
      <c r="H105" s="11">
        <f>IF(G105="","",IF($AM$1=2,'Komisyon Tarifeleri'!U105,'Komisyon Tarifeleri'!P105))</f>
        <v/>
      </c>
      <c r="I105" s="10">
        <f>IF(OR(G105="",$D105=""),"",G105*(1-H105/100)-$D105-IF(G105&lt;=199.99,Kargo!$E$2,IF(G105&lt;=399.99,Kargo!$E$3,$F105)))</f>
        <v/>
      </c>
      <c r="J105" s="12">
        <f>IF(I105="","",I105/G105)</f>
        <v/>
      </c>
      <c r="K105" s="10">
        <f>IF($B105="","",IF('Komisyon Tarifeleri'!J105="","",'Komisyon Tarifeleri'!J105))</f>
        <v/>
      </c>
      <c r="L105" s="11">
        <f>IF(K105="","",IF($AM$1=2,'Komisyon Tarifeleri'!V105,'Komisyon Tarifeleri'!Q105))</f>
        <v/>
      </c>
      <c r="M105" s="10">
        <f>IF(OR(K105="",$D105=""),"",K105*(1-L105/100)-$D105-IF(K105&lt;=199.99,Kargo!$E$2,IF(K105&lt;=399.99,Kargo!$E$3,$F105)))</f>
        <v/>
      </c>
      <c r="N105" s="12">
        <f>IF(M105="","",M105/K105)</f>
        <v/>
      </c>
      <c r="O105" s="10">
        <f>IF($B105="","",IF('Komisyon Tarifeleri'!L105="","",'Komisyon Tarifeleri'!L105))</f>
        <v/>
      </c>
      <c r="P105" s="11">
        <f>IF(O105="","",IF($AM$1=2,'Komisyon Tarifeleri'!W105,'Komisyon Tarifeleri'!R105))</f>
        <v/>
      </c>
      <c r="Q105" s="10">
        <f>IF(OR(O105="",$D105=""),"",O105*(1-P105/100)-$D105-IF(O105&lt;=199.99,Kargo!$E$2,IF(O105&lt;=399.99,Kargo!$E$3,$F105)))</f>
        <v/>
      </c>
      <c r="R105" s="12">
        <f>IF(Q105="","",Q105/O105)</f>
        <v/>
      </c>
      <c r="S105" s="10">
        <f>IF($B105="","",IF('Komisyon Tarifeleri'!N105="","",'Komisyon Tarifeleri'!N105))</f>
        <v/>
      </c>
      <c r="T105" s="11">
        <f>IF(S105="","",IF($AM$1=2,'Komisyon Tarifeleri'!X105,'Komisyon Tarifeleri'!S105))</f>
        <v/>
      </c>
      <c r="U105" s="10">
        <f>IF(OR(S105="",$D105=""),"",S105*(1-T105/100)-$D105-IF(S105&lt;=199.99,Kargo!$E$2,IF(S105&lt;=399.99,Kargo!$E$3,$F105)))</f>
        <v/>
      </c>
      <c r="V105" s="12">
        <f>IF(U105="","",U105/S105)</f>
        <v/>
      </c>
      <c r="W105" s="12">
        <f>IF($B105="","",IFERROR(VLOOKUP($C105,Hedefler!$A:$C,2,FALSE),0.04))</f>
        <v/>
      </c>
      <c r="X105" s="12">
        <f>IF($B105="","",IFERROR(VLOOKUP($C105,Hedefler!$A:$C,3,FALSE),0.1))</f>
        <v/>
      </c>
      <c r="Y105" s="13">
        <f>IF($B105="","",IFERROR(VLOOKUP($B105,Maliyetler!$A:$E,5,FALSE),""))</f>
        <v/>
      </c>
      <c r="Z105" s="13">
        <f>IF(OR(Y105="",Y105=0),"",Y105-1)</f>
        <v/>
      </c>
      <c r="AA105" s="14">
        <f>IF(Z105="","",IF(Z105&gt;='Komisyon Tarifeleri'!I105,IF($AM$1=2,'Komisyon Tarifeleri'!U105,'Komisyon Tarifeleri'!P105),IF(Z105&gt;='Komisyon Tarifeleri'!K105,IF($AM$1=2,'Komisyon Tarifeleri'!V105,'Komisyon Tarifeleri'!Q105),IF(Z105&gt;='Komisyon Tarifeleri'!M105,IF($AM$1=2,'Komisyon Tarifeleri'!W105,'Komisyon Tarifeleri'!R105),IF($AM$1=2,'Komisyon Tarifeleri'!X105,'Komisyon Tarifeleri'!S105)))))</f>
        <v/>
      </c>
      <c r="AB105" s="13">
        <f>IF(OR(AA105="",$D105=""),"",Z105*(1-AA105/100)-$D105-IF(Z105&lt;=199.99,Kargo!$E$2,IF(Z105&lt;=399.99,Kargo!$E$3,$F105)))</f>
        <v/>
      </c>
      <c r="AC105" s="15">
        <f>IF(AB105="","",AB105/Z105)</f>
        <v/>
      </c>
      <c r="AD105" s="10">
        <f>IF(OR($D105="",$B105=""),"",IF(AND((1-T105/100-W105)&gt;0,CEILING(($D105+$F105)/(1-T105/100-W105),1)&lt;='Komisyon Tarifeleri'!N105),CEILING(($D105+$F105)/(1-T105/100-W105),1),IF(AND((1-P105/100-W105)&gt;0,CEILING(MAX('Komisyon Tarifeleri'!M105,($D105+$F105)/(1-P105/100-W105)),1)&lt;='Komisyon Tarifeleri'!L105),CEILING(MAX('Komisyon Tarifeleri'!M105,($D105+$F105)/(1-P105/100-W105)),1),IF(AND((1-L105/100-W105)&gt;0,CEILING(MAX('Komisyon Tarifeleri'!K105,($D105+$F105)/(1-L105/100-W105)),1)&lt;='Komisyon Tarifeleri'!J105),CEILING(MAX('Komisyon Tarifeleri'!K105,($D105+$F105)/(1-L105/100-W105)),1),IF((1-H105/100-W105)&gt;0,CEILING(MAX('Komisyon Tarifeleri'!I105,($D105+$F105)/(1-H105/100-W105)),1),"İMKÂNSIZ")))))</f>
        <v/>
      </c>
      <c r="AE105" s="10">
        <f>IF(OR($D105="",$B105=""),"",IF(AND((1-T105/100-X105)&gt;0,CEILING(($D105+$F105)/(1-T105/100-X105),1)&lt;='Komisyon Tarifeleri'!N105),CEILING(($D105+$F105)/(1-T105/100-X105),1),IF(AND((1-P105/100-X105)&gt;0,CEILING(MAX('Komisyon Tarifeleri'!M105,($D105+$F105)/(1-P105/100-X105)),1)&lt;='Komisyon Tarifeleri'!L105),CEILING(MAX('Komisyon Tarifeleri'!M105,($D105+$F105)/(1-P105/100-X105)),1),IF(AND((1-L105/100-X105)&gt;0,CEILING(MAX('Komisyon Tarifeleri'!K105,($D105+$F105)/(1-L105/100-X105)),1)&lt;='Komisyon Tarifeleri'!J105),CEILING(MAX('Komisyon Tarifeleri'!K105,($D105+$F105)/(1-L105/100-X105)),1),IF((1-H105/100-X105)&gt;0,CEILING(MAX('Komisyon Tarifeleri'!I105,($D105+$F105)/(1-H105/100-X105)),1),"İMKÂNSIZ")))))</f>
        <v/>
      </c>
      <c r="AF105" s="16">
        <f>IF($D105="","",IF(AND(Y105&lt;&gt;"",AC105&lt;&gt;"",AC105&gt;=W105),Z105,IF(Y105&lt;&gt;"",AD105,AE105)))</f>
        <v/>
      </c>
      <c r="AG105" s="16">
        <f>IF(OR(AF105="",AF105="İMKÂNSIZ"),"",AF105*(1-IF(AF105&gt;='Komisyon Tarifeleri'!I105,IF($AM$1=2,'Komisyon Tarifeleri'!U105,'Komisyon Tarifeleri'!P105),IF(AF105&gt;='Komisyon Tarifeleri'!K105,IF($AM$1=2,'Komisyon Tarifeleri'!V105,'Komisyon Tarifeleri'!Q105),IF(AF105&gt;='Komisyon Tarifeleri'!M105,IF($AM$1=2,'Komisyon Tarifeleri'!W105,'Komisyon Tarifeleri'!R105),IF($AM$1=2,'Komisyon Tarifeleri'!X105,'Komisyon Tarifeleri'!S105))))/100)-$D105-IF(AF105&lt;=199.99,Kargo!$E$2,IF(AF105&lt;=399.99,Kargo!$E$3,$F105)))</f>
        <v/>
      </c>
      <c r="AH105" s="17">
        <f>IF(AG105="","",AG105/AF105)</f>
        <v/>
      </c>
      <c r="AI105" s="18">
        <f>IF($D105="","",IF(Y105="","BUYBOX YOK → hedef kârla min fiyat",IF(AC105&gt;=W105,"✓ BUYBOX ALTINA GİR","BUYBOX ALTI KÂRSIZ → min kârlı fiyat")))</f>
        <v/>
      </c>
      <c r="AJ105" s="10">
        <f>IF($B105="","",IFERROR(VLOOKUP($B105,Maliyetler!$A:$G,6,FALSE),""))</f>
        <v/>
      </c>
      <c r="AK105">
        <f>IF($B105="","",IFERROR(VLOOKUP($B105,Maliyetler!$A:$G,7,FALSE),""))</f>
        <v/>
      </c>
      <c r="AO105" s="21">
        <f>IF($B105="","",IFERROR(VLOOKUP($B105&amp;"",'Plus Tarifeleri'!$C:$Q,11,FALSE),""))</f>
        <v/>
      </c>
      <c r="AP105" s="22">
        <f>IF(AO105="","",IFERROR(IF($AM$1=2,VLOOKUP($B105&amp;"",'Plus Tarifeleri'!$C:$Q,15,FALSE),VLOOKUP($B105&amp;"",'Plus Tarifeleri'!$C:$Q,13,FALSE)),""))</f>
        <v/>
      </c>
      <c r="AQ105" s="21">
        <f>IF(OR(AO105="",AP105="",$D105=""),"",AO105*(1-AP105/100)-$D105-IF(AO105&lt;=199.99,Kargo!$E$2,IF(AO105&lt;=399.99,Kargo!$E$3,$F105)))</f>
        <v/>
      </c>
      <c r="AR105" s="23">
        <f>IF(AQ105="","",AQ105/AO105)</f>
        <v/>
      </c>
      <c r="AS105" s="24">
        <f>IF(OR(AQ105="",AG105=""),"",AQ105-AG105)</f>
        <v/>
      </c>
    </row>
    <row r="106">
      <c r="A106">
        <f>IF('Komisyon Tarifeleri'!A106="","",'Komisyon Tarifeleri'!A106)</f>
        <v/>
      </c>
      <c r="B106">
        <f>IF('Komisyon Tarifeleri'!B106="","",'Komisyon Tarifeleri'!B106&amp;"")</f>
        <v/>
      </c>
      <c r="C106">
        <f>IF($B106="","",'Komisyon Tarifeleri'!F106)</f>
        <v/>
      </c>
      <c r="D106" s="10">
        <f>IF($B106="","",IFERROR(VLOOKUP($B106,Maliyetler!$A:$E,3,FALSE),""))</f>
        <v/>
      </c>
      <c r="E106">
        <f>IF($B106="","",IFERROR(VLOOKUP($B106,Maliyetler!$A:$E,4,FALSE),1))</f>
        <v/>
      </c>
      <c r="F106" s="10">
        <f>IF($B106="","",IFERROR(VLOOKUP(MIN(20,MAX(1,ROUND($E106,0))),Kargo!$A:$B,2,FALSE),99.46))</f>
        <v/>
      </c>
      <c r="G106" s="10">
        <f>IF($B106="","",IF(IF(N('Komisyon Tarifeleri'!AA106)&gt;='Komisyon Tarifeleri'!I106,'Komisyon Tarifeleri'!AA106,'Komisyon Tarifeleri'!I106)="","",IF(N('Komisyon Tarifeleri'!AA106)&gt;='Komisyon Tarifeleri'!I106,'Komisyon Tarifeleri'!AA106,'Komisyon Tarifeleri'!I106)))</f>
        <v/>
      </c>
      <c r="H106" s="11">
        <f>IF(G106="","",IF($AM$1=2,'Komisyon Tarifeleri'!U106,'Komisyon Tarifeleri'!P106))</f>
        <v/>
      </c>
      <c r="I106" s="10">
        <f>IF(OR(G106="",$D106=""),"",G106*(1-H106/100)-$D106-IF(G106&lt;=199.99,Kargo!$E$2,IF(G106&lt;=399.99,Kargo!$E$3,$F106)))</f>
        <v/>
      </c>
      <c r="J106" s="12">
        <f>IF(I106="","",I106/G106)</f>
        <v/>
      </c>
      <c r="K106" s="10">
        <f>IF($B106="","",IF('Komisyon Tarifeleri'!J106="","",'Komisyon Tarifeleri'!J106))</f>
        <v/>
      </c>
      <c r="L106" s="11">
        <f>IF(K106="","",IF($AM$1=2,'Komisyon Tarifeleri'!V106,'Komisyon Tarifeleri'!Q106))</f>
        <v/>
      </c>
      <c r="M106" s="10">
        <f>IF(OR(K106="",$D106=""),"",K106*(1-L106/100)-$D106-IF(K106&lt;=199.99,Kargo!$E$2,IF(K106&lt;=399.99,Kargo!$E$3,$F106)))</f>
        <v/>
      </c>
      <c r="N106" s="12">
        <f>IF(M106="","",M106/K106)</f>
        <v/>
      </c>
      <c r="O106" s="10">
        <f>IF($B106="","",IF('Komisyon Tarifeleri'!L106="","",'Komisyon Tarifeleri'!L106))</f>
        <v/>
      </c>
      <c r="P106" s="11">
        <f>IF(O106="","",IF($AM$1=2,'Komisyon Tarifeleri'!W106,'Komisyon Tarifeleri'!R106))</f>
        <v/>
      </c>
      <c r="Q106" s="10">
        <f>IF(OR(O106="",$D106=""),"",O106*(1-P106/100)-$D106-IF(O106&lt;=199.99,Kargo!$E$2,IF(O106&lt;=399.99,Kargo!$E$3,$F106)))</f>
        <v/>
      </c>
      <c r="R106" s="12">
        <f>IF(Q106="","",Q106/O106)</f>
        <v/>
      </c>
      <c r="S106" s="10">
        <f>IF($B106="","",IF('Komisyon Tarifeleri'!N106="","",'Komisyon Tarifeleri'!N106))</f>
        <v/>
      </c>
      <c r="T106" s="11">
        <f>IF(S106="","",IF($AM$1=2,'Komisyon Tarifeleri'!X106,'Komisyon Tarifeleri'!S106))</f>
        <v/>
      </c>
      <c r="U106" s="10">
        <f>IF(OR(S106="",$D106=""),"",S106*(1-T106/100)-$D106-IF(S106&lt;=199.99,Kargo!$E$2,IF(S106&lt;=399.99,Kargo!$E$3,$F106)))</f>
        <v/>
      </c>
      <c r="V106" s="12">
        <f>IF(U106="","",U106/S106)</f>
        <v/>
      </c>
      <c r="W106" s="12">
        <f>IF($B106="","",IFERROR(VLOOKUP($C106,Hedefler!$A:$C,2,FALSE),0.04))</f>
        <v/>
      </c>
      <c r="X106" s="12">
        <f>IF($B106="","",IFERROR(VLOOKUP($C106,Hedefler!$A:$C,3,FALSE),0.1))</f>
        <v/>
      </c>
      <c r="Y106" s="13">
        <f>IF($B106="","",IFERROR(VLOOKUP($B106,Maliyetler!$A:$E,5,FALSE),""))</f>
        <v/>
      </c>
      <c r="Z106" s="13">
        <f>IF(OR(Y106="",Y106=0),"",Y106-1)</f>
        <v/>
      </c>
      <c r="AA106" s="14">
        <f>IF(Z106="","",IF(Z106&gt;='Komisyon Tarifeleri'!I106,IF($AM$1=2,'Komisyon Tarifeleri'!U106,'Komisyon Tarifeleri'!P106),IF(Z106&gt;='Komisyon Tarifeleri'!K106,IF($AM$1=2,'Komisyon Tarifeleri'!V106,'Komisyon Tarifeleri'!Q106),IF(Z106&gt;='Komisyon Tarifeleri'!M106,IF($AM$1=2,'Komisyon Tarifeleri'!W106,'Komisyon Tarifeleri'!R106),IF($AM$1=2,'Komisyon Tarifeleri'!X106,'Komisyon Tarifeleri'!S106)))))</f>
        <v/>
      </c>
      <c r="AB106" s="13">
        <f>IF(OR(AA106="",$D106=""),"",Z106*(1-AA106/100)-$D106-IF(Z106&lt;=199.99,Kargo!$E$2,IF(Z106&lt;=399.99,Kargo!$E$3,$F106)))</f>
        <v/>
      </c>
      <c r="AC106" s="15">
        <f>IF(AB106="","",AB106/Z106)</f>
        <v/>
      </c>
      <c r="AD106" s="10">
        <f>IF(OR($D106="",$B106=""),"",IF(AND((1-T106/100-W106)&gt;0,CEILING(($D106+$F106)/(1-T106/100-W106),1)&lt;='Komisyon Tarifeleri'!N106),CEILING(($D106+$F106)/(1-T106/100-W106),1),IF(AND((1-P106/100-W106)&gt;0,CEILING(MAX('Komisyon Tarifeleri'!M106,($D106+$F106)/(1-P106/100-W106)),1)&lt;='Komisyon Tarifeleri'!L106),CEILING(MAX('Komisyon Tarifeleri'!M106,($D106+$F106)/(1-P106/100-W106)),1),IF(AND((1-L106/100-W106)&gt;0,CEILING(MAX('Komisyon Tarifeleri'!K106,($D106+$F106)/(1-L106/100-W106)),1)&lt;='Komisyon Tarifeleri'!J106),CEILING(MAX('Komisyon Tarifeleri'!K106,($D106+$F106)/(1-L106/100-W106)),1),IF((1-H106/100-W106)&gt;0,CEILING(MAX('Komisyon Tarifeleri'!I106,($D106+$F106)/(1-H106/100-W106)),1),"İMKÂNSIZ")))))</f>
        <v/>
      </c>
      <c r="AE106" s="10">
        <f>IF(OR($D106="",$B106=""),"",IF(AND((1-T106/100-X106)&gt;0,CEILING(($D106+$F106)/(1-T106/100-X106),1)&lt;='Komisyon Tarifeleri'!N106),CEILING(($D106+$F106)/(1-T106/100-X106),1),IF(AND((1-P106/100-X106)&gt;0,CEILING(MAX('Komisyon Tarifeleri'!M106,($D106+$F106)/(1-P106/100-X106)),1)&lt;='Komisyon Tarifeleri'!L106),CEILING(MAX('Komisyon Tarifeleri'!M106,($D106+$F106)/(1-P106/100-X106)),1),IF(AND((1-L106/100-X106)&gt;0,CEILING(MAX('Komisyon Tarifeleri'!K106,($D106+$F106)/(1-L106/100-X106)),1)&lt;='Komisyon Tarifeleri'!J106),CEILING(MAX('Komisyon Tarifeleri'!K106,($D106+$F106)/(1-L106/100-X106)),1),IF((1-H106/100-X106)&gt;0,CEILING(MAX('Komisyon Tarifeleri'!I106,($D106+$F106)/(1-H106/100-X106)),1),"İMKÂNSIZ")))))</f>
        <v/>
      </c>
      <c r="AF106" s="16">
        <f>IF($D106="","",IF(AND(Y106&lt;&gt;"",AC106&lt;&gt;"",AC106&gt;=W106),Z106,IF(Y106&lt;&gt;"",AD106,AE106)))</f>
        <v/>
      </c>
      <c r="AG106" s="16">
        <f>IF(OR(AF106="",AF106="İMKÂNSIZ"),"",AF106*(1-IF(AF106&gt;='Komisyon Tarifeleri'!I106,IF($AM$1=2,'Komisyon Tarifeleri'!U106,'Komisyon Tarifeleri'!P106),IF(AF106&gt;='Komisyon Tarifeleri'!K106,IF($AM$1=2,'Komisyon Tarifeleri'!V106,'Komisyon Tarifeleri'!Q106),IF(AF106&gt;='Komisyon Tarifeleri'!M106,IF($AM$1=2,'Komisyon Tarifeleri'!W106,'Komisyon Tarifeleri'!R106),IF($AM$1=2,'Komisyon Tarifeleri'!X106,'Komisyon Tarifeleri'!S106))))/100)-$D106-IF(AF106&lt;=199.99,Kargo!$E$2,IF(AF106&lt;=399.99,Kargo!$E$3,$F106)))</f>
        <v/>
      </c>
      <c r="AH106" s="17">
        <f>IF(AG106="","",AG106/AF106)</f>
        <v/>
      </c>
      <c r="AI106" s="18">
        <f>IF($D106="","",IF(Y106="","BUYBOX YOK → hedef kârla min fiyat",IF(AC106&gt;=W106,"✓ BUYBOX ALTINA GİR","BUYBOX ALTI KÂRSIZ → min kârlı fiyat")))</f>
        <v/>
      </c>
      <c r="AJ106" s="10">
        <f>IF($B106="","",IFERROR(VLOOKUP($B106,Maliyetler!$A:$G,6,FALSE),""))</f>
        <v/>
      </c>
      <c r="AK106">
        <f>IF($B106="","",IFERROR(VLOOKUP($B106,Maliyetler!$A:$G,7,FALSE),""))</f>
        <v/>
      </c>
      <c r="AO106" s="21">
        <f>IF($B106="","",IFERROR(VLOOKUP($B106&amp;"",'Plus Tarifeleri'!$C:$Q,11,FALSE),""))</f>
        <v/>
      </c>
      <c r="AP106" s="22">
        <f>IF(AO106="","",IFERROR(IF($AM$1=2,VLOOKUP($B106&amp;"",'Plus Tarifeleri'!$C:$Q,15,FALSE),VLOOKUP($B106&amp;"",'Plus Tarifeleri'!$C:$Q,13,FALSE)),""))</f>
        <v/>
      </c>
      <c r="AQ106" s="21">
        <f>IF(OR(AO106="",AP106="",$D106=""),"",AO106*(1-AP106/100)-$D106-IF(AO106&lt;=199.99,Kargo!$E$2,IF(AO106&lt;=399.99,Kargo!$E$3,$F106)))</f>
        <v/>
      </c>
      <c r="AR106" s="23">
        <f>IF(AQ106="","",AQ106/AO106)</f>
        <v/>
      </c>
      <c r="AS106" s="24">
        <f>IF(OR(AQ106="",AG106=""),"",AQ106-AG106)</f>
        <v/>
      </c>
    </row>
    <row r="107">
      <c r="A107">
        <f>IF('Komisyon Tarifeleri'!A107="","",'Komisyon Tarifeleri'!A107)</f>
        <v/>
      </c>
      <c r="B107">
        <f>IF('Komisyon Tarifeleri'!B107="","",'Komisyon Tarifeleri'!B107&amp;"")</f>
        <v/>
      </c>
      <c r="C107">
        <f>IF($B107="","",'Komisyon Tarifeleri'!F107)</f>
        <v/>
      </c>
      <c r="D107" s="10">
        <f>IF($B107="","",IFERROR(VLOOKUP($B107,Maliyetler!$A:$E,3,FALSE),""))</f>
        <v/>
      </c>
      <c r="E107">
        <f>IF($B107="","",IFERROR(VLOOKUP($B107,Maliyetler!$A:$E,4,FALSE),1))</f>
        <v/>
      </c>
      <c r="F107" s="10">
        <f>IF($B107="","",IFERROR(VLOOKUP(MIN(20,MAX(1,ROUND($E107,0))),Kargo!$A:$B,2,FALSE),99.46))</f>
        <v/>
      </c>
      <c r="G107" s="10">
        <f>IF($B107="","",IF(IF(N('Komisyon Tarifeleri'!AA107)&gt;='Komisyon Tarifeleri'!I107,'Komisyon Tarifeleri'!AA107,'Komisyon Tarifeleri'!I107)="","",IF(N('Komisyon Tarifeleri'!AA107)&gt;='Komisyon Tarifeleri'!I107,'Komisyon Tarifeleri'!AA107,'Komisyon Tarifeleri'!I107)))</f>
        <v/>
      </c>
      <c r="H107" s="11">
        <f>IF(G107="","",IF($AM$1=2,'Komisyon Tarifeleri'!U107,'Komisyon Tarifeleri'!P107))</f>
        <v/>
      </c>
      <c r="I107" s="10">
        <f>IF(OR(G107="",$D107=""),"",G107*(1-H107/100)-$D107-IF(G107&lt;=199.99,Kargo!$E$2,IF(G107&lt;=399.99,Kargo!$E$3,$F107)))</f>
        <v/>
      </c>
      <c r="J107" s="12">
        <f>IF(I107="","",I107/G107)</f>
        <v/>
      </c>
      <c r="K107" s="10">
        <f>IF($B107="","",IF('Komisyon Tarifeleri'!J107="","",'Komisyon Tarifeleri'!J107))</f>
        <v/>
      </c>
      <c r="L107" s="11">
        <f>IF(K107="","",IF($AM$1=2,'Komisyon Tarifeleri'!V107,'Komisyon Tarifeleri'!Q107))</f>
        <v/>
      </c>
      <c r="M107" s="10">
        <f>IF(OR(K107="",$D107=""),"",K107*(1-L107/100)-$D107-IF(K107&lt;=199.99,Kargo!$E$2,IF(K107&lt;=399.99,Kargo!$E$3,$F107)))</f>
        <v/>
      </c>
      <c r="N107" s="12">
        <f>IF(M107="","",M107/K107)</f>
        <v/>
      </c>
      <c r="O107" s="10">
        <f>IF($B107="","",IF('Komisyon Tarifeleri'!L107="","",'Komisyon Tarifeleri'!L107))</f>
        <v/>
      </c>
      <c r="P107" s="11">
        <f>IF(O107="","",IF($AM$1=2,'Komisyon Tarifeleri'!W107,'Komisyon Tarifeleri'!R107))</f>
        <v/>
      </c>
      <c r="Q107" s="10">
        <f>IF(OR(O107="",$D107=""),"",O107*(1-P107/100)-$D107-IF(O107&lt;=199.99,Kargo!$E$2,IF(O107&lt;=399.99,Kargo!$E$3,$F107)))</f>
        <v/>
      </c>
      <c r="R107" s="12">
        <f>IF(Q107="","",Q107/O107)</f>
        <v/>
      </c>
      <c r="S107" s="10">
        <f>IF($B107="","",IF('Komisyon Tarifeleri'!N107="","",'Komisyon Tarifeleri'!N107))</f>
        <v/>
      </c>
      <c r="T107" s="11">
        <f>IF(S107="","",IF($AM$1=2,'Komisyon Tarifeleri'!X107,'Komisyon Tarifeleri'!S107))</f>
        <v/>
      </c>
      <c r="U107" s="10">
        <f>IF(OR(S107="",$D107=""),"",S107*(1-T107/100)-$D107-IF(S107&lt;=199.99,Kargo!$E$2,IF(S107&lt;=399.99,Kargo!$E$3,$F107)))</f>
        <v/>
      </c>
      <c r="V107" s="12">
        <f>IF(U107="","",U107/S107)</f>
        <v/>
      </c>
      <c r="W107" s="12">
        <f>IF($B107="","",IFERROR(VLOOKUP($C107,Hedefler!$A:$C,2,FALSE),0.04))</f>
        <v/>
      </c>
      <c r="X107" s="12">
        <f>IF($B107="","",IFERROR(VLOOKUP($C107,Hedefler!$A:$C,3,FALSE),0.1))</f>
        <v/>
      </c>
      <c r="Y107" s="13">
        <f>IF($B107="","",IFERROR(VLOOKUP($B107,Maliyetler!$A:$E,5,FALSE),""))</f>
        <v/>
      </c>
      <c r="Z107" s="13">
        <f>IF(OR(Y107="",Y107=0),"",Y107-1)</f>
        <v/>
      </c>
      <c r="AA107" s="14">
        <f>IF(Z107="","",IF(Z107&gt;='Komisyon Tarifeleri'!I107,IF($AM$1=2,'Komisyon Tarifeleri'!U107,'Komisyon Tarifeleri'!P107),IF(Z107&gt;='Komisyon Tarifeleri'!K107,IF($AM$1=2,'Komisyon Tarifeleri'!V107,'Komisyon Tarifeleri'!Q107),IF(Z107&gt;='Komisyon Tarifeleri'!M107,IF($AM$1=2,'Komisyon Tarifeleri'!W107,'Komisyon Tarifeleri'!R107),IF($AM$1=2,'Komisyon Tarifeleri'!X107,'Komisyon Tarifeleri'!S107)))))</f>
        <v/>
      </c>
      <c r="AB107" s="13">
        <f>IF(OR(AA107="",$D107=""),"",Z107*(1-AA107/100)-$D107-IF(Z107&lt;=199.99,Kargo!$E$2,IF(Z107&lt;=399.99,Kargo!$E$3,$F107)))</f>
        <v/>
      </c>
      <c r="AC107" s="15">
        <f>IF(AB107="","",AB107/Z107)</f>
        <v/>
      </c>
      <c r="AD107" s="10">
        <f>IF(OR($D107="",$B107=""),"",IF(AND((1-T107/100-W107)&gt;0,CEILING(($D107+$F107)/(1-T107/100-W107),1)&lt;='Komisyon Tarifeleri'!N107),CEILING(($D107+$F107)/(1-T107/100-W107),1),IF(AND((1-P107/100-W107)&gt;0,CEILING(MAX('Komisyon Tarifeleri'!M107,($D107+$F107)/(1-P107/100-W107)),1)&lt;='Komisyon Tarifeleri'!L107),CEILING(MAX('Komisyon Tarifeleri'!M107,($D107+$F107)/(1-P107/100-W107)),1),IF(AND((1-L107/100-W107)&gt;0,CEILING(MAX('Komisyon Tarifeleri'!K107,($D107+$F107)/(1-L107/100-W107)),1)&lt;='Komisyon Tarifeleri'!J107),CEILING(MAX('Komisyon Tarifeleri'!K107,($D107+$F107)/(1-L107/100-W107)),1),IF((1-H107/100-W107)&gt;0,CEILING(MAX('Komisyon Tarifeleri'!I107,($D107+$F107)/(1-H107/100-W107)),1),"İMKÂNSIZ")))))</f>
        <v/>
      </c>
      <c r="AE107" s="10">
        <f>IF(OR($D107="",$B107=""),"",IF(AND((1-T107/100-X107)&gt;0,CEILING(($D107+$F107)/(1-T107/100-X107),1)&lt;='Komisyon Tarifeleri'!N107),CEILING(($D107+$F107)/(1-T107/100-X107),1),IF(AND((1-P107/100-X107)&gt;0,CEILING(MAX('Komisyon Tarifeleri'!M107,($D107+$F107)/(1-P107/100-X107)),1)&lt;='Komisyon Tarifeleri'!L107),CEILING(MAX('Komisyon Tarifeleri'!M107,($D107+$F107)/(1-P107/100-X107)),1),IF(AND((1-L107/100-X107)&gt;0,CEILING(MAX('Komisyon Tarifeleri'!K107,($D107+$F107)/(1-L107/100-X107)),1)&lt;='Komisyon Tarifeleri'!J107),CEILING(MAX('Komisyon Tarifeleri'!K107,($D107+$F107)/(1-L107/100-X107)),1),IF((1-H107/100-X107)&gt;0,CEILING(MAX('Komisyon Tarifeleri'!I107,($D107+$F107)/(1-H107/100-X107)),1),"İMKÂNSIZ")))))</f>
        <v/>
      </c>
      <c r="AF107" s="16">
        <f>IF($D107="","",IF(AND(Y107&lt;&gt;"",AC107&lt;&gt;"",AC107&gt;=W107),Z107,IF(Y107&lt;&gt;"",AD107,AE107)))</f>
        <v/>
      </c>
      <c r="AG107" s="16">
        <f>IF(OR(AF107="",AF107="İMKÂNSIZ"),"",AF107*(1-IF(AF107&gt;='Komisyon Tarifeleri'!I107,IF($AM$1=2,'Komisyon Tarifeleri'!U107,'Komisyon Tarifeleri'!P107),IF(AF107&gt;='Komisyon Tarifeleri'!K107,IF($AM$1=2,'Komisyon Tarifeleri'!V107,'Komisyon Tarifeleri'!Q107),IF(AF107&gt;='Komisyon Tarifeleri'!M107,IF($AM$1=2,'Komisyon Tarifeleri'!W107,'Komisyon Tarifeleri'!R107),IF($AM$1=2,'Komisyon Tarifeleri'!X107,'Komisyon Tarifeleri'!S107))))/100)-$D107-IF(AF107&lt;=199.99,Kargo!$E$2,IF(AF107&lt;=399.99,Kargo!$E$3,$F107)))</f>
        <v/>
      </c>
      <c r="AH107" s="17">
        <f>IF(AG107="","",AG107/AF107)</f>
        <v/>
      </c>
      <c r="AI107" s="18">
        <f>IF($D107="","",IF(Y107="","BUYBOX YOK → hedef kârla min fiyat",IF(AC107&gt;=W107,"✓ BUYBOX ALTINA GİR","BUYBOX ALTI KÂRSIZ → min kârlı fiyat")))</f>
        <v/>
      </c>
      <c r="AJ107" s="10">
        <f>IF($B107="","",IFERROR(VLOOKUP($B107,Maliyetler!$A:$G,6,FALSE),""))</f>
        <v/>
      </c>
      <c r="AK107">
        <f>IF($B107="","",IFERROR(VLOOKUP($B107,Maliyetler!$A:$G,7,FALSE),""))</f>
        <v/>
      </c>
      <c r="AO107" s="21">
        <f>IF($B107="","",IFERROR(VLOOKUP($B107&amp;"",'Plus Tarifeleri'!$C:$Q,11,FALSE),""))</f>
        <v/>
      </c>
      <c r="AP107" s="22">
        <f>IF(AO107="","",IFERROR(IF($AM$1=2,VLOOKUP($B107&amp;"",'Plus Tarifeleri'!$C:$Q,15,FALSE),VLOOKUP($B107&amp;"",'Plus Tarifeleri'!$C:$Q,13,FALSE)),""))</f>
        <v/>
      </c>
      <c r="AQ107" s="21">
        <f>IF(OR(AO107="",AP107="",$D107=""),"",AO107*(1-AP107/100)-$D107-IF(AO107&lt;=199.99,Kargo!$E$2,IF(AO107&lt;=399.99,Kargo!$E$3,$F107)))</f>
        <v/>
      </c>
      <c r="AR107" s="23">
        <f>IF(AQ107="","",AQ107/AO107)</f>
        <v/>
      </c>
      <c r="AS107" s="24">
        <f>IF(OR(AQ107="",AG107=""),"",AQ107-AG107)</f>
        <v/>
      </c>
    </row>
    <row r="108">
      <c r="A108">
        <f>IF('Komisyon Tarifeleri'!A108="","",'Komisyon Tarifeleri'!A108)</f>
        <v/>
      </c>
      <c r="B108">
        <f>IF('Komisyon Tarifeleri'!B108="","",'Komisyon Tarifeleri'!B108&amp;"")</f>
        <v/>
      </c>
      <c r="C108">
        <f>IF($B108="","",'Komisyon Tarifeleri'!F108)</f>
        <v/>
      </c>
      <c r="D108" s="10">
        <f>IF($B108="","",IFERROR(VLOOKUP($B108,Maliyetler!$A:$E,3,FALSE),""))</f>
        <v/>
      </c>
      <c r="E108">
        <f>IF($B108="","",IFERROR(VLOOKUP($B108,Maliyetler!$A:$E,4,FALSE),1))</f>
        <v/>
      </c>
      <c r="F108" s="10">
        <f>IF($B108="","",IFERROR(VLOOKUP(MIN(20,MAX(1,ROUND($E108,0))),Kargo!$A:$B,2,FALSE),99.46))</f>
        <v/>
      </c>
      <c r="G108" s="10">
        <f>IF($B108="","",IF(IF(N('Komisyon Tarifeleri'!AA108)&gt;='Komisyon Tarifeleri'!I108,'Komisyon Tarifeleri'!AA108,'Komisyon Tarifeleri'!I108)="","",IF(N('Komisyon Tarifeleri'!AA108)&gt;='Komisyon Tarifeleri'!I108,'Komisyon Tarifeleri'!AA108,'Komisyon Tarifeleri'!I108)))</f>
        <v/>
      </c>
      <c r="H108" s="11">
        <f>IF(G108="","",IF($AM$1=2,'Komisyon Tarifeleri'!U108,'Komisyon Tarifeleri'!P108))</f>
        <v/>
      </c>
      <c r="I108" s="10">
        <f>IF(OR(G108="",$D108=""),"",G108*(1-H108/100)-$D108-IF(G108&lt;=199.99,Kargo!$E$2,IF(G108&lt;=399.99,Kargo!$E$3,$F108)))</f>
        <v/>
      </c>
      <c r="J108" s="12">
        <f>IF(I108="","",I108/G108)</f>
        <v/>
      </c>
      <c r="K108" s="10">
        <f>IF($B108="","",IF('Komisyon Tarifeleri'!J108="","",'Komisyon Tarifeleri'!J108))</f>
        <v/>
      </c>
      <c r="L108" s="11">
        <f>IF(K108="","",IF($AM$1=2,'Komisyon Tarifeleri'!V108,'Komisyon Tarifeleri'!Q108))</f>
        <v/>
      </c>
      <c r="M108" s="10">
        <f>IF(OR(K108="",$D108=""),"",K108*(1-L108/100)-$D108-IF(K108&lt;=199.99,Kargo!$E$2,IF(K108&lt;=399.99,Kargo!$E$3,$F108)))</f>
        <v/>
      </c>
      <c r="N108" s="12">
        <f>IF(M108="","",M108/K108)</f>
        <v/>
      </c>
      <c r="O108" s="10">
        <f>IF($B108="","",IF('Komisyon Tarifeleri'!L108="","",'Komisyon Tarifeleri'!L108))</f>
        <v/>
      </c>
      <c r="P108" s="11">
        <f>IF(O108="","",IF($AM$1=2,'Komisyon Tarifeleri'!W108,'Komisyon Tarifeleri'!R108))</f>
        <v/>
      </c>
      <c r="Q108" s="10">
        <f>IF(OR(O108="",$D108=""),"",O108*(1-P108/100)-$D108-IF(O108&lt;=199.99,Kargo!$E$2,IF(O108&lt;=399.99,Kargo!$E$3,$F108)))</f>
        <v/>
      </c>
      <c r="R108" s="12">
        <f>IF(Q108="","",Q108/O108)</f>
        <v/>
      </c>
      <c r="S108" s="10">
        <f>IF($B108="","",IF('Komisyon Tarifeleri'!N108="","",'Komisyon Tarifeleri'!N108))</f>
        <v/>
      </c>
      <c r="T108" s="11">
        <f>IF(S108="","",IF($AM$1=2,'Komisyon Tarifeleri'!X108,'Komisyon Tarifeleri'!S108))</f>
        <v/>
      </c>
      <c r="U108" s="10">
        <f>IF(OR(S108="",$D108=""),"",S108*(1-T108/100)-$D108-IF(S108&lt;=199.99,Kargo!$E$2,IF(S108&lt;=399.99,Kargo!$E$3,$F108)))</f>
        <v/>
      </c>
      <c r="V108" s="12">
        <f>IF(U108="","",U108/S108)</f>
        <v/>
      </c>
      <c r="W108" s="12">
        <f>IF($B108="","",IFERROR(VLOOKUP($C108,Hedefler!$A:$C,2,FALSE),0.04))</f>
        <v/>
      </c>
      <c r="X108" s="12">
        <f>IF($B108="","",IFERROR(VLOOKUP($C108,Hedefler!$A:$C,3,FALSE),0.1))</f>
        <v/>
      </c>
      <c r="Y108" s="13">
        <f>IF($B108="","",IFERROR(VLOOKUP($B108,Maliyetler!$A:$E,5,FALSE),""))</f>
        <v/>
      </c>
      <c r="Z108" s="13">
        <f>IF(OR(Y108="",Y108=0),"",Y108-1)</f>
        <v/>
      </c>
      <c r="AA108" s="14">
        <f>IF(Z108="","",IF(Z108&gt;='Komisyon Tarifeleri'!I108,IF($AM$1=2,'Komisyon Tarifeleri'!U108,'Komisyon Tarifeleri'!P108),IF(Z108&gt;='Komisyon Tarifeleri'!K108,IF($AM$1=2,'Komisyon Tarifeleri'!V108,'Komisyon Tarifeleri'!Q108),IF(Z108&gt;='Komisyon Tarifeleri'!M108,IF($AM$1=2,'Komisyon Tarifeleri'!W108,'Komisyon Tarifeleri'!R108),IF($AM$1=2,'Komisyon Tarifeleri'!X108,'Komisyon Tarifeleri'!S108)))))</f>
        <v/>
      </c>
      <c r="AB108" s="13">
        <f>IF(OR(AA108="",$D108=""),"",Z108*(1-AA108/100)-$D108-IF(Z108&lt;=199.99,Kargo!$E$2,IF(Z108&lt;=399.99,Kargo!$E$3,$F108)))</f>
        <v/>
      </c>
      <c r="AC108" s="15">
        <f>IF(AB108="","",AB108/Z108)</f>
        <v/>
      </c>
      <c r="AD108" s="10">
        <f>IF(OR($D108="",$B108=""),"",IF(AND((1-T108/100-W108)&gt;0,CEILING(($D108+$F108)/(1-T108/100-W108),1)&lt;='Komisyon Tarifeleri'!N108),CEILING(($D108+$F108)/(1-T108/100-W108),1),IF(AND((1-P108/100-W108)&gt;0,CEILING(MAX('Komisyon Tarifeleri'!M108,($D108+$F108)/(1-P108/100-W108)),1)&lt;='Komisyon Tarifeleri'!L108),CEILING(MAX('Komisyon Tarifeleri'!M108,($D108+$F108)/(1-P108/100-W108)),1),IF(AND((1-L108/100-W108)&gt;0,CEILING(MAX('Komisyon Tarifeleri'!K108,($D108+$F108)/(1-L108/100-W108)),1)&lt;='Komisyon Tarifeleri'!J108),CEILING(MAX('Komisyon Tarifeleri'!K108,($D108+$F108)/(1-L108/100-W108)),1),IF((1-H108/100-W108)&gt;0,CEILING(MAX('Komisyon Tarifeleri'!I108,($D108+$F108)/(1-H108/100-W108)),1),"İMKÂNSIZ")))))</f>
        <v/>
      </c>
      <c r="AE108" s="10">
        <f>IF(OR($D108="",$B108=""),"",IF(AND((1-T108/100-X108)&gt;0,CEILING(($D108+$F108)/(1-T108/100-X108),1)&lt;='Komisyon Tarifeleri'!N108),CEILING(($D108+$F108)/(1-T108/100-X108),1),IF(AND((1-P108/100-X108)&gt;0,CEILING(MAX('Komisyon Tarifeleri'!M108,($D108+$F108)/(1-P108/100-X108)),1)&lt;='Komisyon Tarifeleri'!L108),CEILING(MAX('Komisyon Tarifeleri'!M108,($D108+$F108)/(1-P108/100-X108)),1),IF(AND((1-L108/100-X108)&gt;0,CEILING(MAX('Komisyon Tarifeleri'!K108,($D108+$F108)/(1-L108/100-X108)),1)&lt;='Komisyon Tarifeleri'!J108),CEILING(MAX('Komisyon Tarifeleri'!K108,($D108+$F108)/(1-L108/100-X108)),1),IF((1-H108/100-X108)&gt;0,CEILING(MAX('Komisyon Tarifeleri'!I108,($D108+$F108)/(1-H108/100-X108)),1),"İMKÂNSIZ")))))</f>
        <v/>
      </c>
      <c r="AF108" s="16">
        <f>IF($D108="","",IF(AND(Y108&lt;&gt;"",AC108&lt;&gt;"",AC108&gt;=W108),Z108,IF(Y108&lt;&gt;"",AD108,AE108)))</f>
        <v/>
      </c>
      <c r="AG108" s="16">
        <f>IF(OR(AF108="",AF108="İMKÂNSIZ"),"",AF108*(1-IF(AF108&gt;='Komisyon Tarifeleri'!I108,IF($AM$1=2,'Komisyon Tarifeleri'!U108,'Komisyon Tarifeleri'!P108),IF(AF108&gt;='Komisyon Tarifeleri'!K108,IF($AM$1=2,'Komisyon Tarifeleri'!V108,'Komisyon Tarifeleri'!Q108),IF(AF108&gt;='Komisyon Tarifeleri'!M108,IF($AM$1=2,'Komisyon Tarifeleri'!W108,'Komisyon Tarifeleri'!R108),IF($AM$1=2,'Komisyon Tarifeleri'!X108,'Komisyon Tarifeleri'!S108))))/100)-$D108-IF(AF108&lt;=199.99,Kargo!$E$2,IF(AF108&lt;=399.99,Kargo!$E$3,$F108)))</f>
        <v/>
      </c>
      <c r="AH108" s="17">
        <f>IF(AG108="","",AG108/AF108)</f>
        <v/>
      </c>
      <c r="AI108" s="18">
        <f>IF($D108="","",IF(Y108="","BUYBOX YOK → hedef kârla min fiyat",IF(AC108&gt;=W108,"✓ BUYBOX ALTINA GİR","BUYBOX ALTI KÂRSIZ → min kârlı fiyat")))</f>
        <v/>
      </c>
      <c r="AJ108" s="10">
        <f>IF($B108="","",IFERROR(VLOOKUP($B108,Maliyetler!$A:$G,6,FALSE),""))</f>
        <v/>
      </c>
      <c r="AK108">
        <f>IF($B108="","",IFERROR(VLOOKUP($B108,Maliyetler!$A:$G,7,FALSE),""))</f>
        <v/>
      </c>
      <c r="AO108" s="21">
        <f>IF($B108="","",IFERROR(VLOOKUP($B108&amp;"",'Plus Tarifeleri'!$C:$Q,11,FALSE),""))</f>
        <v/>
      </c>
      <c r="AP108" s="22">
        <f>IF(AO108="","",IFERROR(IF($AM$1=2,VLOOKUP($B108&amp;"",'Plus Tarifeleri'!$C:$Q,15,FALSE),VLOOKUP($B108&amp;"",'Plus Tarifeleri'!$C:$Q,13,FALSE)),""))</f>
        <v/>
      </c>
      <c r="AQ108" s="21">
        <f>IF(OR(AO108="",AP108="",$D108=""),"",AO108*(1-AP108/100)-$D108-IF(AO108&lt;=199.99,Kargo!$E$2,IF(AO108&lt;=399.99,Kargo!$E$3,$F108)))</f>
        <v/>
      </c>
      <c r="AR108" s="23">
        <f>IF(AQ108="","",AQ108/AO108)</f>
        <v/>
      </c>
      <c r="AS108" s="24">
        <f>IF(OR(AQ108="",AG108=""),"",AQ108-AG108)</f>
        <v/>
      </c>
    </row>
    <row r="109">
      <c r="A109">
        <f>IF('Komisyon Tarifeleri'!A109="","",'Komisyon Tarifeleri'!A109)</f>
        <v/>
      </c>
      <c r="B109">
        <f>IF('Komisyon Tarifeleri'!B109="","",'Komisyon Tarifeleri'!B109&amp;"")</f>
        <v/>
      </c>
      <c r="C109">
        <f>IF($B109="","",'Komisyon Tarifeleri'!F109)</f>
        <v/>
      </c>
      <c r="D109" s="10">
        <f>IF($B109="","",IFERROR(VLOOKUP($B109,Maliyetler!$A:$E,3,FALSE),""))</f>
        <v/>
      </c>
      <c r="E109">
        <f>IF($B109="","",IFERROR(VLOOKUP($B109,Maliyetler!$A:$E,4,FALSE),1))</f>
        <v/>
      </c>
      <c r="F109" s="10">
        <f>IF($B109="","",IFERROR(VLOOKUP(MIN(20,MAX(1,ROUND($E109,0))),Kargo!$A:$B,2,FALSE),99.46))</f>
        <v/>
      </c>
      <c r="G109" s="10">
        <f>IF($B109="","",IF(IF(N('Komisyon Tarifeleri'!AA109)&gt;='Komisyon Tarifeleri'!I109,'Komisyon Tarifeleri'!AA109,'Komisyon Tarifeleri'!I109)="","",IF(N('Komisyon Tarifeleri'!AA109)&gt;='Komisyon Tarifeleri'!I109,'Komisyon Tarifeleri'!AA109,'Komisyon Tarifeleri'!I109)))</f>
        <v/>
      </c>
      <c r="H109" s="11">
        <f>IF(G109="","",IF($AM$1=2,'Komisyon Tarifeleri'!U109,'Komisyon Tarifeleri'!P109))</f>
        <v/>
      </c>
      <c r="I109" s="10">
        <f>IF(OR(G109="",$D109=""),"",G109*(1-H109/100)-$D109-IF(G109&lt;=199.99,Kargo!$E$2,IF(G109&lt;=399.99,Kargo!$E$3,$F109)))</f>
        <v/>
      </c>
      <c r="J109" s="12">
        <f>IF(I109="","",I109/G109)</f>
        <v/>
      </c>
      <c r="K109" s="10">
        <f>IF($B109="","",IF('Komisyon Tarifeleri'!J109="","",'Komisyon Tarifeleri'!J109))</f>
        <v/>
      </c>
      <c r="L109" s="11">
        <f>IF(K109="","",IF($AM$1=2,'Komisyon Tarifeleri'!V109,'Komisyon Tarifeleri'!Q109))</f>
        <v/>
      </c>
      <c r="M109" s="10">
        <f>IF(OR(K109="",$D109=""),"",K109*(1-L109/100)-$D109-IF(K109&lt;=199.99,Kargo!$E$2,IF(K109&lt;=399.99,Kargo!$E$3,$F109)))</f>
        <v/>
      </c>
      <c r="N109" s="12">
        <f>IF(M109="","",M109/K109)</f>
        <v/>
      </c>
      <c r="O109" s="10">
        <f>IF($B109="","",IF('Komisyon Tarifeleri'!L109="","",'Komisyon Tarifeleri'!L109))</f>
        <v/>
      </c>
      <c r="P109" s="11">
        <f>IF(O109="","",IF($AM$1=2,'Komisyon Tarifeleri'!W109,'Komisyon Tarifeleri'!R109))</f>
        <v/>
      </c>
      <c r="Q109" s="10">
        <f>IF(OR(O109="",$D109=""),"",O109*(1-P109/100)-$D109-IF(O109&lt;=199.99,Kargo!$E$2,IF(O109&lt;=399.99,Kargo!$E$3,$F109)))</f>
        <v/>
      </c>
      <c r="R109" s="12">
        <f>IF(Q109="","",Q109/O109)</f>
        <v/>
      </c>
      <c r="S109" s="10">
        <f>IF($B109="","",IF('Komisyon Tarifeleri'!N109="","",'Komisyon Tarifeleri'!N109))</f>
        <v/>
      </c>
      <c r="T109" s="11">
        <f>IF(S109="","",IF($AM$1=2,'Komisyon Tarifeleri'!X109,'Komisyon Tarifeleri'!S109))</f>
        <v/>
      </c>
      <c r="U109" s="10">
        <f>IF(OR(S109="",$D109=""),"",S109*(1-T109/100)-$D109-IF(S109&lt;=199.99,Kargo!$E$2,IF(S109&lt;=399.99,Kargo!$E$3,$F109)))</f>
        <v/>
      </c>
      <c r="V109" s="12">
        <f>IF(U109="","",U109/S109)</f>
        <v/>
      </c>
      <c r="W109" s="12">
        <f>IF($B109="","",IFERROR(VLOOKUP($C109,Hedefler!$A:$C,2,FALSE),0.04))</f>
        <v/>
      </c>
      <c r="X109" s="12">
        <f>IF($B109="","",IFERROR(VLOOKUP($C109,Hedefler!$A:$C,3,FALSE),0.1))</f>
        <v/>
      </c>
      <c r="Y109" s="13">
        <f>IF($B109="","",IFERROR(VLOOKUP($B109,Maliyetler!$A:$E,5,FALSE),""))</f>
        <v/>
      </c>
      <c r="Z109" s="13">
        <f>IF(OR(Y109="",Y109=0),"",Y109-1)</f>
        <v/>
      </c>
      <c r="AA109" s="14">
        <f>IF(Z109="","",IF(Z109&gt;='Komisyon Tarifeleri'!I109,IF($AM$1=2,'Komisyon Tarifeleri'!U109,'Komisyon Tarifeleri'!P109),IF(Z109&gt;='Komisyon Tarifeleri'!K109,IF($AM$1=2,'Komisyon Tarifeleri'!V109,'Komisyon Tarifeleri'!Q109),IF(Z109&gt;='Komisyon Tarifeleri'!M109,IF($AM$1=2,'Komisyon Tarifeleri'!W109,'Komisyon Tarifeleri'!R109),IF($AM$1=2,'Komisyon Tarifeleri'!X109,'Komisyon Tarifeleri'!S109)))))</f>
        <v/>
      </c>
      <c r="AB109" s="13">
        <f>IF(OR(AA109="",$D109=""),"",Z109*(1-AA109/100)-$D109-IF(Z109&lt;=199.99,Kargo!$E$2,IF(Z109&lt;=399.99,Kargo!$E$3,$F109)))</f>
        <v/>
      </c>
      <c r="AC109" s="15">
        <f>IF(AB109="","",AB109/Z109)</f>
        <v/>
      </c>
      <c r="AD109" s="10">
        <f>IF(OR($D109="",$B109=""),"",IF(AND((1-T109/100-W109)&gt;0,CEILING(($D109+$F109)/(1-T109/100-W109),1)&lt;='Komisyon Tarifeleri'!N109),CEILING(($D109+$F109)/(1-T109/100-W109),1),IF(AND((1-P109/100-W109)&gt;0,CEILING(MAX('Komisyon Tarifeleri'!M109,($D109+$F109)/(1-P109/100-W109)),1)&lt;='Komisyon Tarifeleri'!L109),CEILING(MAX('Komisyon Tarifeleri'!M109,($D109+$F109)/(1-P109/100-W109)),1),IF(AND((1-L109/100-W109)&gt;0,CEILING(MAX('Komisyon Tarifeleri'!K109,($D109+$F109)/(1-L109/100-W109)),1)&lt;='Komisyon Tarifeleri'!J109),CEILING(MAX('Komisyon Tarifeleri'!K109,($D109+$F109)/(1-L109/100-W109)),1),IF((1-H109/100-W109)&gt;0,CEILING(MAX('Komisyon Tarifeleri'!I109,($D109+$F109)/(1-H109/100-W109)),1),"İMKÂNSIZ")))))</f>
        <v/>
      </c>
      <c r="AE109" s="10">
        <f>IF(OR($D109="",$B109=""),"",IF(AND((1-T109/100-X109)&gt;0,CEILING(($D109+$F109)/(1-T109/100-X109),1)&lt;='Komisyon Tarifeleri'!N109),CEILING(($D109+$F109)/(1-T109/100-X109),1),IF(AND((1-P109/100-X109)&gt;0,CEILING(MAX('Komisyon Tarifeleri'!M109,($D109+$F109)/(1-P109/100-X109)),1)&lt;='Komisyon Tarifeleri'!L109),CEILING(MAX('Komisyon Tarifeleri'!M109,($D109+$F109)/(1-P109/100-X109)),1),IF(AND((1-L109/100-X109)&gt;0,CEILING(MAX('Komisyon Tarifeleri'!K109,($D109+$F109)/(1-L109/100-X109)),1)&lt;='Komisyon Tarifeleri'!J109),CEILING(MAX('Komisyon Tarifeleri'!K109,($D109+$F109)/(1-L109/100-X109)),1),IF((1-H109/100-X109)&gt;0,CEILING(MAX('Komisyon Tarifeleri'!I109,($D109+$F109)/(1-H109/100-X109)),1),"İMKÂNSIZ")))))</f>
        <v/>
      </c>
      <c r="AF109" s="16">
        <f>IF($D109="","",IF(AND(Y109&lt;&gt;"",AC109&lt;&gt;"",AC109&gt;=W109),Z109,IF(Y109&lt;&gt;"",AD109,AE109)))</f>
        <v/>
      </c>
      <c r="AG109" s="16">
        <f>IF(OR(AF109="",AF109="İMKÂNSIZ"),"",AF109*(1-IF(AF109&gt;='Komisyon Tarifeleri'!I109,IF($AM$1=2,'Komisyon Tarifeleri'!U109,'Komisyon Tarifeleri'!P109),IF(AF109&gt;='Komisyon Tarifeleri'!K109,IF($AM$1=2,'Komisyon Tarifeleri'!V109,'Komisyon Tarifeleri'!Q109),IF(AF109&gt;='Komisyon Tarifeleri'!M109,IF($AM$1=2,'Komisyon Tarifeleri'!W109,'Komisyon Tarifeleri'!R109),IF($AM$1=2,'Komisyon Tarifeleri'!X109,'Komisyon Tarifeleri'!S109))))/100)-$D109-IF(AF109&lt;=199.99,Kargo!$E$2,IF(AF109&lt;=399.99,Kargo!$E$3,$F109)))</f>
        <v/>
      </c>
      <c r="AH109" s="17">
        <f>IF(AG109="","",AG109/AF109)</f>
        <v/>
      </c>
      <c r="AI109" s="18">
        <f>IF($D109="","",IF(Y109="","BUYBOX YOK → hedef kârla min fiyat",IF(AC109&gt;=W109,"✓ BUYBOX ALTINA GİR","BUYBOX ALTI KÂRSIZ → min kârlı fiyat")))</f>
        <v/>
      </c>
      <c r="AJ109" s="10">
        <f>IF($B109="","",IFERROR(VLOOKUP($B109,Maliyetler!$A:$G,6,FALSE),""))</f>
        <v/>
      </c>
      <c r="AK109">
        <f>IF($B109="","",IFERROR(VLOOKUP($B109,Maliyetler!$A:$G,7,FALSE),""))</f>
        <v/>
      </c>
      <c r="AO109" s="21">
        <f>IF($B109="","",IFERROR(VLOOKUP($B109&amp;"",'Plus Tarifeleri'!$C:$Q,11,FALSE),""))</f>
        <v/>
      </c>
      <c r="AP109" s="22">
        <f>IF(AO109="","",IFERROR(IF($AM$1=2,VLOOKUP($B109&amp;"",'Plus Tarifeleri'!$C:$Q,15,FALSE),VLOOKUP($B109&amp;"",'Plus Tarifeleri'!$C:$Q,13,FALSE)),""))</f>
        <v/>
      </c>
      <c r="AQ109" s="21">
        <f>IF(OR(AO109="",AP109="",$D109=""),"",AO109*(1-AP109/100)-$D109-IF(AO109&lt;=199.99,Kargo!$E$2,IF(AO109&lt;=399.99,Kargo!$E$3,$F109)))</f>
        <v/>
      </c>
      <c r="AR109" s="23">
        <f>IF(AQ109="","",AQ109/AO109)</f>
        <v/>
      </c>
      <c r="AS109" s="24">
        <f>IF(OR(AQ109="",AG109=""),"",AQ109-AG109)</f>
        <v/>
      </c>
    </row>
    <row r="110">
      <c r="A110">
        <f>IF('Komisyon Tarifeleri'!A110="","",'Komisyon Tarifeleri'!A110)</f>
        <v/>
      </c>
      <c r="B110">
        <f>IF('Komisyon Tarifeleri'!B110="","",'Komisyon Tarifeleri'!B110&amp;"")</f>
        <v/>
      </c>
      <c r="C110">
        <f>IF($B110="","",'Komisyon Tarifeleri'!F110)</f>
        <v/>
      </c>
      <c r="D110" s="10">
        <f>IF($B110="","",IFERROR(VLOOKUP($B110,Maliyetler!$A:$E,3,FALSE),""))</f>
        <v/>
      </c>
      <c r="E110">
        <f>IF($B110="","",IFERROR(VLOOKUP($B110,Maliyetler!$A:$E,4,FALSE),1))</f>
        <v/>
      </c>
      <c r="F110" s="10">
        <f>IF($B110="","",IFERROR(VLOOKUP(MIN(20,MAX(1,ROUND($E110,0))),Kargo!$A:$B,2,FALSE),99.46))</f>
        <v/>
      </c>
      <c r="G110" s="10">
        <f>IF($B110="","",IF(IF(N('Komisyon Tarifeleri'!AA110)&gt;='Komisyon Tarifeleri'!I110,'Komisyon Tarifeleri'!AA110,'Komisyon Tarifeleri'!I110)="","",IF(N('Komisyon Tarifeleri'!AA110)&gt;='Komisyon Tarifeleri'!I110,'Komisyon Tarifeleri'!AA110,'Komisyon Tarifeleri'!I110)))</f>
        <v/>
      </c>
      <c r="H110" s="11">
        <f>IF(G110="","",IF($AM$1=2,'Komisyon Tarifeleri'!U110,'Komisyon Tarifeleri'!P110))</f>
        <v/>
      </c>
      <c r="I110" s="10">
        <f>IF(OR(G110="",$D110=""),"",G110*(1-H110/100)-$D110-IF(G110&lt;=199.99,Kargo!$E$2,IF(G110&lt;=399.99,Kargo!$E$3,$F110)))</f>
        <v/>
      </c>
      <c r="J110" s="12">
        <f>IF(I110="","",I110/G110)</f>
        <v/>
      </c>
      <c r="K110" s="10">
        <f>IF($B110="","",IF('Komisyon Tarifeleri'!J110="","",'Komisyon Tarifeleri'!J110))</f>
        <v/>
      </c>
      <c r="L110" s="11">
        <f>IF(K110="","",IF($AM$1=2,'Komisyon Tarifeleri'!V110,'Komisyon Tarifeleri'!Q110))</f>
        <v/>
      </c>
      <c r="M110" s="10">
        <f>IF(OR(K110="",$D110=""),"",K110*(1-L110/100)-$D110-IF(K110&lt;=199.99,Kargo!$E$2,IF(K110&lt;=399.99,Kargo!$E$3,$F110)))</f>
        <v/>
      </c>
      <c r="N110" s="12">
        <f>IF(M110="","",M110/K110)</f>
        <v/>
      </c>
      <c r="O110" s="10">
        <f>IF($B110="","",IF('Komisyon Tarifeleri'!L110="","",'Komisyon Tarifeleri'!L110))</f>
        <v/>
      </c>
      <c r="P110" s="11">
        <f>IF(O110="","",IF($AM$1=2,'Komisyon Tarifeleri'!W110,'Komisyon Tarifeleri'!R110))</f>
        <v/>
      </c>
      <c r="Q110" s="10">
        <f>IF(OR(O110="",$D110=""),"",O110*(1-P110/100)-$D110-IF(O110&lt;=199.99,Kargo!$E$2,IF(O110&lt;=399.99,Kargo!$E$3,$F110)))</f>
        <v/>
      </c>
      <c r="R110" s="12">
        <f>IF(Q110="","",Q110/O110)</f>
        <v/>
      </c>
      <c r="S110" s="10">
        <f>IF($B110="","",IF('Komisyon Tarifeleri'!N110="","",'Komisyon Tarifeleri'!N110))</f>
        <v/>
      </c>
      <c r="T110" s="11">
        <f>IF(S110="","",IF($AM$1=2,'Komisyon Tarifeleri'!X110,'Komisyon Tarifeleri'!S110))</f>
        <v/>
      </c>
      <c r="U110" s="10">
        <f>IF(OR(S110="",$D110=""),"",S110*(1-T110/100)-$D110-IF(S110&lt;=199.99,Kargo!$E$2,IF(S110&lt;=399.99,Kargo!$E$3,$F110)))</f>
        <v/>
      </c>
      <c r="V110" s="12">
        <f>IF(U110="","",U110/S110)</f>
        <v/>
      </c>
      <c r="W110" s="12">
        <f>IF($B110="","",IFERROR(VLOOKUP($C110,Hedefler!$A:$C,2,FALSE),0.04))</f>
        <v/>
      </c>
      <c r="X110" s="12">
        <f>IF($B110="","",IFERROR(VLOOKUP($C110,Hedefler!$A:$C,3,FALSE),0.1))</f>
        <v/>
      </c>
      <c r="Y110" s="13">
        <f>IF($B110="","",IFERROR(VLOOKUP($B110,Maliyetler!$A:$E,5,FALSE),""))</f>
        <v/>
      </c>
      <c r="Z110" s="13">
        <f>IF(OR(Y110="",Y110=0),"",Y110-1)</f>
        <v/>
      </c>
      <c r="AA110" s="14">
        <f>IF(Z110="","",IF(Z110&gt;='Komisyon Tarifeleri'!I110,IF($AM$1=2,'Komisyon Tarifeleri'!U110,'Komisyon Tarifeleri'!P110),IF(Z110&gt;='Komisyon Tarifeleri'!K110,IF($AM$1=2,'Komisyon Tarifeleri'!V110,'Komisyon Tarifeleri'!Q110),IF(Z110&gt;='Komisyon Tarifeleri'!M110,IF($AM$1=2,'Komisyon Tarifeleri'!W110,'Komisyon Tarifeleri'!R110),IF($AM$1=2,'Komisyon Tarifeleri'!X110,'Komisyon Tarifeleri'!S110)))))</f>
        <v/>
      </c>
      <c r="AB110" s="13">
        <f>IF(OR(AA110="",$D110=""),"",Z110*(1-AA110/100)-$D110-IF(Z110&lt;=199.99,Kargo!$E$2,IF(Z110&lt;=399.99,Kargo!$E$3,$F110)))</f>
        <v/>
      </c>
      <c r="AC110" s="15">
        <f>IF(AB110="","",AB110/Z110)</f>
        <v/>
      </c>
      <c r="AD110" s="10">
        <f>IF(OR($D110="",$B110=""),"",IF(AND((1-T110/100-W110)&gt;0,CEILING(($D110+$F110)/(1-T110/100-W110),1)&lt;='Komisyon Tarifeleri'!N110),CEILING(($D110+$F110)/(1-T110/100-W110),1),IF(AND((1-P110/100-W110)&gt;0,CEILING(MAX('Komisyon Tarifeleri'!M110,($D110+$F110)/(1-P110/100-W110)),1)&lt;='Komisyon Tarifeleri'!L110),CEILING(MAX('Komisyon Tarifeleri'!M110,($D110+$F110)/(1-P110/100-W110)),1),IF(AND((1-L110/100-W110)&gt;0,CEILING(MAX('Komisyon Tarifeleri'!K110,($D110+$F110)/(1-L110/100-W110)),1)&lt;='Komisyon Tarifeleri'!J110),CEILING(MAX('Komisyon Tarifeleri'!K110,($D110+$F110)/(1-L110/100-W110)),1),IF((1-H110/100-W110)&gt;0,CEILING(MAX('Komisyon Tarifeleri'!I110,($D110+$F110)/(1-H110/100-W110)),1),"İMKÂNSIZ")))))</f>
        <v/>
      </c>
      <c r="AE110" s="10">
        <f>IF(OR($D110="",$B110=""),"",IF(AND((1-T110/100-X110)&gt;0,CEILING(($D110+$F110)/(1-T110/100-X110),1)&lt;='Komisyon Tarifeleri'!N110),CEILING(($D110+$F110)/(1-T110/100-X110),1),IF(AND((1-P110/100-X110)&gt;0,CEILING(MAX('Komisyon Tarifeleri'!M110,($D110+$F110)/(1-P110/100-X110)),1)&lt;='Komisyon Tarifeleri'!L110),CEILING(MAX('Komisyon Tarifeleri'!M110,($D110+$F110)/(1-P110/100-X110)),1),IF(AND((1-L110/100-X110)&gt;0,CEILING(MAX('Komisyon Tarifeleri'!K110,($D110+$F110)/(1-L110/100-X110)),1)&lt;='Komisyon Tarifeleri'!J110),CEILING(MAX('Komisyon Tarifeleri'!K110,($D110+$F110)/(1-L110/100-X110)),1),IF((1-H110/100-X110)&gt;0,CEILING(MAX('Komisyon Tarifeleri'!I110,($D110+$F110)/(1-H110/100-X110)),1),"İMKÂNSIZ")))))</f>
        <v/>
      </c>
      <c r="AF110" s="16">
        <f>IF($D110="","",IF(AND(Y110&lt;&gt;"",AC110&lt;&gt;"",AC110&gt;=W110),Z110,IF(Y110&lt;&gt;"",AD110,AE110)))</f>
        <v/>
      </c>
      <c r="AG110" s="16">
        <f>IF(OR(AF110="",AF110="İMKÂNSIZ"),"",AF110*(1-IF(AF110&gt;='Komisyon Tarifeleri'!I110,IF($AM$1=2,'Komisyon Tarifeleri'!U110,'Komisyon Tarifeleri'!P110),IF(AF110&gt;='Komisyon Tarifeleri'!K110,IF($AM$1=2,'Komisyon Tarifeleri'!V110,'Komisyon Tarifeleri'!Q110),IF(AF110&gt;='Komisyon Tarifeleri'!M110,IF($AM$1=2,'Komisyon Tarifeleri'!W110,'Komisyon Tarifeleri'!R110),IF($AM$1=2,'Komisyon Tarifeleri'!X110,'Komisyon Tarifeleri'!S110))))/100)-$D110-IF(AF110&lt;=199.99,Kargo!$E$2,IF(AF110&lt;=399.99,Kargo!$E$3,$F110)))</f>
        <v/>
      </c>
      <c r="AH110" s="17">
        <f>IF(AG110="","",AG110/AF110)</f>
        <v/>
      </c>
      <c r="AI110" s="18">
        <f>IF($D110="","",IF(Y110="","BUYBOX YOK → hedef kârla min fiyat",IF(AC110&gt;=W110,"✓ BUYBOX ALTINA GİR","BUYBOX ALTI KÂRSIZ → min kârlı fiyat")))</f>
        <v/>
      </c>
      <c r="AJ110" s="10">
        <f>IF($B110="","",IFERROR(VLOOKUP($B110,Maliyetler!$A:$G,6,FALSE),""))</f>
        <v/>
      </c>
      <c r="AK110">
        <f>IF($B110="","",IFERROR(VLOOKUP($B110,Maliyetler!$A:$G,7,FALSE),""))</f>
        <v/>
      </c>
      <c r="AO110" s="21">
        <f>IF($B110="","",IFERROR(VLOOKUP($B110&amp;"",'Plus Tarifeleri'!$C:$Q,11,FALSE),""))</f>
        <v/>
      </c>
      <c r="AP110" s="22">
        <f>IF(AO110="","",IFERROR(IF($AM$1=2,VLOOKUP($B110&amp;"",'Plus Tarifeleri'!$C:$Q,15,FALSE),VLOOKUP($B110&amp;"",'Plus Tarifeleri'!$C:$Q,13,FALSE)),""))</f>
        <v/>
      </c>
      <c r="AQ110" s="21">
        <f>IF(OR(AO110="",AP110="",$D110=""),"",AO110*(1-AP110/100)-$D110-IF(AO110&lt;=199.99,Kargo!$E$2,IF(AO110&lt;=399.99,Kargo!$E$3,$F110)))</f>
        <v/>
      </c>
      <c r="AR110" s="23">
        <f>IF(AQ110="","",AQ110/AO110)</f>
        <v/>
      </c>
      <c r="AS110" s="24">
        <f>IF(OR(AQ110="",AG110=""),"",AQ110-AG110)</f>
        <v/>
      </c>
    </row>
    <row r="111">
      <c r="A111">
        <f>IF('Komisyon Tarifeleri'!A111="","",'Komisyon Tarifeleri'!A111)</f>
        <v/>
      </c>
      <c r="B111">
        <f>IF('Komisyon Tarifeleri'!B111="","",'Komisyon Tarifeleri'!B111&amp;"")</f>
        <v/>
      </c>
      <c r="C111">
        <f>IF($B111="","",'Komisyon Tarifeleri'!F111)</f>
        <v/>
      </c>
      <c r="D111" s="10">
        <f>IF($B111="","",IFERROR(VLOOKUP($B111,Maliyetler!$A:$E,3,FALSE),""))</f>
        <v/>
      </c>
      <c r="E111">
        <f>IF($B111="","",IFERROR(VLOOKUP($B111,Maliyetler!$A:$E,4,FALSE),1))</f>
        <v/>
      </c>
      <c r="F111" s="10">
        <f>IF($B111="","",IFERROR(VLOOKUP(MIN(20,MAX(1,ROUND($E111,0))),Kargo!$A:$B,2,FALSE),99.46))</f>
        <v/>
      </c>
      <c r="G111" s="10">
        <f>IF($B111="","",IF(IF(N('Komisyon Tarifeleri'!AA111)&gt;='Komisyon Tarifeleri'!I111,'Komisyon Tarifeleri'!AA111,'Komisyon Tarifeleri'!I111)="","",IF(N('Komisyon Tarifeleri'!AA111)&gt;='Komisyon Tarifeleri'!I111,'Komisyon Tarifeleri'!AA111,'Komisyon Tarifeleri'!I111)))</f>
        <v/>
      </c>
      <c r="H111" s="11">
        <f>IF(G111="","",IF($AM$1=2,'Komisyon Tarifeleri'!U111,'Komisyon Tarifeleri'!P111))</f>
        <v/>
      </c>
      <c r="I111" s="10">
        <f>IF(OR(G111="",$D111=""),"",G111*(1-H111/100)-$D111-IF(G111&lt;=199.99,Kargo!$E$2,IF(G111&lt;=399.99,Kargo!$E$3,$F111)))</f>
        <v/>
      </c>
      <c r="J111" s="12">
        <f>IF(I111="","",I111/G111)</f>
        <v/>
      </c>
      <c r="K111" s="10">
        <f>IF($B111="","",IF('Komisyon Tarifeleri'!J111="","",'Komisyon Tarifeleri'!J111))</f>
        <v/>
      </c>
      <c r="L111" s="11">
        <f>IF(K111="","",IF($AM$1=2,'Komisyon Tarifeleri'!V111,'Komisyon Tarifeleri'!Q111))</f>
        <v/>
      </c>
      <c r="M111" s="10">
        <f>IF(OR(K111="",$D111=""),"",K111*(1-L111/100)-$D111-IF(K111&lt;=199.99,Kargo!$E$2,IF(K111&lt;=399.99,Kargo!$E$3,$F111)))</f>
        <v/>
      </c>
      <c r="N111" s="12">
        <f>IF(M111="","",M111/K111)</f>
        <v/>
      </c>
      <c r="O111" s="10">
        <f>IF($B111="","",IF('Komisyon Tarifeleri'!L111="","",'Komisyon Tarifeleri'!L111))</f>
        <v/>
      </c>
      <c r="P111" s="11">
        <f>IF(O111="","",IF($AM$1=2,'Komisyon Tarifeleri'!W111,'Komisyon Tarifeleri'!R111))</f>
        <v/>
      </c>
      <c r="Q111" s="10">
        <f>IF(OR(O111="",$D111=""),"",O111*(1-P111/100)-$D111-IF(O111&lt;=199.99,Kargo!$E$2,IF(O111&lt;=399.99,Kargo!$E$3,$F111)))</f>
        <v/>
      </c>
      <c r="R111" s="12">
        <f>IF(Q111="","",Q111/O111)</f>
        <v/>
      </c>
      <c r="S111" s="10">
        <f>IF($B111="","",IF('Komisyon Tarifeleri'!N111="","",'Komisyon Tarifeleri'!N111))</f>
        <v/>
      </c>
      <c r="T111" s="11">
        <f>IF(S111="","",IF($AM$1=2,'Komisyon Tarifeleri'!X111,'Komisyon Tarifeleri'!S111))</f>
        <v/>
      </c>
      <c r="U111" s="10">
        <f>IF(OR(S111="",$D111=""),"",S111*(1-T111/100)-$D111-IF(S111&lt;=199.99,Kargo!$E$2,IF(S111&lt;=399.99,Kargo!$E$3,$F111)))</f>
        <v/>
      </c>
      <c r="V111" s="12">
        <f>IF(U111="","",U111/S111)</f>
        <v/>
      </c>
      <c r="W111" s="12">
        <f>IF($B111="","",IFERROR(VLOOKUP($C111,Hedefler!$A:$C,2,FALSE),0.04))</f>
        <v/>
      </c>
      <c r="X111" s="12">
        <f>IF($B111="","",IFERROR(VLOOKUP($C111,Hedefler!$A:$C,3,FALSE),0.1))</f>
        <v/>
      </c>
      <c r="Y111" s="13">
        <f>IF($B111="","",IFERROR(VLOOKUP($B111,Maliyetler!$A:$E,5,FALSE),""))</f>
        <v/>
      </c>
      <c r="Z111" s="13">
        <f>IF(OR(Y111="",Y111=0),"",Y111-1)</f>
        <v/>
      </c>
      <c r="AA111" s="14">
        <f>IF(Z111="","",IF(Z111&gt;='Komisyon Tarifeleri'!I111,IF($AM$1=2,'Komisyon Tarifeleri'!U111,'Komisyon Tarifeleri'!P111),IF(Z111&gt;='Komisyon Tarifeleri'!K111,IF($AM$1=2,'Komisyon Tarifeleri'!V111,'Komisyon Tarifeleri'!Q111),IF(Z111&gt;='Komisyon Tarifeleri'!M111,IF($AM$1=2,'Komisyon Tarifeleri'!W111,'Komisyon Tarifeleri'!R111),IF($AM$1=2,'Komisyon Tarifeleri'!X111,'Komisyon Tarifeleri'!S111)))))</f>
        <v/>
      </c>
      <c r="AB111" s="13">
        <f>IF(OR(AA111="",$D111=""),"",Z111*(1-AA111/100)-$D111-IF(Z111&lt;=199.99,Kargo!$E$2,IF(Z111&lt;=399.99,Kargo!$E$3,$F111)))</f>
        <v/>
      </c>
      <c r="AC111" s="15">
        <f>IF(AB111="","",AB111/Z111)</f>
        <v/>
      </c>
      <c r="AD111" s="10">
        <f>IF(OR($D111="",$B111=""),"",IF(AND((1-T111/100-W111)&gt;0,CEILING(($D111+$F111)/(1-T111/100-W111),1)&lt;='Komisyon Tarifeleri'!N111),CEILING(($D111+$F111)/(1-T111/100-W111),1),IF(AND((1-P111/100-W111)&gt;0,CEILING(MAX('Komisyon Tarifeleri'!M111,($D111+$F111)/(1-P111/100-W111)),1)&lt;='Komisyon Tarifeleri'!L111),CEILING(MAX('Komisyon Tarifeleri'!M111,($D111+$F111)/(1-P111/100-W111)),1),IF(AND((1-L111/100-W111)&gt;0,CEILING(MAX('Komisyon Tarifeleri'!K111,($D111+$F111)/(1-L111/100-W111)),1)&lt;='Komisyon Tarifeleri'!J111),CEILING(MAX('Komisyon Tarifeleri'!K111,($D111+$F111)/(1-L111/100-W111)),1),IF((1-H111/100-W111)&gt;0,CEILING(MAX('Komisyon Tarifeleri'!I111,($D111+$F111)/(1-H111/100-W111)),1),"İMKÂNSIZ")))))</f>
        <v/>
      </c>
      <c r="AE111" s="10">
        <f>IF(OR($D111="",$B111=""),"",IF(AND((1-T111/100-X111)&gt;0,CEILING(($D111+$F111)/(1-T111/100-X111),1)&lt;='Komisyon Tarifeleri'!N111),CEILING(($D111+$F111)/(1-T111/100-X111),1),IF(AND((1-P111/100-X111)&gt;0,CEILING(MAX('Komisyon Tarifeleri'!M111,($D111+$F111)/(1-P111/100-X111)),1)&lt;='Komisyon Tarifeleri'!L111),CEILING(MAX('Komisyon Tarifeleri'!M111,($D111+$F111)/(1-P111/100-X111)),1),IF(AND((1-L111/100-X111)&gt;0,CEILING(MAX('Komisyon Tarifeleri'!K111,($D111+$F111)/(1-L111/100-X111)),1)&lt;='Komisyon Tarifeleri'!J111),CEILING(MAX('Komisyon Tarifeleri'!K111,($D111+$F111)/(1-L111/100-X111)),1),IF((1-H111/100-X111)&gt;0,CEILING(MAX('Komisyon Tarifeleri'!I111,($D111+$F111)/(1-H111/100-X111)),1),"İMKÂNSIZ")))))</f>
        <v/>
      </c>
      <c r="AF111" s="16">
        <f>IF($D111="","",IF(AND(Y111&lt;&gt;"",AC111&lt;&gt;"",AC111&gt;=W111),Z111,IF(Y111&lt;&gt;"",AD111,AE111)))</f>
        <v/>
      </c>
      <c r="AG111" s="16">
        <f>IF(OR(AF111="",AF111="İMKÂNSIZ"),"",AF111*(1-IF(AF111&gt;='Komisyon Tarifeleri'!I111,IF($AM$1=2,'Komisyon Tarifeleri'!U111,'Komisyon Tarifeleri'!P111),IF(AF111&gt;='Komisyon Tarifeleri'!K111,IF($AM$1=2,'Komisyon Tarifeleri'!V111,'Komisyon Tarifeleri'!Q111),IF(AF111&gt;='Komisyon Tarifeleri'!M111,IF($AM$1=2,'Komisyon Tarifeleri'!W111,'Komisyon Tarifeleri'!R111),IF($AM$1=2,'Komisyon Tarifeleri'!X111,'Komisyon Tarifeleri'!S111))))/100)-$D111-IF(AF111&lt;=199.99,Kargo!$E$2,IF(AF111&lt;=399.99,Kargo!$E$3,$F111)))</f>
        <v/>
      </c>
      <c r="AH111" s="17">
        <f>IF(AG111="","",AG111/AF111)</f>
        <v/>
      </c>
      <c r="AI111" s="18">
        <f>IF($D111="","",IF(Y111="","BUYBOX YOK → hedef kârla min fiyat",IF(AC111&gt;=W111,"✓ BUYBOX ALTINA GİR","BUYBOX ALTI KÂRSIZ → min kârlı fiyat")))</f>
        <v/>
      </c>
      <c r="AJ111" s="10">
        <f>IF($B111="","",IFERROR(VLOOKUP($B111,Maliyetler!$A:$G,6,FALSE),""))</f>
        <v/>
      </c>
      <c r="AK111">
        <f>IF($B111="","",IFERROR(VLOOKUP($B111,Maliyetler!$A:$G,7,FALSE),""))</f>
        <v/>
      </c>
      <c r="AO111" s="21">
        <f>IF($B111="","",IFERROR(VLOOKUP($B111&amp;"",'Plus Tarifeleri'!$C:$Q,11,FALSE),""))</f>
        <v/>
      </c>
      <c r="AP111" s="22">
        <f>IF(AO111="","",IFERROR(IF($AM$1=2,VLOOKUP($B111&amp;"",'Plus Tarifeleri'!$C:$Q,15,FALSE),VLOOKUP($B111&amp;"",'Plus Tarifeleri'!$C:$Q,13,FALSE)),""))</f>
        <v/>
      </c>
      <c r="AQ111" s="21">
        <f>IF(OR(AO111="",AP111="",$D111=""),"",AO111*(1-AP111/100)-$D111-IF(AO111&lt;=199.99,Kargo!$E$2,IF(AO111&lt;=399.99,Kargo!$E$3,$F111)))</f>
        <v/>
      </c>
      <c r="AR111" s="23">
        <f>IF(AQ111="","",AQ111/AO111)</f>
        <v/>
      </c>
      <c r="AS111" s="24">
        <f>IF(OR(AQ111="",AG111=""),"",AQ111-AG111)</f>
        <v/>
      </c>
    </row>
    <row r="112">
      <c r="A112">
        <f>IF('Komisyon Tarifeleri'!A112="","",'Komisyon Tarifeleri'!A112)</f>
        <v/>
      </c>
      <c r="B112">
        <f>IF('Komisyon Tarifeleri'!B112="","",'Komisyon Tarifeleri'!B112&amp;"")</f>
        <v/>
      </c>
      <c r="C112">
        <f>IF($B112="","",'Komisyon Tarifeleri'!F112)</f>
        <v/>
      </c>
      <c r="D112" s="10">
        <f>IF($B112="","",IFERROR(VLOOKUP($B112,Maliyetler!$A:$E,3,FALSE),""))</f>
        <v/>
      </c>
      <c r="E112">
        <f>IF($B112="","",IFERROR(VLOOKUP($B112,Maliyetler!$A:$E,4,FALSE),1))</f>
        <v/>
      </c>
      <c r="F112" s="10">
        <f>IF($B112="","",IFERROR(VLOOKUP(MIN(20,MAX(1,ROUND($E112,0))),Kargo!$A:$B,2,FALSE),99.46))</f>
        <v/>
      </c>
      <c r="G112" s="10">
        <f>IF($B112="","",IF(IF(N('Komisyon Tarifeleri'!AA112)&gt;='Komisyon Tarifeleri'!I112,'Komisyon Tarifeleri'!AA112,'Komisyon Tarifeleri'!I112)="","",IF(N('Komisyon Tarifeleri'!AA112)&gt;='Komisyon Tarifeleri'!I112,'Komisyon Tarifeleri'!AA112,'Komisyon Tarifeleri'!I112)))</f>
        <v/>
      </c>
      <c r="H112" s="11">
        <f>IF(G112="","",IF($AM$1=2,'Komisyon Tarifeleri'!U112,'Komisyon Tarifeleri'!P112))</f>
        <v/>
      </c>
      <c r="I112" s="10">
        <f>IF(OR(G112="",$D112=""),"",G112*(1-H112/100)-$D112-IF(G112&lt;=199.99,Kargo!$E$2,IF(G112&lt;=399.99,Kargo!$E$3,$F112)))</f>
        <v/>
      </c>
      <c r="J112" s="12">
        <f>IF(I112="","",I112/G112)</f>
        <v/>
      </c>
      <c r="K112" s="10">
        <f>IF($B112="","",IF('Komisyon Tarifeleri'!J112="","",'Komisyon Tarifeleri'!J112))</f>
        <v/>
      </c>
      <c r="L112" s="11">
        <f>IF(K112="","",IF($AM$1=2,'Komisyon Tarifeleri'!V112,'Komisyon Tarifeleri'!Q112))</f>
        <v/>
      </c>
      <c r="M112" s="10">
        <f>IF(OR(K112="",$D112=""),"",K112*(1-L112/100)-$D112-IF(K112&lt;=199.99,Kargo!$E$2,IF(K112&lt;=399.99,Kargo!$E$3,$F112)))</f>
        <v/>
      </c>
      <c r="N112" s="12">
        <f>IF(M112="","",M112/K112)</f>
        <v/>
      </c>
      <c r="O112" s="10">
        <f>IF($B112="","",IF('Komisyon Tarifeleri'!L112="","",'Komisyon Tarifeleri'!L112))</f>
        <v/>
      </c>
      <c r="P112" s="11">
        <f>IF(O112="","",IF($AM$1=2,'Komisyon Tarifeleri'!W112,'Komisyon Tarifeleri'!R112))</f>
        <v/>
      </c>
      <c r="Q112" s="10">
        <f>IF(OR(O112="",$D112=""),"",O112*(1-P112/100)-$D112-IF(O112&lt;=199.99,Kargo!$E$2,IF(O112&lt;=399.99,Kargo!$E$3,$F112)))</f>
        <v/>
      </c>
      <c r="R112" s="12">
        <f>IF(Q112="","",Q112/O112)</f>
        <v/>
      </c>
      <c r="S112" s="10">
        <f>IF($B112="","",IF('Komisyon Tarifeleri'!N112="","",'Komisyon Tarifeleri'!N112))</f>
        <v/>
      </c>
      <c r="T112" s="11">
        <f>IF(S112="","",IF($AM$1=2,'Komisyon Tarifeleri'!X112,'Komisyon Tarifeleri'!S112))</f>
        <v/>
      </c>
      <c r="U112" s="10">
        <f>IF(OR(S112="",$D112=""),"",S112*(1-T112/100)-$D112-IF(S112&lt;=199.99,Kargo!$E$2,IF(S112&lt;=399.99,Kargo!$E$3,$F112)))</f>
        <v/>
      </c>
      <c r="V112" s="12">
        <f>IF(U112="","",U112/S112)</f>
        <v/>
      </c>
      <c r="W112" s="12">
        <f>IF($B112="","",IFERROR(VLOOKUP($C112,Hedefler!$A:$C,2,FALSE),0.04))</f>
        <v/>
      </c>
      <c r="X112" s="12">
        <f>IF($B112="","",IFERROR(VLOOKUP($C112,Hedefler!$A:$C,3,FALSE),0.1))</f>
        <v/>
      </c>
      <c r="Y112" s="13">
        <f>IF($B112="","",IFERROR(VLOOKUP($B112,Maliyetler!$A:$E,5,FALSE),""))</f>
        <v/>
      </c>
      <c r="Z112" s="13">
        <f>IF(OR(Y112="",Y112=0),"",Y112-1)</f>
        <v/>
      </c>
      <c r="AA112" s="14">
        <f>IF(Z112="","",IF(Z112&gt;='Komisyon Tarifeleri'!I112,IF($AM$1=2,'Komisyon Tarifeleri'!U112,'Komisyon Tarifeleri'!P112),IF(Z112&gt;='Komisyon Tarifeleri'!K112,IF($AM$1=2,'Komisyon Tarifeleri'!V112,'Komisyon Tarifeleri'!Q112),IF(Z112&gt;='Komisyon Tarifeleri'!M112,IF($AM$1=2,'Komisyon Tarifeleri'!W112,'Komisyon Tarifeleri'!R112),IF($AM$1=2,'Komisyon Tarifeleri'!X112,'Komisyon Tarifeleri'!S112)))))</f>
        <v/>
      </c>
      <c r="AB112" s="13">
        <f>IF(OR(AA112="",$D112=""),"",Z112*(1-AA112/100)-$D112-IF(Z112&lt;=199.99,Kargo!$E$2,IF(Z112&lt;=399.99,Kargo!$E$3,$F112)))</f>
        <v/>
      </c>
      <c r="AC112" s="15">
        <f>IF(AB112="","",AB112/Z112)</f>
        <v/>
      </c>
      <c r="AD112" s="10">
        <f>IF(OR($D112="",$B112=""),"",IF(AND((1-T112/100-W112)&gt;0,CEILING(($D112+$F112)/(1-T112/100-W112),1)&lt;='Komisyon Tarifeleri'!N112),CEILING(($D112+$F112)/(1-T112/100-W112),1),IF(AND((1-P112/100-W112)&gt;0,CEILING(MAX('Komisyon Tarifeleri'!M112,($D112+$F112)/(1-P112/100-W112)),1)&lt;='Komisyon Tarifeleri'!L112),CEILING(MAX('Komisyon Tarifeleri'!M112,($D112+$F112)/(1-P112/100-W112)),1),IF(AND((1-L112/100-W112)&gt;0,CEILING(MAX('Komisyon Tarifeleri'!K112,($D112+$F112)/(1-L112/100-W112)),1)&lt;='Komisyon Tarifeleri'!J112),CEILING(MAX('Komisyon Tarifeleri'!K112,($D112+$F112)/(1-L112/100-W112)),1),IF((1-H112/100-W112)&gt;0,CEILING(MAX('Komisyon Tarifeleri'!I112,($D112+$F112)/(1-H112/100-W112)),1),"İMKÂNSIZ")))))</f>
        <v/>
      </c>
      <c r="AE112" s="10">
        <f>IF(OR($D112="",$B112=""),"",IF(AND((1-T112/100-X112)&gt;0,CEILING(($D112+$F112)/(1-T112/100-X112),1)&lt;='Komisyon Tarifeleri'!N112),CEILING(($D112+$F112)/(1-T112/100-X112),1),IF(AND((1-P112/100-X112)&gt;0,CEILING(MAX('Komisyon Tarifeleri'!M112,($D112+$F112)/(1-P112/100-X112)),1)&lt;='Komisyon Tarifeleri'!L112),CEILING(MAX('Komisyon Tarifeleri'!M112,($D112+$F112)/(1-P112/100-X112)),1),IF(AND((1-L112/100-X112)&gt;0,CEILING(MAX('Komisyon Tarifeleri'!K112,($D112+$F112)/(1-L112/100-X112)),1)&lt;='Komisyon Tarifeleri'!J112),CEILING(MAX('Komisyon Tarifeleri'!K112,($D112+$F112)/(1-L112/100-X112)),1),IF((1-H112/100-X112)&gt;0,CEILING(MAX('Komisyon Tarifeleri'!I112,($D112+$F112)/(1-H112/100-X112)),1),"İMKÂNSIZ")))))</f>
        <v/>
      </c>
      <c r="AF112" s="16">
        <f>IF($D112="","",IF(AND(Y112&lt;&gt;"",AC112&lt;&gt;"",AC112&gt;=W112),Z112,IF(Y112&lt;&gt;"",AD112,AE112)))</f>
        <v/>
      </c>
      <c r="AG112" s="16">
        <f>IF(OR(AF112="",AF112="İMKÂNSIZ"),"",AF112*(1-IF(AF112&gt;='Komisyon Tarifeleri'!I112,IF($AM$1=2,'Komisyon Tarifeleri'!U112,'Komisyon Tarifeleri'!P112),IF(AF112&gt;='Komisyon Tarifeleri'!K112,IF($AM$1=2,'Komisyon Tarifeleri'!V112,'Komisyon Tarifeleri'!Q112),IF(AF112&gt;='Komisyon Tarifeleri'!M112,IF($AM$1=2,'Komisyon Tarifeleri'!W112,'Komisyon Tarifeleri'!R112),IF($AM$1=2,'Komisyon Tarifeleri'!X112,'Komisyon Tarifeleri'!S112))))/100)-$D112-IF(AF112&lt;=199.99,Kargo!$E$2,IF(AF112&lt;=399.99,Kargo!$E$3,$F112)))</f>
        <v/>
      </c>
      <c r="AH112" s="17">
        <f>IF(AG112="","",AG112/AF112)</f>
        <v/>
      </c>
      <c r="AI112" s="18">
        <f>IF($D112="","",IF(Y112="","BUYBOX YOK → hedef kârla min fiyat",IF(AC112&gt;=W112,"✓ BUYBOX ALTINA GİR","BUYBOX ALTI KÂRSIZ → min kârlı fiyat")))</f>
        <v/>
      </c>
      <c r="AJ112" s="10">
        <f>IF($B112="","",IFERROR(VLOOKUP($B112,Maliyetler!$A:$G,6,FALSE),""))</f>
        <v/>
      </c>
      <c r="AK112">
        <f>IF($B112="","",IFERROR(VLOOKUP($B112,Maliyetler!$A:$G,7,FALSE),""))</f>
        <v/>
      </c>
      <c r="AO112" s="21">
        <f>IF($B112="","",IFERROR(VLOOKUP($B112&amp;"",'Plus Tarifeleri'!$C:$Q,11,FALSE),""))</f>
        <v/>
      </c>
      <c r="AP112" s="22">
        <f>IF(AO112="","",IFERROR(IF($AM$1=2,VLOOKUP($B112&amp;"",'Plus Tarifeleri'!$C:$Q,15,FALSE),VLOOKUP($B112&amp;"",'Plus Tarifeleri'!$C:$Q,13,FALSE)),""))</f>
        <v/>
      </c>
      <c r="AQ112" s="21">
        <f>IF(OR(AO112="",AP112="",$D112=""),"",AO112*(1-AP112/100)-$D112-IF(AO112&lt;=199.99,Kargo!$E$2,IF(AO112&lt;=399.99,Kargo!$E$3,$F112)))</f>
        <v/>
      </c>
      <c r="AR112" s="23">
        <f>IF(AQ112="","",AQ112/AO112)</f>
        <v/>
      </c>
      <c r="AS112" s="24">
        <f>IF(OR(AQ112="",AG112=""),"",AQ112-AG112)</f>
        <v/>
      </c>
    </row>
    <row r="113">
      <c r="A113">
        <f>IF('Komisyon Tarifeleri'!A113="","",'Komisyon Tarifeleri'!A113)</f>
        <v/>
      </c>
      <c r="B113">
        <f>IF('Komisyon Tarifeleri'!B113="","",'Komisyon Tarifeleri'!B113&amp;"")</f>
        <v/>
      </c>
      <c r="C113">
        <f>IF($B113="","",'Komisyon Tarifeleri'!F113)</f>
        <v/>
      </c>
      <c r="D113" s="10">
        <f>IF($B113="","",IFERROR(VLOOKUP($B113,Maliyetler!$A:$E,3,FALSE),""))</f>
        <v/>
      </c>
      <c r="E113">
        <f>IF($B113="","",IFERROR(VLOOKUP($B113,Maliyetler!$A:$E,4,FALSE),1))</f>
        <v/>
      </c>
      <c r="F113" s="10">
        <f>IF($B113="","",IFERROR(VLOOKUP(MIN(20,MAX(1,ROUND($E113,0))),Kargo!$A:$B,2,FALSE),99.46))</f>
        <v/>
      </c>
      <c r="G113" s="10">
        <f>IF($B113="","",IF(IF(N('Komisyon Tarifeleri'!AA113)&gt;='Komisyon Tarifeleri'!I113,'Komisyon Tarifeleri'!AA113,'Komisyon Tarifeleri'!I113)="","",IF(N('Komisyon Tarifeleri'!AA113)&gt;='Komisyon Tarifeleri'!I113,'Komisyon Tarifeleri'!AA113,'Komisyon Tarifeleri'!I113)))</f>
        <v/>
      </c>
      <c r="H113" s="11">
        <f>IF(G113="","",IF($AM$1=2,'Komisyon Tarifeleri'!U113,'Komisyon Tarifeleri'!P113))</f>
        <v/>
      </c>
      <c r="I113" s="10">
        <f>IF(OR(G113="",$D113=""),"",G113*(1-H113/100)-$D113-IF(G113&lt;=199.99,Kargo!$E$2,IF(G113&lt;=399.99,Kargo!$E$3,$F113)))</f>
        <v/>
      </c>
      <c r="J113" s="12">
        <f>IF(I113="","",I113/G113)</f>
        <v/>
      </c>
      <c r="K113" s="10">
        <f>IF($B113="","",IF('Komisyon Tarifeleri'!J113="","",'Komisyon Tarifeleri'!J113))</f>
        <v/>
      </c>
      <c r="L113" s="11">
        <f>IF(K113="","",IF($AM$1=2,'Komisyon Tarifeleri'!V113,'Komisyon Tarifeleri'!Q113))</f>
        <v/>
      </c>
      <c r="M113" s="10">
        <f>IF(OR(K113="",$D113=""),"",K113*(1-L113/100)-$D113-IF(K113&lt;=199.99,Kargo!$E$2,IF(K113&lt;=399.99,Kargo!$E$3,$F113)))</f>
        <v/>
      </c>
      <c r="N113" s="12">
        <f>IF(M113="","",M113/K113)</f>
        <v/>
      </c>
      <c r="O113" s="10">
        <f>IF($B113="","",IF('Komisyon Tarifeleri'!L113="","",'Komisyon Tarifeleri'!L113))</f>
        <v/>
      </c>
      <c r="P113" s="11">
        <f>IF(O113="","",IF($AM$1=2,'Komisyon Tarifeleri'!W113,'Komisyon Tarifeleri'!R113))</f>
        <v/>
      </c>
      <c r="Q113" s="10">
        <f>IF(OR(O113="",$D113=""),"",O113*(1-P113/100)-$D113-IF(O113&lt;=199.99,Kargo!$E$2,IF(O113&lt;=399.99,Kargo!$E$3,$F113)))</f>
        <v/>
      </c>
      <c r="R113" s="12">
        <f>IF(Q113="","",Q113/O113)</f>
        <v/>
      </c>
      <c r="S113" s="10">
        <f>IF($B113="","",IF('Komisyon Tarifeleri'!N113="","",'Komisyon Tarifeleri'!N113))</f>
        <v/>
      </c>
      <c r="T113" s="11">
        <f>IF(S113="","",IF($AM$1=2,'Komisyon Tarifeleri'!X113,'Komisyon Tarifeleri'!S113))</f>
        <v/>
      </c>
      <c r="U113" s="10">
        <f>IF(OR(S113="",$D113=""),"",S113*(1-T113/100)-$D113-IF(S113&lt;=199.99,Kargo!$E$2,IF(S113&lt;=399.99,Kargo!$E$3,$F113)))</f>
        <v/>
      </c>
      <c r="V113" s="12">
        <f>IF(U113="","",U113/S113)</f>
        <v/>
      </c>
      <c r="W113" s="12">
        <f>IF($B113="","",IFERROR(VLOOKUP($C113,Hedefler!$A:$C,2,FALSE),0.04))</f>
        <v/>
      </c>
      <c r="X113" s="12">
        <f>IF($B113="","",IFERROR(VLOOKUP($C113,Hedefler!$A:$C,3,FALSE),0.1))</f>
        <v/>
      </c>
      <c r="Y113" s="13">
        <f>IF($B113="","",IFERROR(VLOOKUP($B113,Maliyetler!$A:$E,5,FALSE),""))</f>
        <v/>
      </c>
      <c r="Z113" s="13">
        <f>IF(OR(Y113="",Y113=0),"",Y113-1)</f>
        <v/>
      </c>
      <c r="AA113" s="14">
        <f>IF(Z113="","",IF(Z113&gt;='Komisyon Tarifeleri'!I113,IF($AM$1=2,'Komisyon Tarifeleri'!U113,'Komisyon Tarifeleri'!P113),IF(Z113&gt;='Komisyon Tarifeleri'!K113,IF($AM$1=2,'Komisyon Tarifeleri'!V113,'Komisyon Tarifeleri'!Q113),IF(Z113&gt;='Komisyon Tarifeleri'!M113,IF($AM$1=2,'Komisyon Tarifeleri'!W113,'Komisyon Tarifeleri'!R113),IF($AM$1=2,'Komisyon Tarifeleri'!X113,'Komisyon Tarifeleri'!S113)))))</f>
        <v/>
      </c>
      <c r="AB113" s="13">
        <f>IF(OR(AA113="",$D113=""),"",Z113*(1-AA113/100)-$D113-IF(Z113&lt;=199.99,Kargo!$E$2,IF(Z113&lt;=399.99,Kargo!$E$3,$F113)))</f>
        <v/>
      </c>
      <c r="AC113" s="15">
        <f>IF(AB113="","",AB113/Z113)</f>
        <v/>
      </c>
      <c r="AD113" s="10">
        <f>IF(OR($D113="",$B113=""),"",IF(AND((1-T113/100-W113)&gt;0,CEILING(($D113+$F113)/(1-T113/100-W113),1)&lt;='Komisyon Tarifeleri'!N113),CEILING(($D113+$F113)/(1-T113/100-W113),1),IF(AND((1-P113/100-W113)&gt;0,CEILING(MAX('Komisyon Tarifeleri'!M113,($D113+$F113)/(1-P113/100-W113)),1)&lt;='Komisyon Tarifeleri'!L113),CEILING(MAX('Komisyon Tarifeleri'!M113,($D113+$F113)/(1-P113/100-W113)),1),IF(AND((1-L113/100-W113)&gt;0,CEILING(MAX('Komisyon Tarifeleri'!K113,($D113+$F113)/(1-L113/100-W113)),1)&lt;='Komisyon Tarifeleri'!J113),CEILING(MAX('Komisyon Tarifeleri'!K113,($D113+$F113)/(1-L113/100-W113)),1),IF((1-H113/100-W113)&gt;0,CEILING(MAX('Komisyon Tarifeleri'!I113,($D113+$F113)/(1-H113/100-W113)),1),"İMKÂNSIZ")))))</f>
        <v/>
      </c>
      <c r="AE113" s="10">
        <f>IF(OR($D113="",$B113=""),"",IF(AND((1-T113/100-X113)&gt;0,CEILING(($D113+$F113)/(1-T113/100-X113),1)&lt;='Komisyon Tarifeleri'!N113),CEILING(($D113+$F113)/(1-T113/100-X113),1),IF(AND((1-P113/100-X113)&gt;0,CEILING(MAX('Komisyon Tarifeleri'!M113,($D113+$F113)/(1-P113/100-X113)),1)&lt;='Komisyon Tarifeleri'!L113),CEILING(MAX('Komisyon Tarifeleri'!M113,($D113+$F113)/(1-P113/100-X113)),1),IF(AND((1-L113/100-X113)&gt;0,CEILING(MAX('Komisyon Tarifeleri'!K113,($D113+$F113)/(1-L113/100-X113)),1)&lt;='Komisyon Tarifeleri'!J113),CEILING(MAX('Komisyon Tarifeleri'!K113,($D113+$F113)/(1-L113/100-X113)),1),IF((1-H113/100-X113)&gt;0,CEILING(MAX('Komisyon Tarifeleri'!I113,($D113+$F113)/(1-H113/100-X113)),1),"İMKÂNSIZ")))))</f>
        <v/>
      </c>
      <c r="AF113" s="16">
        <f>IF($D113="","",IF(AND(Y113&lt;&gt;"",AC113&lt;&gt;"",AC113&gt;=W113),Z113,IF(Y113&lt;&gt;"",AD113,AE113)))</f>
        <v/>
      </c>
      <c r="AG113" s="16">
        <f>IF(OR(AF113="",AF113="İMKÂNSIZ"),"",AF113*(1-IF(AF113&gt;='Komisyon Tarifeleri'!I113,IF($AM$1=2,'Komisyon Tarifeleri'!U113,'Komisyon Tarifeleri'!P113),IF(AF113&gt;='Komisyon Tarifeleri'!K113,IF($AM$1=2,'Komisyon Tarifeleri'!V113,'Komisyon Tarifeleri'!Q113),IF(AF113&gt;='Komisyon Tarifeleri'!M113,IF($AM$1=2,'Komisyon Tarifeleri'!W113,'Komisyon Tarifeleri'!R113),IF($AM$1=2,'Komisyon Tarifeleri'!X113,'Komisyon Tarifeleri'!S113))))/100)-$D113-IF(AF113&lt;=199.99,Kargo!$E$2,IF(AF113&lt;=399.99,Kargo!$E$3,$F113)))</f>
        <v/>
      </c>
      <c r="AH113" s="17">
        <f>IF(AG113="","",AG113/AF113)</f>
        <v/>
      </c>
      <c r="AI113" s="18">
        <f>IF($D113="","",IF(Y113="","BUYBOX YOK → hedef kârla min fiyat",IF(AC113&gt;=W113,"✓ BUYBOX ALTINA GİR","BUYBOX ALTI KÂRSIZ → min kârlı fiyat")))</f>
        <v/>
      </c>
      <c r="AJ113" s="10">
        <f>IF($B113="","",IFERROR(VLOOKUP($B113,Maliyetler!$A:$G,6,FALSE),""))</f>
        <v/>
      </c>
      <c r="AK113">
        <f>IF($B113="","",IFERROR(VLOOKUP($B113,Maliyetler!$A:$G,7,FALSE),""))</f>
        <v/>
      </c>
      <c r="AO113" s="21">
        <f>IF($B113="","",IFERROR(VLOOKUP($B113&amp;"",'Plus Tarifeleri'!$C:$Q,11,FALSE),""))</f>
        <v/>
      </c>
      <c r="AP113" s="22">
        <f>IF(AO113="","",IFERROR(IF($AM$1=2,VLOOKUP($B113&amp;"",'Plus Tarifeleri'!$C:$Q,15,FALSE),VLOOKUP($B113&amp;"",'Plus Tarifeleri'!$C:$Q,13,FALSE)),""))</f>
        <v/>
      </c>
      <c r="AQ113" s="21">
        <f>IF(OR(AO113="",AP113="",$D113=""),"",AO113*(1-AP113/100)-$D113-IF(AO113&lt;=199.99,Kargo!$E$2,IF(AO113&lt;=399.99,Kargo!$E$3,$F113)))</f>
        <v/>
      </c>
      <c r="AR113" s="23">
        <f>IF(AQ113="","",AQ113/AO113)</f>
        <v/>
      </c>
      <c r="AS113" s="24">
        <f>IF(OR(AQ113="",AG113=""),"",AQ113-AG113)</f>
        <v/>
      </c>
    </row>
    <row r="114">
      <c r="A114">
        <f>IF('Komisyon Tarifeleri'!A114="","",'Komisyon Tarifeleri'!A114)</f>
        <v/>
      </c>
      <c r="B114">
        <f>IF('Komisyon Tarifeleri'!B114="","",'Komisyon Tarifeleri'!B114&amp;"")</f>
        <v/>
      </c>
      <c r="C114">
        <f>IF($B114="","",'Komisyon Tarifeleri'!F114)</f>
        <v/>
      </c>
      <c r="D114" s="10">
        <f>IF($B114="","",IFERROR(VLOOKUP($B114,Maliyetler!$A:$E,3,FALSE),""))</f>
        <v/>
      </c>
      <c r="E114">
        <f>IF($B114="","",IFERROR(VLOOKUP($B114,Maliyetler!$A:$E,4,FALSE),1))</f>
        <v/>
      </c>
      <c r="F114" s="10">
        <f>IF($B114="","",IFERROR(VLOOKUP(MIN(20,MAX(1,ROUND($E114,0))),Kargo!$A:$B,2,FALSE),99.46))</f>
        <v/>
      </c>
      <c r="G114" s="10">
        <f>IF($B114="","",IF(IF(N('Komisyon Tarifeleri'!AA114)&gt;='Komisyon Tarifeleri'!I114,'Komisyon Tarifeleri'!AA114,'Komisyon Tarifeleri'!I114)="","",IF(N('Komisyon Tarifeleri'!AA114)&gt;='Komisyon Tarifeleri'!I114,'Komisyon Tarifeleri'!AA114,'Komisyon Tarifeleri'!I114)))</f>
        <v/>
      </c>
      <c r="H114" s="11">
        <f>IF(G114="","",IF($AM$1=2,'Komisyon Tarifeleri'!U114,'Komisyon Tarifeleri'!P114))</f>
        <v/>
      </c>
      <c r="I114" s="10">
        <f>IF(OR(G114="",$D114=""),"",G114*(1-H114/100)-$D114-IF(G114&lt;=199.99,Kargo!$E$2,IF(G114&lt;=399.99,Kargo!$E$3,$F114)))</f>
        <v/>
      </c>
      <c r="J114" s="12">
        <f>IF(I114="","",I114/G114)</f>
        <v/>
      </c>
      <c r="K114" s="10">
        <f>IF($B114="","",IF('Komisyon Tarifeleri'!J114="","",'Komisyon Tarifeleri'!J114))</f>
        <v/>
      </c>
      <c r="L114" s="11">
        <f>IF(K114="","",IF($AM$1=2,'Komisyon Tarifeleri'!V114,'Komisyon Tarifeleri'!Q114))</f>
        <v/>
      </c>
      <c r="M114" s="10">
        <f>IF(OR(K114="",$D114=""),"",K114*(1-L114/100)-$D114-IF(K114&lt;=199.99,Kargo!$E$2,IF(K114&lt;=399.99,Kargo!$E$3,$F114)))</f>
        <v/>
      </c>
      <c r="N114" s="12">
        <f>IF(M114="","",M114/K114)</f>
        <v/>
      </c>
      <c r="O114" s="10">
        <f>IF($B114="","",IF('Komisyon Tarifeleri'!L114="","",'Komisyon Tarifeleri'!L114))</f>
        <v/>
      </c>
      <c r="P114" s="11">
        <f>IF(O114="","",IF($AM$1=2,'Komisyon Tarifeleri'!W114,'Komisyon Tarifeleri'!R114))</f>
        <v/>
      </c>
      <c r="Q114" s="10">
        <f>IF(OR(O114="",$D114=""),"",O114*(1-P114/100)-$D114-IF(O114&lt;=199.99,Kargo!$E$2,IF(O114&lt;=399.99,Kargo!$E$3,$F114)))</f>
        <v/>
      </c>
      <c r="R114" s="12">
        <f>IF(Q114="","",Q114/O114)</f>
        <v/>
      </c>
      <c r="S114" s="10">
        <f>IF($B114="","",IF('Komisyon Tarifeleri'!N114="","",'Komisyon Tarifeleri'!N114))</f>
        <v/>
      </c>
      <c r="T114" s="11">
        <f>IF(S114="","",IF($AM$1=2,'Komisyon Tarifeleri'!X114,'Komisyon Tarifeleri'!S114))</f>
        <v/>
      </c>
      <c r="U114" s="10">
        <f>IF(OR(S114="",$D114=""),"",S114*(1-T114/100)-$D114-IF(S114&lt;=199.99,Kargo!$E$2,IF(S114&lt;=399.99,Kargo!$E$3,$F114)))</f>
        <v/>
      </c>
      <c r="V114" s="12">
        <f>IF(U114="","",U114/S114)</f>
        <v/>
      </c>
      <c r="W114" s="12">
        <f>IF($B114="","",IFERROR(VLOOKUP($C114,Hedefler!$A:$C,2,FALSE),0.04))</f>
        <v/>
      </c>
      <c r="X114" s="12">
        <f>IF($B114="","",IFERROR(VLOOKUP($C114,Hedefler!$A:$C,3,FALSE),0.1))</f>
        <v/>
      </c>
      <c r="Y114" s="13">
        <f>IF($B114="","",IFERROR(VLOOKUP($B114,Maliyetler!$A:$E,5,FALSE),""))</f>
        <v/>
      </c>
      <c r="Z114" s="13">
        <f>IF(OR(Y114="",Y114=0),"",Y114-1)</f>
        <v/>
      </c>
      <c r="AA114" s="14">
        <f>IF(Z114="","",IF(Z114&gt;='Komisyon Tarifeleri'!I114,IF($AM$1=2,'Komisyon Tarifeleri'!U114,'Komisyon Tarifeleri'!P114),IF(Z114&gt;='Komisyon Tarifeleri'!K114,IF($AM$1=2,'Komisyon Tarifeleri'!V114,'Komisyon Tarifeleri'!Q114),IF(Z114&gt;='Komisyon Tarifeleri'!M114,IF($AM$1=2,'Komisyon Tarifeleri'!W114,'Komisyon Tarifeleri'!R114),IF($AM$1=2,'Komisyon Tarifeleri'!X114,'Komisyon Tarifeleri'!S114)))))</f>
        <v/>
      </c>
      <c r="AB114" s="13">
        <f>IF(OR(AA114="",$D114=""),"",Z114*(1-AA114/100)-$D114-IF(Z114&lt;=199.99,Kargo!$E$2,IF(Z114&lt;=399.99,Kargo!$E$3,$F114)))</f>
        <v/>
      </c>
      <c r="AC114" s="15">
        <f>IF(AB114="","",AB114/Z114)</f>
        <v/>
      </c>
      <c r="AD114" s="10">
        <f>IF(OR($D114="",$B114=""),"",IF(AND((1-T114/100-W114)&gt;0,CEILING(($D114+$F114)/(1-T114/100-W114),1)&lt;='Komisyon Tarifeleri'!N114),CEILING(($D114+$F114)/(1-T114/100-W114),1),IF(AND((1-P114/100-W114)&gt;0,CEILING(MAX('Komisyon Tarifeleri'!M114,($D114+$F114)/(1-P114/100-W114)),1)&lt;='Komisyon Tarifeleri'!L114),CEILING(MAX('Komisyon Tarifeleri'!M114,($D114+$F114)/(1-P114/100-W114)),1),IF(AND((1-L114/100-W114)&gt;0,CEILING(MAX('Komisyon Tarifeleri'!K114,($D114+$F114)/(1-L114/100-W114)),1)&lt;='Komisyon Tarifeleri'!J114),CEILING(MAX('Komisyon Tarifeleri'!K114,($D114+$F114)/(1-L114/100-W114)),1),IF((1-H114/100-W114)&gt;0,CEILING(MAX('Komisyon Tarifeleri'!I114,($D114+$F114)/(1-H114/100-W114)),1),"İMKÂNSIZ")))))</f>
        <v/>
      </c>
      <c r="AE114" s="10">
        <f>IF(OR($D114="",$B114=""),"",IF(AND((1-T114/100-X114)&gt;0,CEILING(($D114+$F114)/(1-T114/100-X114),1)&lt;='Komisyon Tarifeleri'!N114),CEILING(($D114+$F114)/(1-T114/100-X114),1),IF(AND((1-P114/100-X114)&gt;0,CEILING(MAX('Komisyon Tarifeleri'!M114,($D114+$F114)/(1-P114/100-X114)),1)&lt;='Komisyon Tarifeleri'!L114),CEILING(MAX('Komisyon Tarifeleri'!M114,($D114+$F114)/(1-P114/100-X114)),1),IF(AND((1-L114/100-X114)&gt;0,CEILING(MAX('Komisyon Tarifeleri'!K114,($D114+$F114)/(1-L114/100-X114)),1)&lt;='Komisyon Tarifeleri'!J114),CEILING(MAX('Komisyon Tarifeleri'!K114,($D114+$F114)/(1-L114/100-X114)),1),IF((1-H114/100-X114)&gt;0,CEILING(MAX('Komisyon Tarifeleri'!I114,($D114+$F114)/(1-H114/100-X114)),1),"İMKÂNSIZ")))))</f>
        <v/>
      </c>
      <c r="AF114" s="16">
        <f>IF($D114="","",IF(AND(Y114&lt;&gt;"",AC114&lt;&gt;"",AC114&gt;=W114),Z114,IF(Y114&lt;&gt;"",AD114,AE114)))</f>
        <v/>
      </c>
      <c r="AG114" s="16">
        <f>IF(OR(AF114="",AF114="İMKÂNSIZ"),"",AF114*(1-IF(AF114&gt;='Komisyon Tarifeleri'!I114,IF($AM$1=2,'Komisyon Tarifeleri'!U114,'Komisyon Tarifeleri'!P114),IF(AF114&gt;='Komisyon Tarifeleri'!K114,IF($AM$1=2,'Komisyon Tarifeleri'!V114,'Komisyon Tarifeleri'!Q114),IF(AF114&gt;='Komisyon Tarifeleri'!M114,IF($AM$1=2,'Komisyon Tarifeleri'!W114,'Komisyon Tarifeleri'!R114),IF($AM$1=2,'Komisyon Tarifeleri'!X114,'Komisyon Tarifeleri'!S114))))/100)-$D114-IF(AF114&lt;=199.99,Kargo!$E$2,IF(AF114&lt;=399.99,Kargo!$E$3,$F114)))</f>
        <v/>
      </c>
      <c r="AH114" s="17">
        <f>IF(AG114="","",AG114/AF114)</f>
        <v/>
      </c>
      <c r="AI114" s="18">
        <f>IF($D114="","",IF(Y114="","BUYBOX YOK → hedef kârla min fiyat",IF(AC114&gt;=W114,"✓ BUYBOX ALTINA GİR","BUYBOX ALTI KÂRSIZ → min kârlı fiyat")))</f>
        <v/>
      </c>
      <c r="AJ114" s="10">
        <f>IF($B114="","",IFERROR(VLOOKUP($B114,Maliyetler!$A:$G,6,FALSE),""))</f>
        <v/>
      </c>
      <c r="AK114">
        <f>IF($B114="","",IFERROR(VLOOKUP($B114,Maliyetler!$A:$G,7,FALSE),""))</f>
        <v/>
      </c>
      <c r="AO114" s="21">
        <f>IF($B114="","",IFERROR(VLOOKUP($B114&amp;"",'Plus Tarifeleri'!$C:$Q,11,FALSE),""))</f>
        <v/>
      </c>
      <c r="AP114" s="22">
        <f>IF(AO114="","",IFERROR(IF($AM$1=2,VLOOKUP($B114&amp;"",'Plus Tarifeleri'!$C:$Q,15,FALSE),VLOOKUP($B114&amp;"",'Plus Tarifeleri'!$C:$Q,13,FALSE)),""))</f>
        <v/>
      </c>
      <c r="AQ114" s="21">
        <f>IF(OR(AO114="",AP114="",$D114=""),"",AO114*(1-AP114/100)-$D114-IF(AO114&lt;=199.99,Kargo!$E$2,IF(AO114&lt;=399.99,Kargo!$E$3,$F114)))</f>
        <v/>
      </c>
      <c r="AR114" s="23">
        <f>IF(AQ114="","",AQ114/AO114)</f>
        <v/>
      </c>
      <c r="AS114" s="24">
        <f>IF(OR(AQ114="",AG114=""),"",AQ114-AG114)</f>
        <v/>
      </c>
    </row>
    <row r="115">
      <c r="A115">
        <f>IF('Komisyon Tarifeleri'!A115="","",'Komisyon Tarifeleri'!A115)</f>
        <v/>
      </c>
      <c r="B115">
        <f>IF('Komisyon Tarifeleri'!B115="","",'Komisyon Tarifeleri'!B115&amp;"")</f>
        <v/>
      </c>
      <c r="C115">
        <f>IF($B115="","",'Komisyon Tarifeleri'!F115)</f>
        <v/>
      </c>
      <c r="D115" s="10">
        <f>IF($B115="","",IFERROR(VLOOKUP($B115,Maliyetler!$A:$E,3,FALSE),""))</f>
        <v/>
      </c>
      <c r="E115">
        <f>IF($B115="","",IFERROR(VLOOKUP($B115,Maliyetler!$A:$E,4,FALSE),1))</f>
        <v/>
      </c>
      <c r="F115" s="10">
        <f>IF($B115="","",IFERROR(VLOOKUP(MIN(20,MAX(1,ROUND($E115,0))),Kargo!$A:$B,2,FALSE),99.46))</f>
        <v/>
      </c>
      <c r="G115" s="10">
        <f>IF($B115="","",IF(IF(N('Komisyon Tarifeleri'!AA115)&gt;='Komisyon Tarifeleri'!I115,'Komisyon Tarifeleri'!AA115,'Komisyon Tarifeleri'!I115)="","",IF(N('Komisyon Tarifeleri'!AA115)&gt;='Komisyon Tarifeleri'!I115,'Komisyon Tarifeleri'!AA115,'Komisyon Tarifeleri'!I115)))</f>
        <v/>
      </c>
      <c r="H115" s="11">
        <f>IF(G115="","",IF($AM$1=2,'Komisyon Tarifeleri'!U115,'Komisyon Tarifeleri'!P115))</f>
        <v/>
      </c>
      <c r="I115" s="10">
        <f>IF(OR(G115="",$D115=""),"",G115*(1-H115/100)-$D115-IF(G115&lt;=199.99,Kargo!$E$2,IF(G115&lt;=399.99,Kargo!$E$3,$F115)))</f>
        <v/>
      </c>
      <c r="J115" s="12">
        <f>IF(I115="","",I115/G115)</f>
        <v/>
      </c>
      <c r="K115" s="10">
        <f>IF($B115="","",IF('Komisyon Tarifeleri'!J115="","",'Komisyon Tarifeleri'!J115))</f>
        <v/>
      </c>
      <c r="L115" s="11">
        <f>IF(K115="","",IF($AM$1=2,'Komisyon Tarifeleri'!V115,'Komisyon Tarifeleri'!Q115))</f>
        <v/>
      </c>
      <c r="M115" s="10">
        <f>IF(OR(K115="",$D115=""),"",K115*(1-L115/100)-$D115-IF(K115&lt;=199.99,Kargo!$E$2,IF(K115&lt;=399.99,Kargo!$E$3,$F115)))</f>
        <v/>
      </c>
      <c r="N115" s="12">
        <f>IF(M115="","",M115/K115)</f>
        <v/>
      </c>
      <c r="O115" s="10">
        <f>IF($B115="","",IF('Komisyon Tarifeleri'!L115="","",'Komisyon Tarifeleri'!L115))</f>
        <v/>
      </c>
      <c r="P115" s="11">
        <f>IF(O115="","",IF($AM$1=2,'Komisyon Tarifeleri'!W115,'Komisyon Tarifeleri'!R115))</f>
        <v/>
      </c>
      <c r="Q115" s="10">
        <f>IF(OR(O115="",$D115=""),"",O115*(1-P115/100)-$D115-IF(O115&lt;=199.99,Kargo!$E$2,IF(O115&lt;=399.99,Kargo!$E$3,$F115)))</f>
        <v/>
      </c>
      <c r="R115" s="12">
        <f>IF(Q115="","",Q115/O115)</f>
        <v/>
      </c>
      <c r="S115" s="10">
        <f>IF($B115="","",IF('Komisyon Tarifeleri'!N115="","",'Komisyon Tarifeleri'!N115))</f>
        <v/>
      </c>
      <c r="T115" s="11">
        <f>IF(S115="","",IF($AM$1=2,'Komisyon Tarifeleri'!X115,'Komisyon Tarifeleri'!S115))</f>
        <v/>
      </c>
      <c r="U115" s="10">
        <f>IF(OR(S115="",$D115=""),"",S115*(1-T115/100)-$D115-IF(S115&lt;=199.99,Kargo!$E$2,IF(S115&lt;=399.99,Kargo!$E$3,$F115)))</f>
        <v/>
      </c>
      <c r="V115" s="12">
        <f>IF(U115="","",U115/S115)</f>
        <v/>
      </c>
      <c r="W115" s="12">
        <f>IF($B115="","",IFERROR(VLOOKUP($C115,Hedefler!$A:$C,2,FALSE),0.04))</f>
        <v/>
      </c>
      <c r="X115" s="12">
        <f>IF($B115="","",IFERROR(VLOOKUP($C115,Hedefler!$A:$C,3,FALSE),0.1))</f>
        <v/>
      </c>
      <c r="Y115" s="13">
        <f>IF($B115="","",IFERROR(VLOOKUP($B115,Maliyetler!$A:$E,5,FALSE),""))</f>
        <v/>
      </c>
      <c r="Z115" s="13">
        <f>IF(OR(Y115="",Y115=0),"",Y115-1)</f>
        <v/>
      </c>
      <c r="AA115" s="14">
        <f>IF(Z115="","",IF(Z115&gt;='Komisyon Tarifeleri'!I115,IF($AM$1=2,'Komisyon Tarifeleri'!U115,'Komisyon Tarifeleri'!P115),IF(Z115&gt;='Komisyon Tarifeleri'!K115,IF($AM$1=2,'Komisyon Tarifeleri'!V115,'Komisyon Tarifeleri'!Q115),IF(Z115&gt;='Komisyon Tarifeleri'!M115,IF($AM$1=2,'Komisyon Tarifeleri'!W115,'Komisyon Tarifeleri'!R115),IF($AM$1=2,'Komisyon Tarifeleri'!X115,'Komisyon Tarifeleri'!S115)))))</f>
        <v/>
      </c>
      <c r="AB115" s="13">
        <f>IF(OR(AA115="",$D115=""),"",Z115*(1-AA115/100)-$D115-IF(Z115&lt;=199.99,Kargo!$E$2,IF(Z115&lt;=399.99,Kargo!$E$3,$F115)))</f>
        <v/>
      </c>
      <c r="AC115" s="15">
        <f>IF(AB115="","",AB115/Z115)</f>
        <v/>
      </c>
      <c r="AD115" s="10">
        <f>IF(OR($D115="",$B115=""),"",IF(AND((1-T115/100-W115)&gt;0,CEILING(($D115+$F115)/(1-T115/100-W115),1)&lt;='Komisyon Tarifeleri'!N115),CEILING(($D115+$F115)/(1-T115/100-W115),1),IF(AND((1-P115/100-W115)&gt;0,CEILING(MAX('Komisyon Tarifeleri'!M115,($D115+$F115)/(1-P115/100-W115)),1)&lt;='Komisyon Tarifeleri'!L115),CEILING(MAX('Komisyon Tarifeleri'!M115,($D115+$F115)/(1-P115/100-W115)),1),IF(AND((1-L115/100-W115)&gt;0,CEILING(MAX('Komisyon Tarifeleri'!K115,($D115+$F115)/(1-L115/100-W115)),1)&lt;='Komisyon Tarifeleri'!J115),CEILING(MAX('Komisyon Tarifeleri'!K115,($D115+$F115)/(1-L115/100-W115)),1),IF((1-H115/100-W115)&gt;0,CEILING(MAX('Komisyon Tarifeleri'!I115,($D115+$F115)/(1-H115/100-W115)),1),"İMKÂNSIZ")))))</f>
        <v/>
      </c>
      <c r="AE115" s="10">
        <f>IF(OR($D115="",$B115=""),"",IF(AND((1-T115/100-X115)&gt;0,CEILING(($D115+$F115)/(1-T115/100-X115),1)&lt;='Komisyon Tarifeleri'!N115),CEILING(($D115+$F115)/(1-T115/100-X115),1),IF(AND((1-P115/100-X115)&gt;0,CEILING(MAX('Komisyon Tarifeleri'!M115,($D115+$F115)/(1-P115/100-X115)),1)&lt;='Komisyon Tarifeleri'!L115),CEILING(MAX('Komisyon Tarifeleri'!M115,($D115+$F115)/(1-P115/100-X115)),1),IF(AND((1-L115/100-X115)&gt;0,CEILING(MAX('Komisyon Tarifeleri'!K115,($D115+$F115)/(1-L115/100-X115)),1)&lt;='Komisyon Tarifeleri'!J115),CEILING(MAX('Komisyon Tarifeleri'!K115,($D115+$F115)/(1-L115/100-X115)),1),IF((1-H115/100-X115)&gt;0,CEILING(MAX('Komisyon Tarifeleri'!I115,($D115+$F115)/(1-H115/100-X115)),1),"İMKÂNSIZ")))))</f>
        <v/>
      </c>
      <c r="AF115" s="16">
        <f>IF($D115="","",IF(AND(Y115&lt;&gt;"",AC115&lt;&gt;"",AC115&gt;=W115),Z115,IF(Y115&lt;&gt;"",AD115,AE115)))</f>
        <v/>
      </c>
      <c r="AG115" s="16">
        <f>IF(OR(AF115="",AF115="İMKÂNSIZ"),"",AF115*(1-IF(AF115&gt;='Komisyon Tarifeleri'!I115,IF($AM$1=2,'Komisyon Tarifeleri'!U115,'Komisyon Tarifeleri'!P115),IF(AF115&gt;='Komisyon Tarifeleri'!K115,IF($AM$1=2,'Komisyon Tarifeleri'!V115,'Komisyon Tarifeleri'!Q115),IF(AF115&gt;='Komisyon Tarifeleri'!M115,IF($AM$1=2,'Komisyon Tarifeleri'!W115,'Komisyon Tarifeleri'!R115),IF($AM$1=2,'Komisyon Tarifeleri'!X115,'Komisyon Tarifeleri'!S115))))/100)-$D115-IF(AF115&lt;=199.99,Kargo!$E$2,IF(AF115&lt;=399.99,Kargo!$E$3,$F115)))</f>
        <v/>
      </c>
      <c r="AH115" s="17">
        <f>IF(AG115="","",AG115/AF115)</f>
        <v/>
      </c>
      <c r="AI115" s="18">
        <f>IF($D115="","",IF(Y115="","BUYBOX YOK → hedef kârla min fiyat",IF(AC115&gt;=W115,"✓ BUYBOX ALTINA GİR","BUYBOX ALTI KÂRSIZ → min kârlı fiyat")))</f>
        <v/>
      </c>
      <c r="AJ115" s="10">
        <f>IF($B115="","",IFERROR(VLOOKUP($B115,Maliyetler!$A:$G,6,FALSE),""))</f>
        <v/>
      </c>
      <c r="AK115">
        <f>IF($B115="","",IFERROR(VLOOKUP($B115,Maliyetler!$A:$G,7,FALSE),""))</f>
        <v/>
      </c>
      <c r="AO115" s="21">
        <f>IF($B115="","",IFERROR(VLOOKUP($B115&amp;"",'Plus Tarifeleri'!$C:$Q,11,FALSE),""))</f>
        <v/>
      </c>
      <c r="AP115" s="22">
        <f>IF(AO115="","",IFERROR(IF($AM$1=2,VLOOKUP($B115&amp;"",'Plus Tarifeleri'!$C:$Q,15,FALSE),VLOOKUP($B115&amp;"",'Plus Tarifeleri'!$C:$Q,13,FALSE)),""))</f>
        <v/>
      </c>
      <c r="AQ115" s="21">
        <f>IF(OR(AO115="",AP115="",$D115=""),"",AO115*(1-AP115/100)-$D115-IF(AO115&lt;=199.99,Kargo!$E$2,IF(AO115&lt;=399.99,Kargo!$E$3,$F115)))</f>
        <v/>
      </c>
      <c r="AR115" s="23">
        <f>IF(AQ115="","",AQ115/AO115)</f>
        <v/>
      </c>
      <c r="AS115" s="24">
        <f>IF(OR(AQ115="",AG115=""),"",AQ115-AG115)</f>
        <v/>
      </c>
    </row>
    <row r="116">
      <c r="A116">
        <f>IF('Komisyon Tarifeleri'!A116="","",'Komisyon Tarifeleri'!A116)</f>
        <v/>
      </c>
      <c r="B116">
        <f>IF('Komisyon Tarifeleri'!B116="","",'Komisyon Tarifeleri'!B116&amp;"")</f>
        <v/>
      </c>
      <c r="C116">
        <f>IF($B116="","",'Komisyon Tarifeleri'!F116)</f>
        <v/>
      </c>
      <c r="D116" s="10">
        <f>IF($B116="","",IFERROR(VLOOKUP($B116,Maliyetler!$A:$E,3,FALSE),""))</f>
        <v/>
      </c>
      <c r="E116">
        <f>IF($B116="","",IFERROR(VLOOKUP($B116,Maliyetler!$A:$E,4,FALSE),1))</f>
        <v/>
      </c>
      <c r="F116" s="10">
        <f>IF($B116="","",IFERROR(VLOOKUP(MIN(20,MAX(1,ROUND($E116,0))),Kargo!$A:$B,2,FALSE),99.46))</f>
        <v/>
      </c>
      <c r="G116" s="10">
        <f>IF($B116="","",IF(IF(N('Komisyon Tarifeleri'!AA116)&gt;='Komisyon Tarifeleri'!I116,'Komisyon Tarifeleri'!AA116,'Komisyon Tarifeleri'!I116)="","",IF(N('Komisyon Tarifeleri'!AA116)&gt;='Komisyon Tarifeleri'!I116,'Komisyon Tarifeleri'!AA116,'Komisyon Tarifeleri'!I116)))</f>
        <v/>
      </c>
      <c r="H116" s="11">
        <f>IF(G116="","",IF($AM$1=2,'Komisyon Tarifeleri'!U116,'Komisyon Tarifeleri'!P116))</f>
        <v/>
      </c>
      <c r="I116" s="10">
        <f>IF(OR(G116="",$D116=""),"",G116*(1-H116/100)-$D116-IF(G116&lt;=199.99,Kargo!$E$2,IF(G116&lt;=399.99,Kargo!$E$3,$F116)))</f>
        <v/>
      </c>
      <c r="J116" s="12">
        <f>IF(I116="","",I116/G116)</f>
        <v/>
      </c>
      <c r="K116" s="10">
        <f>IF($B116="","",IF('Komisyon Tarifeleri'!J116="","",'Komisyon Tarifeleri'!J116))</f>
        <v/>
      </c>
      <c r="L116" s="11">
        <f>IF(K116="","",IF($AM$1=2,'Komisyon Tarifeleri'!V116,'Komisyon Tarifeleri'!Q116))</f>
        <v/>
      </c>
      <c r="M116" s="10">
        <f>IF(OR(K116="",$D116=""),"",K116*(1-L116/100)-$D116-IF(K116&lt;=199.99,Kargo!$E$2,IF(K116&lt;=399.99,Kargo!$E$3,$F116)))</f>
        <v/>
      </c>
      <c r="N116" s="12">
        <f>IF(M116="","",M116/K116)</f>
        <v/>
      </c>
      <c r="O116" s="10">
        <f>IF($B116="","",IF('Komisyon Tarifeleri'!L116="","",'Komisyon Tarifeleri'!L116))</f>
        <v/>
      </c>
      <c r="P116" s="11">
        <f>IF(O116="","",IF($AM$1=2,'Komisyon Tarifeleri'!W116,'Komisyon Tarifeleri'!R116))</f>
        <v/>
      </c>
      <c r="Q116" s="10">
        <f>IF(OR(O116="",$D116=""),"",O116*(1-P116/100)-$D116-IF(O116&lt;=199.99,Kargo!$E$2,IF(O116&lt;=399.99,Kargo!$E$3,$F116)))</f>
        <v/>
      </c>
      <c r="R116" s="12">
        <f>IF(Q116="","",Q116/O116)</f>
        <v/>
      </c>
      <c r="S116" s="10">
        <f>IF($B116="","",IF('Komisyon Tarifeleri'!N116="","",'Komisyon Tarifeleri'!N116))</f>
        <v/>
      </c>
      <c r="T116" s="11">
        <f>IF(S116="","",IF($AM$1=2,'Komisyon Tarifeleri'!X116,'Komisyon Tarifeleri'!S116))</f>
        <v/>
      </c>
      <c r="U116" s="10">
        <f>IF(OR(S116="",$D116=""),"",S116*(1-T116/100)-$D116-IF(S116&lt;=199.99,Kargo!$E$2,IF(S116&lt;=399.99,Kargo!$E$3,$F116)))</f>
        <v/>
      </c>
      <c r="V116" s="12">
        <f>IF(U116="","",U116/S116)</f>
        <v/>
      </c>
      <c r="W116" s="12">
        <f>IF($B116="","",IFERROR(VLOOKUP($C116,Hedefler!$A:$C,2,FALSE),0.04))</f>
        <v/>
      </c>
      <c r="X116" s="12">
        <f>IF($B116="","",IFERROR(VLOOKUP($C116,Hedefler!$A:$C,3,FALSE),0.1))</f>
        <v/>
      </c>
      <c r="Y116" s="13">
        <f>IF($B116="","",IFERROR(VLOOKUP($B116,Maliyetler!$A:$E,5,FALSE),""))</f>
        <v/>
      </c>
      <c r="Z116" s="13">
        <f>IF(OR(Y116="",Y116=0),"",Y116-1)</f>
        <v/>
      </c>
      <c r="AA116" s="14">
        <f>IF(Z116="","",IF(Z116&gt;='Komisyon Tarifeleri'!I116,IF($AM$1=2,'Komisyon Tarifeleri'!U116,'Komisyon Tarifeleri'!P116),IF(Z116&gt;='Komisyon Tarifeleri'!K116,IF($AM$1=2,'Komisyon Tarifeleri'!V116,'Komisyon Tarifeleri'!Q116),IF(Z116&gt;='Komisyon Tarifeleri'!M116,IF($AM$1=2,'Komisyon Tarifeleri'!W116,'Komisyon Tarifeleri'!R116),IF($AM$1=2,'Komisyon Tarifeleri'!X116,'Komisyon Tarifeleri'!S116)))))</f>
        <v/>
      </c>
      <c r="AB116" s="13">
        <f>IF(OR(AA116="",$D116=""),"",Z116*(1-AA116/100)-$D116-IF(Z116&lt;=199.99,Kargo!$E$2,IF(Z116&lt;=399.99,Kargo!$E$3,$F116)))</f>
        <v/>
      </c>
      <c r="AC116" s="15">
        <f>IF(AB116="","",AB116/Z116)</f>
        <v/>
      </c>
      <c r="AD116" s="10">
        <f>IF(OR($D116="",$B116=""),"",IF(AND((1-T116/100-W116)&gt;0,CEILING(($D116+$F116)/(1-T116/100-W116),1)&lt;='Komisyon Tarifeleri'!N116),CEILING(($D116+$F116)/(1-T116/100-W116),1),IF(AND((1-P116/100-W116)&gt;0,CEILING(MAX('Komisyon Tarifeleri'!M116,($D116+$F116)/(1-P116/100-W116)),1)&lt;='Komisyon Tarifeleri'!L116),CEILING(MAX('Komisyon Tarifeleri'!M116,($D116+$F116)/(1-P116/100-W116)),1),IF(AND((1-L116/100-W116)&gt;0,CEILING(MAX('Komisyon Tarifeleri'!K116,($D116+$F116)/(1-L116/100-W116)),1)&lt;='Komisyon Tarifeleri'!J116),CEILING(MAX('Komisyon Tarifeleri'!K116,($D116+$F116)/(1-L116/100-W116)),1),IF((1-H116/100-W116)&gt;0,CEILING(MAX('Komisyon Tarifeleri'!I116,($D116+$F116)/(1-H116/100-W116)),1),"İMKÂNSIZ")))))</f>
        <v/>
      </c>
      <c r="AE116" s="10">
        <f>IF(OR($D116="",$B116=""),"",IF(AND((1-T116/100-X116)&gt;0,CEILING(($D116+$F116)/(1-T116/100-X116),1)&lt;='Komisyon Tarifeleri'!N116),CEILING(($D116+$F116)/(1-T116/100-X116),1),IF(AND((1-P116/100-X116)&gt;0,CEILING(MAX('Komisyon Tarifeleri'!M116,($D116+$F116)/(1-P116/100-X116)),1)&lt;='Komisyon Tarifeleri'!L116),CEILING(MAX('Komisyon Tarifeleri'!M116,($D116+$F116)/(1-P116/100-X116)),1),IF(AND((1-L116/100-X116)&gt;0,CEILING(MAX('Komisyon Tarifeleri'!K116,($D116+$F116)/(1-L116/100-X116)),1)&lt;='Komisyon Tarifeleri'!J116),CEILING(MAX('Komisyon Tarifeleri'!K116,($D116+$F116)/(1-L116/100-X116)),1),IF((1-H116/100-X116)&gt;0,CEILING(MAX('Komisyon Tarifeleri'!I116,($D116+$F116)/(1-H116/100-X116)),1),"İMKÂNSIZ")))))</f>
        <v/>
      </c>
      <c r="AF116" s="16">
        <f>IF($D116="","",IF(AND(Y116&lt;&gt;"",AC116&lt;&gt;"",AC116&gt;=W116),Z116,IF(Y116&lt;&gt;"",AD116,AE116)))</f>
        <v/>
      </c>
      <c r="AG116" s="16">
        <f>IF(OR(AF116="",AF116="İMKÂNSIZ"),"",AF116*(1-IF(AF116&gt;='Komisyon Tarifeleri'!I116,IF($AM$1=2,'Komisyon Tarifeleri'!U116,'Komisyon Tarifeleri'!P116),IF(AF116&gt;='Komisyon Tarifeleri'!K116,IF($AM$1=2,'Komisyon Tarifeleri'!V116,'Komisyon Tarifeleri'!Q116),IF(AF116&gt;='Komisyon Tarifeleri'!M116,IF($AM$1=2,'Komisyon Tarifeleri'!W116,'Komisyon Tarifeleri'!R116),IF($AM$1=2,'Komisyon Tarifeleri'!X116,'Komisyon Tarifeleri'!S116))))/100)-$D116-IF(AF116&lt;=199.99,Kargo!$E$2,IF(AF116&lt;=399.99,Kargo!$E$3,$F116)))</f>
        <v/>
      </c>
      <c r="AH116" s="17">
        <f>IF(AG116="","",AG116/AF116)</f>
        <v/>
      </c>
      <c r="AI116" s="18">
        <f>IF($D116="","",IF(Y116="","BUYBOX YOK → hedef kârla min fiyat",IF(AC116&gt;=W116,"✓ BUYBOX ALTINA GİR","BUYBOX ALTI KÂRSIZ → min kârlı fiyat")))</f>
        <v/>
      </c>
      <c r="AJ116" s="10">
        <f>IF($B116="","",IFERROR(VLOOKUP($B116,Maliyetler!$A:$G,6,FALSE),""))</f>
        <v/>
      </c>
      <c r="AK116">
        <f>IF($B116="","",IFERROR(VLOOKUP($B116,Maliyetler!$A:$G,7,FALSE),""))</f>
        <v/>
      </c>
      <c r="AO116" s="21">
        <f>IF($B116="","",IFERROR(VLOOKUP($B116&amp;"",'Plus Tarifeleri'!$C:$Q,11,FALSE),""))</f>
        <v/>
      </c>
      <c r="AP116" s="22">
        <f>IF(AO116="","",IFERROR(IF($AM$1=2,VLOOKUP($B116&amp;"",'Plus Tarifeleri'!$C:$Q,15,FALSE),VLOOKUP($B116&amp;"",'Plus Tarifeleri'!$C:$Q,13,FALSE)),""))</f>
        <v/>
      </c>
      <c r="AQ116" s="21">
        <f>IF(OR(AO116="",AP116="",$D116=""),"",AO116*(1-AP116/100)-$D116-IF(AO116&lt;=199.99,Kargo!$E$2,IF(AO116&lt;=399.99,Kargo!$E$3,$F116)))</f>
        <v/>
      </c>
      <c r="AR116" s="23">
        <f>IF(AQ116="","",AQ116/AO116)</f>
        <v/>
      </c>
      <c r="AS116" s="24">
        <f>IF(OR(AQ116="",AG116=""),"",AQ116-AG116)</f>
        <v/>
      </c>
    </row>
    <row r="117">
      <c r="A117">
        <f>IF('Komisyon Tarifeleri'!A117="","",'Komisyon Tarifeleri'!A117)</f>
        <v/>
      </c>
      <c r="B117">
        <f>IF('Komisyon Tarifeleri'!B117="","",'Komisyon Tarifeleri'!B117&amp;"")</f>
        <v/>
      </c>
      <c r="C117">
        <f>IF($B117="","",'Komisyon Tarifeleri'!F117)</f>
        <v/>
      </c>
      <c r="D117" s="10">
        <f>IF($B117="","",IFERROR(VLOOKUP($B117,Maliyetler!$A:$E,3,FALSE),""))</f>
        <v/>
      </c>
      <c r="E117">
        <f>IF($B117="","",IFERROR(VLOOKUP($B117,Maliyetler!$A:$E,4,FALSE),1))</f>
        <v/>
      </c>
      <c r="F117" s="10">
        <f>IF($B117="","",IFERROR(VLOOKUP(MIN(20,MAX(1,ROUND($E117,0))),Kargo!$A:$B,2,FALSE),99.46))</f>
        <v/>
      </c>
      <c r="G117" s="10">
        <f>IF($B117="","",IF(IF(N('Komisyon Tarifeleri'!AA117)&gt;='Komisyon Tarifeleri'!I117,'Komisyon Tarifeleri'!AA117,'Komisyon Tarifeleri'!I117)="","",IF(N('Komisyon Tarifeleri'!AA117)&gt;='Komisyon Tarifeleri'!I117,'Komisyon Tarifeleri'!AA117,'Komisyon Tarifeleri'!I117)))</f>
        <v/>
      </c>
      <c r="H117" s="11">
        <f>IF(G117="","",IF($AM$1=2,'Komisyon Tarifeleri'!U117,'Komisyon Tarifeleri'!P117))</f>
        <v/>
      </c>
      <c r="I117" s="10">
        <f>IF(OR(G117="",$D117=""),"",G117*(1-H117/100)-$D117-IF(G117&lt;=199.99,Kargo!$E$2,IF(G117&lt;=399.99,Kargo!$E$3,$F117)))</f>
        <v/>
      </c>
      <c r="J117" s="12">
        <f>IF(I117="","",I117/G117)</f>
        <v/>
      </c>
      <c r="K117" s="10">
        <f>IF($B117="","",IF('Komisyon Tarifeleri'!J117="","",'Komisyon Tarifeleri'!J117))</f>
        <v/>
      </c>
      <c r="L117" s="11">
        <f>IF(K117="","",IF($AM$1=2,'Komisyon Tarifeleri'!V117,'Komisyon Tarifeleri'!Q117))</f>
        <v/>
      </c>
      <c r="M117" s="10">
        <f>IF(OR(K117="",$D117=""),"",K117*(1-L117/100)-$D117-IF(K117&lt;=199.99,Kargo!$E$2,IF(K117&lt;=399.99,Kargo!$E$3,$F117)))</f>
        <v/>
      </c>
      <c r="N117" s="12">
        <f>IF(M117="","",M117/K117)</f>
        <v/>
      </c>
      <c r="O117" s="10">
        <f>IF($B117="","",IF('Komisyon Tarifeleri'!L117="","",'Komisyon Tarifeleri'!L117))</f>
        <v/>
      </c>
      <c r="P117" s="11">
        <f>IF(O117="","",IF($AM$1=2,'Komisyon Tarifeleri'!W117,'Komisyon Tarifeleri'!R117))</f>
        <v/>
      </c>
      <c r="Q117" s="10">
        <f>IF(OR(O117="",$D117=""),"",O117*(1-P117/100)-$D117-IF(O117&lt;=199.99,Kargo!$E$2,IF(O117&lt;=399.99,Kargo!$E$3,$F117)))</f>
        <v/>
      </c>
      <c r="R117" s="12">
        <f>IF(Q117="","",Q117/O117)</f>
        <v/>
      </c>
      <c r="S117" s="10">
        <f>IF($B117="","",IF('Komisyon Tarifeleri'!N117="","",'Komisyon Tarifeleri'!N117))</f>
        <v/>
      </c>
      <c r="T117" s="11">
        <f>IF(S117="","",IF($AM$1=2,'Komisyon Tarifeleri'!X117,'Komisyon Tarifeleri'!S117))</f>
        <v/>
      </c>
      <c r="U117" s="10">
        <f>IF(OR(S117="",$D117=""),"",S117*(1-T117/100)-$D117-IF(S117&lt;=199.99,Kargo!$E$2,IF(S117&lt;=399.99,Kargo!$E$3,$F117)))</f>
        <v/>
      </c>
      <c r="V117" s="12">
        <f>IF(U117="","",U117/S117)</f>
        <v/>
      </c>
      <c r="W117" s="12">
        <f>IF($B117="","",IFERROR(VLOOKUP($C117,Hedefler!$A:$C,2,FALSE),0.04))</f>
        <v/>
      </c>
      <c r="X117" s="12">
        <f>IF($B117="","",IFERROR(VLOOKUP($C117,Hedefler!$A:$C,3,FALSE),0.1))</f>
        <v/>
      </c>
      <c r="Y117" s="13">
        <f>IF($B117="","",IFERROR(VLOOKUP($B117,Maliyetler!$A:$E,5,FALSE),""))</f>
        <v/>
      </c>
      <c r="Z117" s="13">
        <f>IF(OR(Y117="",Y117=0),"",Y117-1)</f>
        <v/>
      </c>
      <c r="AA117" s="14">
        <f>IF(Z117="","",IF(Z117&gt;='Komisyon Tarifeleri'!I117,IF($AM$1=2,'Komisyon Tarifeleri'!U117,'Komisyon Tarifeleri'!P117),IF(Z117&gt;='Komisyon Tarifeleri'!K117,IF($AM$1=2,'Komisyon Tarifeleri'!V117,'Komisyon Tarifeleri'!Q117),IF(Z117&gt;='Komisyon Tarifeleri'!M117,IF($AM$1=2,'Komisyon Tarifeleri'!W117,'Komisyon Tarifeleri'!R117),IF($AM$1=2,'Komisyon Tarifeleri'!X117,'Komisyon Tarifeleri'!S117)))))</f>
        <v/>
      </c>
      <c r="AB117" s="13">
        <f>IF(OR(AA117="",$D117=""),"",Z117*(1-AA117/100)-$D117-IF(Z117&lt;=199.99,Kargo!$E$2,IF(Z117&lt;=399.99,Kargo!$E$3,$F117)))</f>
        <v/>
      </c>
      <c r="AC117" s="15">
        <f>IF(AB117="","",AB117/Z117)</f>
        <v/>
      </c>
      <c r="AD117" s="10">
        <f>IF(OR($D117="",$B117=""),"",IF(AND((1-T117/100-W117)&gt;0,CEILING(($D117+$F117)/(1-T117/100-W117),1)&lt;='Komisyon Tarifeleri'!N117),CEILING(($D117+$F117)/(1-T117/100-W117),1),IF(AND((1-P117/100-W117)&gt;0,CEILING(MAX('Komisyon Tarifeleri'!M117,($D117+$F117)/(1-P117/100-W117)),1)&lt;='Komisyon Tarifeleri'!L117),CEILING(MAX('Komisyon Tarifeleri'!M117,($D117+$F117)/(1-P117/100-W117)),1),IF(AND((1-L117/100-W117)&gt;0,CEILING(MAX('Komisyon Tarifeleri'!K117,($D117+$F117)/(1-L117/100-W117)),1)&lt;='Komisyon Tarifeleri'!J117),CEILING(MAX('Komisyon Tarifeleri'!K117,($D117+$F117)/(1-L117/100-W117)),1),IF((1-H117/100-W117)&gt;0,CEILING(MAX('Komisyon Tarifeleri'!I117,($D117+$F117)/(1-H117/100-W117)),1),"İMKÂNSIZ")))))</f>
        <v/>
      </c>
      <c r="AE117" s="10">
        <f>IF(OR($D117="",$B117=""),"",IF(AND((1-T117/100-X117)&gt;0,CEILING(($D117+$F117)/(1-T117/100-X117),1)&lt;='Komisyon Tarifeleri'!N117),CEILING(($D117+$F117)/(1-T117/100-X117),1),IF(AND((1-P117/100-X117)&gt;0,CEILING(MAX('Komisyon Tarifeleri'!M117,($D117+$F117)/(1-P117/100-X117)),1)&lt;='Komisyon Tarifeleri'!L117),CEILING(MAX('Komisyon Tarifeleri'!M117,($D117+$F117)/(1-P117/100-X117)),1),IF(AND((1-L117/100-X117)&gt;0,CEILING(MAX('Komisyon Tarifeleri'!K117,($D117+$F117)/(1-L117/100-X117)),1)&lt;='Komisyon Tarifeleri'!J117),CEILING(MAX('Komisyon Tarifeleri'!K117,($D117+$F117)/(1-L117/100-X117)),1),IF((1-H117/100-X117)&gt;0,CEILING(MAX('Komisyon Tarifeleri'!I117,($D117+$F117)/(1-H117/100-X117)),1),"İMKÂNSIZ")))))</f>
        <v/>
      </c>
      <c r="AF117" s="16">
        <f>IF($D117="","",IF(AND(Y117&lt;&gt;"",AC117&lt;&gt;"",AC117&gt;=W117),Z117,IF(Y117&lt;&gt;"",AD117,AE117)))</f>
        <v/>
      </c>
      <c r="AG117" s="16">
        <f>IF(OR(AF117="",AF117="İMKÂNSIZ"),"",AF117*(1-IF(AF117&gt;='Komisyon Tarifeleri'!I117,IF($AM$1=2,'Komisyon Tarifeleri'!U117,'Komisyon Tarifeleri'!P117),IF(AF117&gt;='Komisyon Tarifeleri'!K117,IF($AM$1=2,'Komisyon Tarifeleri'!V117,'Komisyon Tarifeleri'!Q117),IF(AF117&gt;='Komisyon Tarifeleri'!M117,IF($AM$1=2,'Komisyon Tarifeleri'!W117,'Komisyon Tarifeleri'!R117),IF($AM$1=2,'Komisyon Tarifeleri'!X117,'Komisyon Tarifeleri'!S117))))/100)-$D117-IF(AF117&lt;=199.99,Kargo!$E$2,IF(AF117&lt;=399.99,Kargo!$E$3,$F117)))</f>
        <v/>
      </c>
      <c r="AH117" s="17">
        <f>IF(AG117="","",AG117/AF117)</f>
        <v/>
      </c>
      <c r="AI117" s="18">
        <f>IF($D117="","",IF(Y117="","BUYBOX YOK → hedef kârla min fiyat",IF(AC117&gt;=W117,"✓ BUYBOX ALTINA GİR","BUYBOX ALTI KÂRSIZ → min kârlı fiyat")))</f>
        <v/>
      </c>
      <c r="AJ117" s="10">
        <f>IF($B117="","",IFERROR(VLOOKUP($B117,Maliyetler!$A:$G,6,FALSE),""))</f>
        <v/>
      </c>
      <c r="AK117">
        <f>IF($B117="","",IFERROR(VLOOKUP($B117,Maliyetler!$A:$G,7,FALSE),""))</f>
        <v/>
      </c>
      <c r="AO117" s="21">
        <f>IF($B117="","",IFERROR(VLOOKUP($B117&amp;"",'Plus Tarifeleri'!$C:$Q,11,FALSE),""))</f>
        <v/>
      </c>
      <c r="AP117" s="22">
        <f>IF(AO117="","",IFERROR(IF($AM$1=2,VLOOKUP($B117&amp;"",'Plus Tarifeleri'!$C:$Q,15,FALSE),VLOOKUP($B117&amp;"",'Plus Tarifeleri'!$C:$Q,13,FALSE)),""))</f>
        <v/>
      </c>
      <c r="AQ117" s="21">
        <f>IF(OR(AO117="",AP117="",$D117=""),"",AO117*(1-AP117/100)-$D117-IF(AO117&lt;=199.99,Kargo!$E$2,IF(AO117&lt;=399.99,Kargo!$E$3,$F117)))</f>
        <v/>
      </c>
      <c r="AR117" s="23">
        <f>IF(AQ117="","",AQ117/AO117)</f>
        <v/>
      </c>
      <c r="AS117" s="24">
        <f>IF(OR(AQ117="",AG117=""),"",AQ117-AG117)</f>
        <v/>
      </c>
    </row>
    <row r="118">
      <c r="A118">
        <f>IF('Komisyon Tarifeleri'!A118="","",'Komisyon Tarifeleri'!A118)</f>
        <v/>
      </c>
      <c r="B118">
        <f>IF('Komisyon Tarifeleri'!B118="","",'Komisyon Tarifeleri'!B118&amp;"")</f>
        <v/>
      </c>
      <c r="C118">
        <f>IF($B118="","",'Komisyon Tarifeleri'!F118)</f>
        <v/>
      </c>
      <c r="D118" s="10">
        <f>IF($B118="","",IFERROR(VLOOKUP($B118,Maliyetler!$A:$E,3,FALSE),""))</f>
        <v/>
      </c>
      <c r="E118">
        <f>IF($B118="","",IFERROR(VLOOKUP($B118,Maliyetler!$A:$E,4,FALSE),1))</f>
        <v/>
      </c>
      <c r="F118" s="10">
        <f>IF($B118="","",IFERROR(VLOOKUP(MIN(20,MAX(1,ROUND($E118,0))),Kargo!$A:$B,2,FALSE),99.46))</f>
        <v/>
      </c>
      <c r="G118" s="10">
        <f>IF($B118="","",IF(IF(N('Komisyon Tarifeleri'!AA118)&gt;='Komisyon Tarifeleri'!I118,'Komisyon Tarifeleri'!AA118,'Komisyon Tarifeleri'!I118)="","",IF(N('Komisyon Tarifeleri'!AA118)&gt;='Komisyon Tarifeleri'!I118,'Komisyon Tarifeleri'!AA118,'Komisyon Tarifeleri'!I118)))</f>
        <v/>
      </c>
      <c r="H118" s="11">
        <f>IF(G118="","",IF($AM$1=2,'Komisyon Tarifeleri'!U118,'Komisyon Tarifeleri'!P118))</f>
        <v/>
      </c>
      <c r="I118" s="10">
        <f>IF(OR(G118="",$D118=""),"",G118*(1-H118/100)-$D118-IF(G118&lt;=199.99,Kargo!$E$2,IF(G118&lt;=399.99,Kargo!$E$3,$F118)))</f>
        <v/>
      </c>
      <c r="J118" s="12">
        <f>IF(I118="","",I118/G118)</f>
        <v/>
      </c>
      <c r="K118" s="10">
        <f>IF($B118="","",IF('Komisyon Tarifeleri'!J118="","",'Komisyon Tarifeleri'!J118))</f>
        <v/>
      </c>
      <c r="L118" s="11">
        <f>IF(K118="","",IF($AM$1=2,'Komisyon Tarifeleri'!V118,'Komisyon Tarifeleri'!Q118))</f>
        <v/>
      </c>
      <c r="M118" s="10">
        <f>IF(OR(K118="",$D118=""),"",K118*(1-L118/100)-$D118-IF(K118&lt;=199.99,Kargo!$E$2,IF(K118&lt;=399.99,Kargo!$E$3,$F118)))</f>
        <v/>
      </c>
      <c r="N118" s="12">
        <f>IF(M118="","",M118/K118)</f>
        <v/>
      </c>
      <c r="O118" s="10">
        <f>IF($B118="","",IF('Komisyon Tarifeleri'!L118="","",'Komisyon Tarifeleri'!L118))</f>
        <v/>
      </c>
      <c r="P118" s="11">
        <f>IF(O118="","",IF($AM$1=2,'Komisyon Tarifeleri'!W118,'Komisyon Tarifeleri'!R118))</f>
        <v/>
      </c>
      <c r="Q118" s="10">
        <f>IF(OR(O118="",$D118=""),"",O118*(1-P118/100)-$D118-IF(O118&lt;=199.99,Kargo!$E$2,IF(O118&lt;=399.99,Kargo!$E$3,$F118)))</f>
        <v/>
      </c>
      <c r="R118" s="12">
        <f>IF(Q118="","",Q118/O118)</f>
        <v/>
      </c>
      <c r="S118" s="10">
        <f>IF($B118="","",IF('Komisyon Tarifeleri'!N118="","",'Komisyon Tarifeleri'!N118))</f>
        <v/>
      </c>
      <c r="T118" s="11">
        <f>IF(S118="","",IF($AM$1=2,'Komisyon Tarifeleri'!X118,'Komisyon Tarifeleri'!S118))</f>
        <v/>
      </c>
      <c r="U118" s="10">
        <f>IF(OR(S118="",$D118=""),"",S118*(1-T118/100)-$D118-IF(S118&lt;=199.99,Kargo!$E$2,IF(S118&lt;=399.99,Kargo!$E$3,$F118)))</f>
        <v/>
      </c>
      <c r="V118" s="12">
        <f>IF(U118="","",U118/S118)</f>
        <v/>
      </c>
      <c r="W118" s="12">
        <f>IF($B118="","",IFERROR(VLOOKUP($C118,Hedefler!$A:$C,2,FALSE),0.04))</f>
        <v/>
      </c>
      <c r="X118" s="12">
        <f>IF($B118="","",IFERROR(VLOOKUP($C118,Hedefler!$A:$C,3,FALSE),0.1))</f>
        <v/>
      </c>
      <c r="Y118" s="13">
        <f>IF($B118="","",IFERROR(VLOOKUP($B118,Maliyetler!$A:$E,5,FALSE),""))</f>
        <v/>
      </c>
      <c r="Z118" s="13">
        <f>IF(OR(Y118="",Y118=0),"",Y118-1)</f>
        <v/>
      </c>
      <c r="AA118" s="14">
        <f>IF(Z118="","",IF(Z118&gt;='Komisyon Tarifeleri'!I118,IF($AM$1=2,'Komisyon Tarifeleri'!U118,'Komisyon Tarifeleri'!P118),IF(Z118&gt;='Komisyon Tarifeleri'!K118,IF($AM$1=2,'Komisyon Tarifeleri'!V118,'Komisyon Tarifeleri'!Q118),IF(Z118&gt;='Komisyon Tarifeleri'!M118,IF($AM$1=2,'Komisyon Tarifeleri'!W118,'Komisyon Tarifeleri'!R118),IF($AM$1=2,'Komisyon Tarifeleri'!X118,'Komisyon Tarifeleri'!S118)))))</f>
        <v/>
      </c>
      <c r="AB118" s="13">
        <f>IF(OR(AA118="",$D118=""),"",Z118*(1-AA118/100)-$D118-IF(Z118&lt;=199.99,Kargo!$E$2,IF(Z118&lt;=399.99,Kargo!$E$3,$F118)))</f>
        <v/>
      </c>
      <c r="AC118" s="15">
        <f>IF(AB118="","",AB118/Z118)</f>
        <v/>
      </c>
      <c r="AD118" s="10">
        <f>IF(OR($D118="",$B118=""),"",IF(AND((1-T118/100-W118)&gt;0,CEILING(($D118+$F118)/(1-T118/100-W118),1)&lt;='Komisyon Tarifeleri'!N118),CEILING(($D118+$F118)/(1-T118/100-W118),1),IF(AND((1-P118/100-W118)&gt;0,CEILING(MAX('Komisyon Tarifeleri'!M118,($D118+$F118)/(1-P118/100-W118)),1)&lt;='Komisyon Tarifeleri'!L118),CEILING(MAX('Komisyon Tarifeleri'!M118,($D118+$F118)/(1-P118/100-W118)),1),IF(AND((1-L118/100-W118)&gt;0,CEILING(MAX('Komisyon Tarifeleri'!K118,($D118+$F118)/(1-L118/100-W118)),1)&lt;='Komisyon Tarifeleri'!J118),CEILING(MAX('Komisyon Tarifeleri'!K118,($D118+$F118)/(1-L118/100-W118)),1),IF((1-H118/100-W118)&gt;0,CEILING(MAX('Komisyon Tarifeleri'!I118,($D118+$F118)/(1-H118/100-W118)),1),"İMKÂNSIZ")))))</f>
        <v/>
      </c>
      <c r="AE118" s="10">
        <f>IF(OR($D118="",$B118=""),"",IF(AND((1-T118/100-X118)&gt;0,CEILING(($D118+$F118)/(1-T118/100-X118),1)&lt;='Komisyon Tarifeleri'!N118),CEILING(($D118+$F118)/(1-T118/100-X118),1),IF(AND((1-P118/100-X118)&gt;0,CEILING(MAX('Komisyon Tarifeleri'!M118,($D118+$F118)/(1-P118/100-X118)),1)&lt;='Komisyon Tarifeleri'!L118),CEILING(MAX('Komisyon Tarifeleri'!M118,($D118+$F118)/(1-P118/100-X118)),1),IF(AND((1-L118/100-X118)&gt;0,CEILING(MAX('Komisyon Tarifeleri'!K118,($D118+$F118)/(1-L118/100-X118)),1)&lt;='Komisyon Tarifeleri'!J118),CEILING(MAX('Komisyon Tarifeleri'!K118,($D118+$F118)/(1-L118/100-X118)),1),IF((1-H118/100-X118)&gt;0,CEILING(MAX('Komisyon Tarifeleri'!I118,($D118+$F118)/(1-H118/100-X118)),1),"İMKÂNSIZ")))))</f>
        <v/>
      </c>
      <c r="AF118" s="16">
        <f>IF($D118="","",IF(AND(Y118&lt;&gt;"",AC118&lt;&gt;"",AC118&gt;=W118),Z118,IF(Y118&lt;&gt;"",AD118,AE118)))</f>
        <v/>
      </c>
      <c r="AG118" s="16">
        <f>IF(OR(AF118="",AF118="İMKÂNSIZ"),"",AF118*(1-IF(AF118&gt;='Komisyon Tarifeleri'!I118,IF($AM$1=2,'Komisyon Tarifeleri'!U118,'Komisyon Tarifeleri'!P118),IF(AF118&gt;='Komisyon Tarifeleri'!K118,IF($AM$1=2,'Komisyon Tarifeleri'!V118,'Komisyon Tarifeleri'!Q118),IF(AF118&gt;='Komisyon Tarifeleri'!M118,IF($AM$1=2,'Komisyon Tarifeleri'!W118,'Komisyon Tarifeleri'!R118),IF($AM$1=2,'Komisyon Tarifeleri'!X118,'Komisyon Tarifeleri'!S118))))/100)-$D118-IF(AF118&lt;=199.99,Kargo!$E$2,IF(AF118&lt;=399.99,Kargo!$E$3,$F118)))</f>
        <v/>
      </c>
      <c r="AH118" s="17">
        <f>IF(AG118="","",AG118/AF118)</f>
        <v/>
      </c>
      <c r="AI118" s="18">
        <f>IF($D118="","",IF(Y118="","BUYBOX YOK → hedef kârla min fiyat",IF(AC118&gt;=W118,"✓ BUYBOX ALTINA GİR","BUYBOX ALTI KÂRSIZ → min kârlı fiyat")))</f>
        <v/>
      </c>
      <c r="AJ118" s="10">
        <f>IF($B118="","",IFERROR(VLOOKUP($B118,Maliyetler!$A:$G,6,FALSE),""))</f>
        <v/>
      </c>
      <c r="AK118">
        <f>IF($B118="","",IFERROR(VLOOKUP($B118,Maliyetler!$A:$G,7,FALSE),""))</f>
        <v/>
      </c>
      <c r="AO118" s="21">
        <f>IF($B118="","",IFERROR(VLOOKUP($B118&amp;"",'Plus Tarifeleri'!$C:$Q,11,FALSE),""))</f>
        <v/>
      </c>
      <c r="AP118" s="22">
        <f>IF(AO118="","",IFERROR(IF($AM$1=2,VLOOKUP($B118&amp;"",'Plus Tarifeleri'!$C:$Q,15,FALSE),VLOOKUP($B118&amp;"",'Plus Tarifeleri'!$C:$Q,13,FALSE)),""))</f>
        <v/>
      </c>
      <c r="AQ118" s="21">
        <f>IF(OR(AO118="",AP118="",$D118=""),"",AO118*(1-AP118/100)-$D118-IF(AO118&lt;=199.99,Kargo!$E$2,IF(AO118&lt;=399.99,Kargo!$E$3,$F118)))</f>
        <v/>
      </c>
      <c r="AR118" s="23">
        <f>IF(AQ118="","",AQ118/AO118)</f>
        <v/>
      </c>
      <c r="AS118" s="24">
        <f>IF(OR(AQ118="",AG118=""),"",AQ118-AG118)</f>
        <v/>
      </c>
    </row>
    <row r="119">
      <c r="A119">
        <f>IF('Komisyon Tarifeleri'!A119="","",'Komisyon Tarifeleri'!A119)</f>
        <v/>
      </c>
      <c r="B119">
        <f>IF('Komisyon Tarifeleri'!B119="","",'Komisyon Tarifeleri'!B119&amp;"")</f>
        <v/>
      </c>
      <c r="C119">
        <f>IF($B119="","",'Komisyon Tarifeleri'!F119)</f>
        <v/>
      </c>
      <c r="D119" s="10">
        <f>IF($B119="","",IFERROR(VLOOKUP($B119,Maliyetler!$A:$E,3,FALSE),""))</f>
        <v/>
      </c>
      <c r="E119">
        <f>IF($B119="","",IFERROR(VLOOKUP($B119,Maliyetler!$A:$E,4,FALSE),1))</f>
        <v/>
      </c>
      <c r="F119" s="10">
        <f>IF($B119="","",IFERROR(VLOOKUP(MIN(20,MAX(1,ROUND($E119,0))),Kargo!$A:$B,2,FALSE),99.46))</f>
        <v/>
      </c>
      <c r="G119" s="10">
        <f>IF($B119="","",IF(IF(N('Komisyon Tarifeleri'!AA119)&gt;='Komisyon Tarifeleri'!I119,'Komisyon Tarifeleri'!AA119,'Komisyon Tarifeleri'!I119)="","",IF(N('Komisyon Tarifeleri'!AA119)&gt;='Komisyon Tarifeleri'!I119,'Komisyon Tarifeleri'!AA119,'Komisyon Tarifeleri'!I119)))</f>
        <v/>
      </c>
      <c r="H119" s="11">
        <f>IF(G119="","",IF($AM$1=2,'Komisyon Tarifeleri'!U119,'Komisyon Tarifeleri'!P119))</f>
        <v/>
      </c>
      <c r="I119" s="10">
        <f>IF(OR(G119="",$D119=""),"",G119*(1-H119/100)-$D119-IF(G119&lt;=199.99,Kargo!$E$2,IF(G119&lt;=399.99,Kargo!$E$3,$F119)))</f>
        <v/>
      </c>
      <c r="J119" s="12">
        <f>IF(I119="","",I119/G119)</f>
        <v/>
      </c>
      <c r="K119" s="10">
        <f>IF($B119="","",IF('Komisyon Tarifeleri'!J119="","",'Komisyon Tarifeleri'!J119))</f>
        <v/>
      </c>
      <c r="L119" s="11">
        <f>IF(K119="","",IF($AM$1=2,'Komisyon Tarifeleri'!V119,'Komisyon Tarifeleri'!Q119))</f>
        <v/>
      </c>
      <c r="M119" s="10">
        <f>IF(OR(K119="",$D119=""),"",K119*(1-L119/100)-$D119-IF(K119&lt;=199.99,Kargo!$E$2,IF(K119&lt;=399.99,Kargo!$E$3,$F119)))</f>
        <v/>
      </c>
      <c r="N119" s="12">
        <f>IF(M119="","",M119/K119)</f>
        <v/>
      </c>
      <c r="O119" s="10">
        <f>IF($B119="","",IF('Komisyon Tarifeleri'!L119="","",'Komisyon Tarifeleri'!L119))</f>
        <v/>
      </c>
      <c r="P119" s="11">
        <f>IF(O119="","",IF($AM$1=2,'Komisyon Tarifeleri'!W119,'Komisyon Tarifeleri'!R119))</f>
        <v/>
      </c>
      <c r="Q119" s="10">
        <f>IF(OR(O119="",$D119=""),"",O119*(1-P119/100)-$D119-IF(O119&lt;=199.99,Kargo!$E$2,IF(O119&lt;=399.99,Kargo!$E$3,$F119)))</f>
        <v/>
      </c>
      <c r="R119" s="12">
        <f>IF(Q119="","",Q119/O119)</f>
        <v/>
      </c>
      <c r="S119" s="10">
        <f>IF($B119="","",IF('Komisyon Tarifeleri'!N119="","",'Komisyon Tarifeleri'!N119))</f>
        <v/>
      </c>
      <c r="T119" s="11">
        <f>IF(S119="","",IF($AM$1=2,'Komisyon Tarifeleri'!X119,'Komisyon Tarifeleri'!S119))</f>
        <v/>
      </c>
      <c r="U119" s="10">
        <f>IF(OR(S119="",$D119=""),"",S119*(1-T119/100)-$D119-IF(S119&lt;=199.99,Kargo!$E$2,IF(S119&lt;=399.99,Kargo!$E$3,$F119)))</f>
        <v/>
      </c>
      <c r="V119" s="12">
        <f>IF(U119="","",U119/S119)</f>
        <v/>
      </c>
      <c r="W119" s="12">
        <f>IF($B119="","",IFERROR(VLOOKUP($C119,Hedefler!$A:$C,2,FALSE),0.04))</f>
        <v/>
      </c>
      <c r="X119" s="12">
        <f>IF($B119="","",IFERROR(VLOOKUP($C119,Hedefler!$A:$C,3,FALSE),0.1))</f>
        <v/>
      </c>
      <c r="Y119" s="13">
        <f>IF($B119="","",IFERROR(VLOOKUP($B119,Maliyetler!$A:$E,5,FALSE),""))</f>
        <v/>
      </c>
      <c r="Z119" s="13">
        <f>IF(OR(Y119="",Y119=0),"",Y119-1)</f>
        <v/>
      </c>
      <c r="AA119" s="14">
        <f>IF(Z119="","",IF(Z119&gt;='Komisyon Tarifeleri'!I119,IF($AM$1=2,'Komisyon Tarifeleri'!U119,'Komisyon Tarifeleri'!P119),IF(Z119&gt;='Komisyon Tarifeleri'!K119,IF($AM$1=2,'Komisyon Tarifeleri'!V119,'Komisyon Tarifeleri'!Q119),IF(Z119&gt;='Komisyon Tarifeleri'!M119,IF($AM$1=2,'Komisyon Tarifeleri'!W119,'Komisyon Tarifeleri'!R119),IF($AM$1=2,'Komisyon Tarifeleri'!X119,'Komisyon Tarifeleri'!S119)))))</f>
        <v/>
      </c>
      <c r="AB119" s="13">
        <f>IF(OR(AA119="",$D119=""),"",Z119*(1-AA119/100)-$D119-IF(Z119&lt;=199.99,Kargo!$E$2,IF(Z119&lt;=399.99,Kargo!$E$3,$F119)))</f>
        <v/>
      </c>
      <c r="AC119" s="15">
        <f>IF(AB119="","",AB119/Z119)</f>
        <v/>
      </c>
      <c r="AD119" s="10">
        <f>IF(OR($D119="",$B119=""),"",IF(AND((1-T119/100-W119)&gt;0,CEILING(($D119+$F119)/(1-T119/100-W119),1)&lt;='Komisyon Tarifeleri'!N119),CEILING(($D119+$F119)/(1-T119/100-W119),1),IF(AND((1-P119/100-W119)&gt;0,CEILING(MAX('Komisyon Tarifeleri'!M119,($D119+$F119)/(1-P119/100-W119)),1)&lt;='Komisyon Tarifeleri'!L119),CEILING(MAX('Komisyon Tarifeleri'!M119,($D119+$F119)/(1-P119/100-W119)),1),IF(AND((1-L119/100-W119)&gt;0,CEILING(MAX('Komisyon Tarifeleri'!K119,($D119+$F119)/(1-L119/100-W119)),1)&lt;='Komisyon Tarifeleri'!J119),CEILING(MAX('Komisyon Tarifeleri'!K119,($D119+$F119)/(1-L119/100-W119)),1),IF((1-H119/100-W119)&gt;0,CEILING(MAX('Komisyon Tarifeleri'!I119,($D119+$F119)/(1-H119/100-W119)),1),"İMKÂNSIZ")))))</f>
        <v/>
      </c>
      <c r="AE119" s="10">
        <f>IF(OR($D119="",$B119=""),"",IF(AND((1-T119/100-X119)&gt;0,CEILING(($D119+$F119)/(1-T119/100-X119),1)&lt;='Komisyon Tarifeleri'!N119),CEILING(($D119+$F119)/(1-T119/100-X119),1),IF(AND((1-P119/100-X119)&gt;0,CEILING(MAX('Komisyon Tarifeleri'!M119,($D119+$F119)/(1-P119/100-X119)),1)&lt;='Komisyon Tarifeleri'!L119),CEILING(MAX('Komisyon Tarifeleri'!M119,($D119+$F119)/(1-P119/100-X119)),1),IF(AND((1-L119/100-X119)&gt;0,CEILING(MAX('Komisyon Tarifeleri'!K119,($D119+$F119)/(1-L119/100-X119)),1)&lt;='Komisyon Tarifeleri'!J119),CEILING(MAX('Komisyon Tarifeleri'!K119,($D119+$F119)/(1-L119/100-X119)),1),IF((1-H119/100-X119)&gt;0,CEILING(MAX('Komisyon Tarifeleri'!I119,($D119+$F119)/(1-H119/100-X119)),1),"İMKÂNSIZ")))))</f>
        <v/>
      </c>
      <c r="AF119" s="16">
        <f>IF($D119="","",IF(AND(Y119&lt;&gt;"",AC119&lt;&gt;"",AC119&gt;=W119),Z119,IF(Y119&lt;&gt;"",AD119,AE119)))</f>
        <v/>
      </c>
      <c r="AG119" s="16">
        <f>IF(OR(AF119="",AF119="İMKÂNSIZ"),"",AF119*(1-IF(AF119&gt;='Komisyon Tarifeleri'!I119,IF($AM$1=2,'Komisyon Tarifeleri'!U119,'Komisyon Tarifeleri'!P119),IF(AF119&gt;='Komisyon Tarifeleri'!K119,IF($AM$1=2,'Komisyon Tarifeleri'!V119,'Komisyon Tarifeleri'!Q119),IF(AF119&gt;='Komisyon Tarifeleri'!M119,IF($AM$1=2,'Komisyon Tarifeleri'!W119,'Komisyon Tarifeleri'!R119),IF($AM$1=2,'Komisyon Tarifeleri'!X119,'Komisyon Tarifeleri'!S119))))/100)-$D119-IF(AF119&lt;=199.99,Kargo!$E$2,IF(AF119&lt;=399.99,Kargo!$E$3,$F119)))</f>
        <v/>
      </c>
      <c r="AH119" s="17">
        <f>IF(AG119="","",AG119/AF119)</f>
        <v/>
      </c>
      <c r="AI119" s="18">
        <f>IF($D119="","",IF(Y119="","BUYBOX YOK → hedef kârla min fiyat",IF(AC119&gt;=W119,"✓ BUYBOX ALTINA GİR","BUYBOX ALTI KÂRSIZ → min kârlı fiyat")))</f>
        <v/>
      </c>
      <c r="AJ119" s="10">
        <f>IF($B119="","",IFERROR(VLOOKUP($B119,Maliyetler!$A:$G,6,FALSE),""))</f>
        <v/>
      </c>
      <c r="AK119">
        <f>IF($B119="","",IFERROR(VLOOKUP($B119,Maliyetler!$A:$G,7,FALSE),""))</f>
        <v/>
      </c>
      <c r="AO119" s="21">
        <f>IF($B119="","",IFERROR(VLOOKUP($B119&amp;"",'Plus Tarifeleri'!$C:$Q,11,FALSE),""))</f>
        <v/>
      </c>
      <c r="AP119" s="22">
        <f>IF(AO119="","",IFERROR(IF($AM$1=2,VLOOKUP($B119&amp;"",'Plus Tarifeleri'!$C:$Q,15,FALSE),VLOOKUP($B119&amp;"",'Plus Tarifeleri'!$C:$Q,13,FALSE)),""))</f>
        <v/>
      </c>
      <c r="AQ119" s="21">
        <f>IF(OR(AO119="",AP119="",$D119=""),"",AO119*(1-AP119/100)-$D119-IF(AO119&lt;=199.99,Kargo!$E$2,IF(AO119&lt;=399.99,Kargo!$E$3,$F119)))</f>
        <v/>
      </c>
      <c r="AR119" s="23">
        <f>IF(AQ119="","",AQ119/AO119)</f>
        <v/>
      </c>
      <c r="AS119" s="24">
        <f>IF(OR(AQ119="",AG119=""),"",AQ119-AG119)</f>
        <v/>
      </c>
    </row>
    <row r="120">
      <c r="A120">
        <f>IF('Komisyon Tarifeleri'!A120="","",'Komisyon Tarifeleri'!A120)</f>
        <v/>
      </c>
      <c r="B120">
        <f>IF('Komisyon Tarifeleri'!B120="","",'Komisyon Tarifeleri'!B120&amp;"")</f>
        <v/>
      </c>
      <c r="C120">
        <f>IF($B120="","",'Komisyon Tarifeleri'!F120)</f>
        <v/>
      </c>
      <c r="D120" s="10">
        <f>IF($B120="","",IFERROR(VLOOKUP($B120,Maliyetler!$A:$E,3,FALSE),""))</f>
        <v/>
      </c>
      <c r="E120">
        <f>IF($B120="","",IFERROR(VLOOKUP($B120,Maliyetler!$A:$E,4,FALSE),1))</f>
        <v/>
      </c>
      <c r="F120" s="10">
        <f>IF($B120="","",IFERROR(VLOOKUP(MIN(20,MAX(1,ROUND($E120,0))),Kargo!$A:$B,2,FALSE),99.46))</f>
        <v/>
      </c>
      <c r="G120" s="10">
        <f>IF($B120="","",IF(IF(N('Komisyon Tarifeleri'!AA120)&gt;='Komisyon Tarifeleri'!I120,'Komisyon Tarifeleri'!AA120,'Komisyon Tarifeleri'!I120)="","",IF(N('Komisyon Tarifeleri'!AA120)&gt;='Komisyon Tarifeleri'!I120,'Komisyon Tarifeleri'!AA120,'Komisyon Tarifeleri'!I120)))</f>
        <v/>
      </c>
      <c r="H120" s="11">
        <f>IF(G120="","",IF($AM$1=2,'Komisyon Tarifeleri'!U120,'Komisyon Tarifeleri'!P120))</f>
        <v/>
      </c>
      <c r="I120" s="10">
        <f>IF(OR(G120="",$D120=""),"",G120*(1-H120/100)-$D120-IF(G120&lt;=199.99,Kargo!$E$2,IF(G120&lt;=399.99,Kargo!$E$3,$F120)))</f>
        <v/>
      </c>
      <c r="J120" s="12">
        <f>IF(I120="","",I120/G120)</f>
        <v/>
      </c>
      <c r="K120" s="10">
        <f>IF($B120="","",IF('Komisyon Tarifeleri'!J120="","",'Komisyon Tarifeleri'!J120))</f>
        <v/>
      </c>
      <c r="L120" s="11">
        <f>IF(K120="","",IF($AM$1=2,'Komisyon Tarifeleri'!V120,'Komisyon Tarifeleri'!Q120))</f>
        <v/>
      </c>
      <c r="M120" s="10">
        <f>IF(OR(K120="",$D120=""),"",K120*(1-L120/100)-$D120-IF(K120&lt;=199.99,Kargo!$E$2,IF(K120&lt;=399.99,Kargo!$E$3,$F120)))</f>
        <v/>
      </c>
      <c r="N120" s="12">
        <f>IF(M120="","",M120/K120)</f>
        <v/>
      </c>
      <c r="O120" s="10">
        <f>IF($B120="","",IF('Komisyon Tarifeleri'!L120="","",'Komisyon Tarifeleri'!L120))</f>
        <v/>
      </c>
      <c r="P120" s="11">
        <f>IF(O120="","",IF($AM$1=2,'Komisyon Tarifeleri'!W120,'Komisyon Tarifeleri'!R120))</f>
        <v/>
      </c>
      <c r="Q120" s="10">
        <f>IF(OR(O120="",$D120=""),"",O120*(1-P120/100)-$D120-IF(O120&lt;=199.99,Kargo!$E$2,IF(O120&lt;=399.99,Kargo!$E$3,$F120)))</f>
        <v/>
      </c>
      <c r="R120" s="12">
        <f>IF(Q120="","",Q120/O120)</f>
        <v/>
      </c>
      <c r="S120" s="10">
        <f>IF($B120="","",IF('Komisyon Tarifeleri'!N120="","",'Komisyon Tarifeleri'!N120))</f>
        <v/>
      </c>
      <c r="T120" s="11">
        <f>IF(S120="","",IF($AM$1=2,'Komisyon Tarifeleri'!X120,'Komisyon Tarifeleri'!S120))</f>
        <v/>
      </c>
      <c r="U120" s="10">
        <f>IF(OR(S120="",$D120=""),"",S120*(1-T120/100)-$D120-IF(S120&lt;=199.99,Kargo!$E$2,IF(S120&lt;=399.99,Kargo!$E$3,$F120)))</f>
        <v/>
      </c>
      <c r="V120" s="12">
        <f>IF(U120="","",U120/S120)</f>
        <v/>
      </c>
      <c r="W120" s="12">
        <f>IF($B120="","",IFERROR(VLOOKUP($C120,Hedefler!$A:$C,2,FALSE),0.04))</f>
        <v/>
      </c>
      <c r="X120" s="12">
        <f>IF($B120="","",IFERROR(VLOOKUP($C120,Hedefler!$A:$C,3,FALSE),0.1))</f>
        <v/>
      </c>
      <c r="Y120" s="13">
        <f>IF($B120="","",IFERROR(VLOOKUP($B120,Maliyetler!$A:$E,5,FALSE),""))</f>
        <v/>
      </c>
      <c r="Z120" s="13">
        <f>IF(OR(Y120="",Y120=0),"",Y120-1)</f>
        <v/>
      </c>
      <c r="AA120" s="14">
        <f>IF(Z120="","",IF(Z120&gt;='Komisyon Tarifeleri'!I120,IF($AM$1=2,'Komisyon Tarifeleri'!U120,'Komisyon Tarifeleri'!P120),IF(Z120&gt;='Komisyon Tarifeleri'!K120,IF($AM$1=2,'Komisyon Tarifeleri'!V120,'Komisyon Tarifeleri'!Q120),IF(Z120&gt;='Komisyon Tarifeleri'!M120,IF($AM$1=2,'Komisyon Tarifeleri'!W120,'Komisyon Tarifeleri'!R120),IF($AM$1=2,'Komisyon Tarifeleri'!X120,'Komisyon Tarifeleri'!S120)))))</f>
        <v/>
      </c>
      <c r="AB120" s="13">
        <f>IF(OR(AA120="",$D120=""),"",Z120*(1-AA120/100)-$D120-IF(Z120&lt;=199.99,Kargo!$E$2,IF(Z120&lt;=399.99,Kargo!$E$3,$F120)))</f>
        <v/>
      </c>
      <c r="AC120" s="15">
        <f>IF(AB120="","",AB120/Z120)</f>
        <v/>
      </c>
      <c r="AD120" s="10">
        <f>IF(OR($D120="",$B120=""),"",IF(AND((1-T120/100-W120)&gt;0,CEILING(($D120+$F120)/(1-T120/100-W120),1)&lt;='Komisyon Tarifeleri'!N120),CEILING(($D120+$F120)/(1-T120/100-W120),1),IF(AND((1-P120/100-W120)&gt;0,CEILING(MAX('Komisyon Tarifeleri'!M120,($D120+$F120)/(1-P120/100-W120)),1)&lt;='Komisyon Tarifeleri'!L120),CEILING(MAX('Komisyon Tarifeleri'!M120,($D120+$F120)/(1-P120/100-W120)),1),IF(AND((1-L120/100-W120)&gt;0,CEILING(MAX('Komisyon Tarifeleri'!K120,($D120+$F120)/(1-L120/100-W120)),1)&lt;='Komisyon Tarifeleri'!J120),CEILING(MAX('Komisyon Tarifeleri'!K120,($D120+$F120)/(1-L120/100-W120)),1),IF((1-H120/100-W120)&gt;0,CEILING(MAX('Komisyon Tarifeleri'!I120,($D120+$F120)/(1-H120/100-W120)),1),"İMKÂNSIZ")))))</f>
        <v/>
      </c>
      <c r="AE120" s="10">
        <f>IF(OR($D120="",$B120=""),"",IF(AND((1-T120/100-X120)&gt;0,CEILING(($D120+$F120)/(1-T120/100-X120),1)&lt;='Komisyon Tarifeleri'!N120),CEILING(($D120+$F120)/(1-T120/100-X120),1),IF(AND((1-P120/100-X120)&gt;0,CEILING(MAX('Komisyon Tarifeleri'!M120,($D120+$F120)/(1-P120/100-X120)),1)&lt;='Komisyon Tarifeleri'!L120),CEILING(MAX('Komisyon Tarifeleri'!M120,($D120+$F120)/(1-P120/100-X120)),1),IF(AND((1-L120/100-X120)&gt;0,CEILING(MAX('Komisyon Tarifeleri'!K120,($D120+$F120)/(1-L120/100-X120)),1)&lt;='Komisyon Tarifeleri'!J120),CEILING(MAX('Komisyon Tarifeleri'!K120,($D120+$F120)/(1-L120/100-X120)),1),IF((1-H120/100-X120)&gt;0,CEILING(MAX('Komisyon Tarifeleri'!I120,($D120+$F120)/(1-H120/100-X120)),1),"İMKÂNSIZ")))))</f>
        <v/>
      </c>
      <c r="AF120" s="16">
        <f>IF($D120="","",IF(AND(Y120&lt;&gt;"",AC120&lt;&gt;"",AC120&gt;=W120),Z120,IF(Y120&lt;&gt;"",AD120,AE120)))</f>
        <v/>
      </c>
      <c r="AG120" s="16">
        <f>IF(OR(AF120="",AF120="İMKÂNSIZ"),"",AF120*(1-IF(AF120&gt;='Komisyon Tarifeleri'!I120,IF($AM$1=2,'Komisyon Tarifeleri'!U120,'Komisyon Tarifeleri'!P120),IF(AF120&gt;='Komisyon Tarifeleri'!K120,IF($AM$1=2,'Komisyon Tarifeleri'!V120,'Komisyon Tarifeleri'!Q120),IF(AF120&gt;='Komisyon Tarifeleri'!M120,IF($AM$1=2,'Komisyon Tarifeleri'!W120,'Komisyon Tarifeleri'!R120),IF($AM$1=2,'Komisyon Tarifeleri'!X120,'Komisyon Tarifeleri'!S120))))/100)-$D120-IF(AF120&lt;=199.99,Kargo!$E$2,IF(AF120&lt;=399.99,Kargo!$E$3,$F120)))</f>
        <v/>
      </c>
      <c r="AH120" s="17">
        <f>IF(AG120="","",AG120/AF120)</f>
        <v/>
      </c>
      <c r="AI120" s="18">
        <f>IF($D120="","",IF(Y120="","BUYBOX YOK → hedef kârla min fiyat",IF(AC120&gt;=W120,"✓ BUYBOX ALTINA GİR","BUYBOX ALTI KÂRSIZ → min kârlı fiyat")))</f>
        <v/>
      </c>
      <c r="AJ120" s="10">
        <f>IF($B120="","",IFERROR(VLOOKUP($B120,Maliyetler!$A:$G,6,FALSE),""))</f>
        <v/>
      </c>
      <c r="AK120">
        <f>IF($B120="","",IFERROR(VLOOKUP($B120,Maliyetler!$A:$G,7,FALSE),""))</f>
        <v/>
      </c>
      <c r="AO120" s="21">
        <f>IF($B120="","",IFERROR(VLOOKUP($B120&amp;"",'Plus Tarifeleri'!$C:$Q,11,FALSE),""))</f>
        <v/>
      </c>
      <c r="AP120" s="22">
        <f>IF(AO120="","",IFERROR(IF($AM$1=2,VLOOKUP($B120&amp;"",'Plus Tarifeleri'!$C:$Q,15,FALSE),VLOOKUP($B120&amp;"",'Plus Tarifeleri'!$C:$Q,13,FALSE)),""))</f>
        <v/>
      </c>
      <c r="AQ120" s="21">
        <f>IF(OR(AO120="",AP120="",$D120=""),"",AO120*(1-AP120/100)-$D120-IF(AO120&lt;=199.99,Kargo!$E$2,IF(AO120&lt;=399.99,Kargo!$E$3,$F120)))</f>
        <v/>
      </c>
      <c r="AR120" s="23">
        <f>IF(AQ120="","",AQ120/AO120)</f>
        <v/>
      </c>
      <c r="AS120" s="24">
        <f>IF(OR(AQ120="",AG120=""),"",AQ120-AG120)</f>
        <v/>
      </c>
    </row>
    <row r="121">
      <c r="A121">
        <f>IF('Komisyon Tarifeleri'!A121="","",'Komisyon Tarifeleri'!A121)</f>
        <v/>
      </c>
      <c r="B121">
        <f>IF('Komisyon Tarifeleri'!B121="","",'Komisyon Tarifeleri'!B121&amp;"")</f>
        <v/>
      </c>
      <c r="C121">
        <f>IF($B121="","",'Komisyon Tarifeleri'!F121)</f>
        <v/>
      </c>
      <c r="D121" s="10">
        <f>IF($B121="","",IFERROR(VLOOKUP($B121,Maliyetler!$A:$E,3,FALSE),""))</f>
        <v/>
      </c>
      <c r="E121">
        <f>IF($B121="","",IFERROR(VLOOKUP($B121,Maliyetler!$A:$E,4,FALSE),1))</f>
        <v/>
      </c>
      <c r="F121" s="10">
        <f>IF($B121="","",IFERROR(VLOOKUP(MIN(20,MAX(1,ROUND($E121,0))),Kargo!$A:$B,2,FALSE),99.46))</f>
        <v/>
      </c>
      <c r="G121" s="10">
        <f>IF($B121="","",IF(IF(N('Komisyon Tarifeleri'!AA121)&gt;='Komisyon Tarifeleri'!I121,'Komisyon Tarifeleri'!AA121,'Komisyon Tarifeleri'!I121)="","",IF(N('Komisyon Tarifeleri'!AA121)&gt;='Komisyon Tarifeleri'!I121,'Komisyon Tarifeleri'!AA121,'Komisyon Tarifeleri'!I121)))</f>
        <v/>
      </c>
      <c r="H121" s="11">
        <f>IF(G121="","",IF($AM$1=2,'Komisyon Tarifeleri'!U121,'Komisyon Tarifeleri'!P121))</f>
        <v/>
      </c>
      <c r="I121" s="10">
        <f>IF(OR(G121="",$D121=""),"",G121*(1-H121/100)-$D121-IF(G121&lt;=199.99,Kargo!$E$2,IF(G121&lt;=399.99,Kargo!$E$3,$F121)))</f>
        <v/>
      </c>
      <c r="J121" s="12">
        <f>IF(I121="","",I121/G121)</f>
        <v/>
      </c>
      <c r="K121" s="10">
        <f>IF($B121="","",IF('Komisyon Tarifeleri'!J121="","",'Komisyon Tarifeleri'!J121))</f>
        <v/>
      </c>
      <c r="L121" s="11">
        <f>IF(K121="","",IF($AM$1=2,'Komisyon Tarifeleri'!V121,'Komisyon Tarifeleri'!Q121))</f>
        <v/>
      </c>
      <c r="M121" s="10">
        <f>IF(OR(K121="",$D121=""),"",K121*(1-L121/100)-$D121-IF(K121&lt;=199.99,Kargo!$E$2,IF(K121&lt;=399.99,Kargo!$E$3,$F121)))</f>
        <v/>
      </c>
      <c r="N121" s="12">
        <f>IF(M121="","",M121/K121)</f>
        <v/>
      </c>
      <c r="O121" s="10">
        <f>IF($B121="","",IF('Komisyon Tarifeleri'!L121="","",'Komisyon Tarifeleri'!L121))</f>
        <v/>
      </c>
      <c r="P121" s="11">
        <f>IF(O121="","",IF($AM$1=2,'Komisyon Tarifeleri'!W121,'Komisyon Tarifeleri'!R121))</f>
        <v/>
      </c>
      <c r="Q121" s="10">
        <f>IF(OR(O121="",$D121=""),"",O121*(1-P121/100)-$D121-IF(O121&lt;=199.99,Kargo!$E$2,IF(O121&lt;=399.99,Kargo!$E$3,$F121)))</f>
        <v/>
      </c>
      <c r="R121" s="12">
        <f>IF(Q121="","",Q121/O121)</f>
        <v/>
      </c>
      <c r="S121" s="10">
        <f>IF($B121="","",IF('Komisyon Tarifeleri'!N121="","",'Komisyon Tarifeleri'!N121))</f>
        <v/>
      </c>
      <c r="T121" s="11">
        <f>IF(S121="","",IF($AM$1=2,'Komisyon Tarifeleri'!X121,'Komisyon Tarifeleri'!S121))</f>
        <v/>
      </c>
      <c r="U121" s="10">
        <f>IF(OR(S121="",$D121=""),"",S121*(1-T121/100)-$D121-IF(S121&lt;=199.99,Kargo!$E$2,IF(S121&lt;=399.99,Kargo!$E$3,$F121)))</f>
        <v/>
      </c>
      <c r="V121" s="12">
        <f>IF(U121="","",U121/S121)</f>
        <v/>
      </c>
      <c r="W121" s="12">
        <f>IF($B121="","",IFERROR(VLOOKUP($C121,Hedefler!$A:$C,2,FALSE),0.04))</f>
        <v/>
      </c>
      <c r="X121" s="12">
        <f>IF($B121="","",IFERROR(VLOOKUP($C121,Hedefler!$A:$C,3,FALSE),0.1))</f>
        <v/>
      </c>
      <c r="Y121" s="13">
        <f>IF($B121="","",IFERROR(VLOOKUP($B121,Maliyetler!$A:$E,5,FALSE),""))</f>
        <v/>
      </c>
      <c r="Z121" s="13">
        <f>IF(OR(Y121="",Y121=0),"",Y121-1)</f>
        <v/>
      </c>
      <c r="AA121" s="14">
        <f>IF(Z121="","",IF(Z121&gt;='Komisyon Tarifeleri'!I121,IF($AM$1=2,'Komisyon Tarifeleri'!U121,'Komisyon Tarifeleri'!P121),IF(Z121&gt;='Komisyon Tarifeleri'!K121,IF($AM$1=2,'Komisyon Tarifeleri'!V121,'Komisyon Tarifeleri'!Q121),IF(Z121&gt;='Komisyon Tarifeleri'!M121,IF($AM$1=2,'Komisyon Tarifeleri'!W121,'Komisyon Tarifeleri'!R121),IF($AM$1=2,'Komisyon Tarifeleri'!X121,'Komisyon Tarifeleri'!S121)))))</f>
        <v/>
      </c>
      <c r="AB121" s="13">
        <f>IF(OR(AA121="",$D121=""),"",Z121*(1-AA121/100)-$D121-IF(Z121&lt;=199.99,Kargo!$E$2,IF(Z121&lt;=399.99,Kargo!$E$3,$F121)))</f>
        <v/>
      </c>
      <c r="AC121" s="15">
        <f>IF(AB121="","",AB121/Z121)</f>
        <v/>
      </c>
      <c r="AD121" s="10">
        <f>IF(OR($D121="",$B121=""),"",IF(AND((1-T121/100-W121)&gt;0,CEILING(($D121+$F121)/(1-T121/100-W121),1)&lt;='Komisyon Tarifeleri'!N121),CEILING(($D121+$F121)/(1-T121/100-W121),1),IF(AND((1-P121/100-W121)&gt;0,CEILING(MAX('Komisyon Tarifeleri'!M121,($D121+$F121)/(1-P121/100-W121)),1)&lt;='Komisyon Tarifeleri'!L121),CEILING(MAX('Komisyon Tarifeleri'!M121,($D121+$F121)/(1-P121/100-W121)),1),IF(AND((1-L121/100-W121)&gt;0,CEILING(MAX('Komisyon Tarifeleri'!K121,($D121+$F121)/(1-L121/100-W121)),1)&lt;='Komisyon Tarifeleri'!J121),CEILING(MAX('Komisyon Tarifeleri'!K121,($D121+$F121)/(1-L121/100-W121)),1),IF((1-H121/100-W121)&gt;0,CEILING(MAX('Komisyon Tarifeleri'!I121,($D121+$F121)/(1-H121/100-W121)),1),"İMKÂNSIZ")))))</f>
        <v/>
      </c>
      <c r="AE121" s="10">
        <f>IF(OR($D121="",$B121=""),"",IF(AND((1-T121/100-X121)&gt;0,CEILING(($D121+$F121)/(1-T121/100-X121),1)&lt;='Komisyon Tarifeleri'!N121),CEILING(($D121+$F121)/(1-T121/100-X121),1),IF(AND((1-P121/100-X121)&gt;0,CEILING(MAX('Komisyon Tarifeleri'!M121,($D121+$F121)/(1-P121/100-X121)),1)&lt;='Komisyon Tarifeleri'!L121),CEILING(MAX('Komisyon Tarifeleri'!M121,($D121+$F121)/(1-P121/100-X121)),1),IF(AND((1-L121/100-X121)&gt;0,CEILING(MAX('Komisyon Tarifeleri'!K121,($D121+$F121)/(1-L121/100-X121)),1)&lt;='Komisyon Tarifeleri'!J121),CEILING(MAX('Komisyon Tarifeleri'!K121,($D121+$F121)/(1-L121/100-X121)),1),IF((1-H121/100-X121)&gt;0,CEILING(MAX('Komisyon Tarifeleri'!I121,($D121+$F121)/(1-H121/100-X121)),1),"İMKÂNSIZ")))))</f>
        <v/>
      </c>
      <c r="AF121" s="16">
        <f>IF($D121="","",IF(AND(Y121&lt;&gt;"",AC121&lt;&gt;"",AC121&gt;=W121),Z121,IF(Y121&lt;&gt;"",AD121,AE121)))</f>
        <v/>
      </c>
      <c r="AG121" s="16">
        <f>IF(OR(AF121="",AF121="İMKÂNSIZ"),"",AF121*(1-IF(AF121&gt;='Komisyon Tarifeleri'!I121,IF($AM$1=2,'Komisyon Tarifeleri'!U121,'Komisyon Tarifeleri'!P121),IF(AF121&gt;='Komisyon Tarifeleri'!K121,IF($AM$1=2,'Komisyon Tarifeleri'!V121,'Komisyon Tarifeleri'!Q121),IF(AF121&gt;='Komisyon Tarifeleri'!M121,IF($AM$1=2,'Komisyon Tarifeleri'!W121,'Komisyon Tarifeleri'!R121),IF($AM$1=2,'Komisyon Tarifeleri'!X121,'Komisyon Tarifeleri'!S121))))/100)-$D121-IF(AF121&lt;=199.99,Kargo!$E$2,IF(AF121&lt;=399.99,Kargo!$E$3,$F121)))</f>
        <v/>
      </c>
      <c r="AH121" s="17">
        <f>IF(AG121="","",AG121/AF121)</f>
        <v/>
      </c>
      <c r="AI121" s="18">
        <f>IF($D121="","",IF(Y121="","BUYBOX YOK → hedef kârla min fiyat",IF(AC121&gt;=W121,"✓ BUYBOX ALTINA GİR","BUYBOX ALTI KÂRSIZ → min kârlı fiyat")))</f>
        <v/>
      </c>
      <c r="AJ121" s="10">
        <f>IF($B121="","",IFERROR(VLOOKUP($B121,Maliyetler!$A:$G,6,FALSE),""))</f>
        <v/>
      </c>
      <c r="AK121">
        <f>IF($B121="","",IFERROR(VLOOKUP($B121,Maliyetler!$A:$G,7,FALSE),""))</f>
        <v/>
      </c>
      <c r="AO121" s="21">
        <f>IF($B121="","",IFERROR(VLOOKUP($B121&amp;"",'Plus Tarifeleri'!$C:$Q,11,FALSE),""))</f>
        <v/>
      </c>
      <c r="AP121" s="22">
        <f>IF(AO121="","",IFERROR(IF($AM$1=2,VLOOKUP($B121&amp;"",'Plus Tarifeleri'!$C:$Q,15,FALSE),VLOOKUP($B121&amp;"",'Plus Tarifeleri'!$C:$Q,13,FALSE)),""))</f>
        <v/>
      </c>
      <c r="AQ121" s="21">
        <f>IF(OR(AO121="",AP121="",$D121=""),"",AO121*(1-AP121/100)-$D121-IF(AO121&lt;=199.99,Kargo!$E$2,IF(AO121&lt;=399.99,Kargo!$E$3,$F121)))</f>
        <v/>
      </c>
      <c r="AR121" s="23">
        <f>IF(AQ121="","",AQ121/AO121)</f>
        <v/>
      </c>
      <c r="AS121" s="24">
        <f>IF(OR(AQ121="",AG121=""),"",AQ121-AG121)</f>
        <v/>
      </c>
    </row>
    <row r="122">
      <c r="A122">
        <f>IF('Komisyon Tarifeleri'!A122="","",'Komisyon Tarifeleri'!A122)</f>
        <v/>
      </c>
      <c r="B122">
        <f>IF('Komisyon Tarifeleri'!B122="","",'Komisyon Tarifeleri'!B122&amp;"")</f>
        <v/>
      </c>
      <c r="C122">
        <f>IF($B122="","",'Komisyon Tarifeleri'!F122)</f>
        <v/>
      </c>
      <c r="D122" s="10">
        <f>IF($B122="","",IFERROR(VLOOKUP($B122,Maliyetler!$A:$E,3,FALSE),""))</f>
        <v/>
      </c>
      <c r="E122">
        <f>IF($B122="","",IFERROR(VLOOKUP($B122,Maliyetler!$A:$E,4,FALSE),1))</f>
        <v/>
      </c>
      <c r="F122" s="10">
        <f>IF($B122="","",IFERROR(VLOOKUP(MIN(20,MAX(1,ROUND($E122,0))),Kargo!$A:$B,2,FALSE),99.46))</f>
        <v/>
      </c>
      <c r="G122" s="10">
        <f>IF($B122="","",IF(IF(N('Komisyon Tarifeleri'!AA122)&gt;='Komisyon Tarifeleri'!I122,'Komisyon Tarifeleri'!AA122,'Komisyon Tarifeleri'!I122)="","",IF(N('Komisyon Tarifeleri'!AA122)&gt;='Komisyon Tarifeleri'!I122,'Komisyon Tarifeleri'!AA122,'Komisyon Tarifeleri'!I122)))</f>
        <v/>
      </c>
      <c r="H122" s="11">
        <f>IF(G122="","",IF($AM$1=2,'Komisyon Tarifeleri'!U122,'Komisyon Tarifeleri'!P122))</f>
        <v/>
      </c>
      <c r="I122" s="10">
        <f>IF(OR(G122="",$D122=""),"",G122*(1-H122/100)-$D122-IF(G122&lt;=199.99,Kargo!$E$2,IF(G122&lt;=399.99,Kargo!$E$3,$F122)))</f>
        <v/>
      </c>
      <c r="J122" s="12">
        <f>IF(I122="","",I122/G122)</f>
        <v/>
      </c>
      <c r="K122" s="10">
        <f>IF($B122="","",IF('Komisyon Tarifeleri'!J122="","",'Komisyon Tarifeleri'!J122))</f>
        <v/>
      </c>
      <c r="L122" s="11">
        <f>IF(K122="","",IF($AM$1=2,'Komisyon Tarifeleri'!V122,'Komisyon Tarifeleri'!Q122))</f>
        <v/>
      </c>
      <c r="M122" s="10">
        <f>IF(OR(K122="",$D122=""),"",K122*(1-L122/100)-$D122-IF(K122&lt;=199.99,Kargo!$E$2,IF(K122&lt;=399.99,Kargo!$E$3,$F122)))</f>
        <v/>
      </c>
      <c r="N122" s="12">
        <f>IF(M122="","",M122/K122)</f>
        <v/>
      </c>
      <c r="O122" s="10">
        <f>IF($B122="","",IF('Komisyon Tarifeleri'!L122="","",'Komisyon Tarifeleri'!L122))</f>
        <v/>
      </c>
      <c r="P122" s="11">
        <f>IF(O122="","",IF($AM$1=2,'Komisyon Tarifeleri'!W122,'Komisyon Tarifeleri'!R122))</f>
        <v/>
      </c>
      <c r="Q122" s="10">
        <f>IF(OR(O122="",$D122=""),"",O122*(1-P122/100)-$D122-IF(O122&lt;=199.99,Kargo!$E$2,IF(O122&lt;=399.99,Kargo!$E$3,$F122)))</f>
        <v/>
      </c>
      <c r="R122" s="12">
        <f>IF(Q122="","",Q122/O122)</f>
        <v/>
      </c>
      <c r="S122" s="10">
        <f>IF($B122="","",IF('Komisyon Tarifeleri'!N122="","",'Komisyon Tarifeleri'!N122))</f>
        <v/>
      </c>
      <c r="T122" s="11">
        <f>IF(S122="","",IF($AM$1=2,'Komisyon Tarifeleri'!X122,'Komisyon Tarifeleri'!S122))</f>
        <v/>
      </c>
      <c r="U122" s="10">
        <f>IF(OR(S122="",$D122=""),"",S122*(1-T122/100)-$D122-IF(S122&lt;=199.99,Kargo!$E$2,IF(S122&lt;=399.99,Kargo!$E$3,$F122)))</f>
        <v/>
      </c>
      <c r="V122" s="12">
        <f>IF(U122="","",U122/S122)</f>
        <v/>
      </c>
      <c r="W122" s="12">
        <f>IF($B122="","",IFERROR(VLOOKUP($C122,Hedefler!$A:$C,2,FALSE),0.04))</f>
        <v/>
      </c>
      <c r="X122" s="12">
        <f>IF($B122="","",IFERROR(VLOOKUP($C122,Hedefler!$A:$C,3,FALSE),0.1))</f>
        <v/>
      </c>
      <c r="Y122" s="13">
        <f>IF($B122="","",IFERROR(VLOOKUP($B122,Maliyetler!$A:$E,5,FALSE),""))</f>
        <v/>
      </c>
      <c r="Z122" s="13">
        <f>IF(OR(Y122="",Y122=0),"",Y122-1)</f>
        <v/>
      </c>
      <c r="AA122" s="14">
        <f>IF(Z122="","",IF(Z122&gt;='Komisyon Tarifeleri'!I122,IF($AM$1=2,'Komisyon Tarifeleri'!U122,'Komisyon Tarifeleri'!P122),IF(Z122&gt;='Komisyon Tarifeleri'!K122,IF($AM$1=2,'Komisyon Tarifeleri'!V122,'Komisyon Tarifeleri'!Q122),IF(Z122&gt;='Komisyon Tarifeleri'!M122,IF($AM$1=2,'Komisyon Tarifeleri'!W122,'Komisyon Tarifeleri'!R122),IF($AM$1=2,'Komisyon Tarifeleri'!X122,'Komisyon Tarifeleri'!S122)))))</f>
        <v/>
      </c>
      <c r="AB122" s="13">
        <f>IF(OR(AA122="",$D122=""),"",Z122*(1-AA122/100)-$D122-IF(Z122&lt;=199.99,Kargo!$E$2,IF(Z122&lt;=399.99,Kargo!$E$3,$F122)))</f>
        <v/>
      </c>
      <c r="AC122" s="15">
        <f>IF(AB122="","",AB122/Z122)</f>
        <v/>
      </c>
      <c r="AD122" s="10">
        <f>IF(OR($D122="",$B122=""),"",IF(AND((1-T122/100-W122)&gt;0,CEILING(($D122+$F122)/(1-T122/100-W122),1)&lt;='Komisyon Tarifeleri'!N122),CEILING(($D122+$F122)/(1-T122/100-W122),1),IF(AND((1-P122/100-W122)&gt;0,CEILING(MAX('Komisyon Tarifeleri'!M122,($D122+$F122)/(1-P122/100-W122)),1)&lt;='Komisyon Tarifeleri'!L122),CEILING(MAX('Komisyon Tarifeleri'!M122,($D122+$F122)/(1-P122/100-W122)),1),IF(AND((1-L122/100-W122)&gt;0,CEILING(MAX('Komisyon Tarifeleri'!K122,($D122+$F122)/(1-L122/100-W122)),1)&lt;='Komisyon Tarifeleri'!J122),CEILING(MAX('Komisyon Tarifeleri'!K122,($D122+$F122)/(1-L122/100-W122)),1),IF((1-H122/100-W122)&gt;0,CEILING(MAX('Komisyon Tarifeleri'!I122,($D122+$F122)/(1-H122/100-W122)),1),"İMKÂNSIZ")))))</f>
        <v/>
      </c>
      <c r="AE122" s="10">
        <f>IF(OR($D122="",$B122=""),"",IF(AND((1-T122/100-X122)&gt;0,CEILING(($D122+$F122)/(1-T122/100-X122),1)&lt;='Komisyon Tarifeleri'!N122),CEILING(($D122+$F122)/(1-T122/100-X122),1),IF(AND((1-P122/100-X122)&gt;0,CEILING(MAX('Komisyon Tarifeleri'!M122,($D122+$F122)/(1-P122/100-X122)),1)&lt;='Komisyon Tarifeleri'!L122),CEILING(MAX('Komisyon Tarifeleri'!M122,($D122+$F122)/(1-P122/100-X122)),1),IF(AND((1-L122/100-X122)&gt;0,CEILING(MAX('Komisyon Tarifeleri'!K122,($D122+$F122)/(1-L122/100-X122)),1)&lt;='Komisyon Tarifeleri'!J122),CEILING(MAX('Komisyon Tarifeleri'!K122,($D122+$F122)/(1-L122/100-X122)),1),IF((1-H122/100-X122)&gt;0,CEILING(MAX('Komisyon Tarifeleri'!I122,($D122+$F122)/(1-H122/100-X122)),1),"İMKÂNSIZ")))))</f>
        <v/>
      </c>
      <c r="AF122" s="16">
        <f>IF($D122="","",IF(AND(Y122&lt;&gt;"",AC122&lt;&gt;"",AC122&gt;=W122),Z122,IF(Y122&lt;&gt;"",AD122,AE122)))</f>
        <v/>
      </c>
      <c r="AG122" s="16">
        <f>IF(OR(AF122="",AF122="İMKÂNSIZ"),"",AF122*(1-IF(AF122&gt;='Komisyon Tarifeleri'!I122,IF($AM$1=2,'Komisyon Tarifeleri'!U122,'Komisyon Tarifeleri'!P122),IF(AF122&gt;='Komisyon Tarifeleri'!K122,IF($AM$1=2,'Komisyon Tarifeleri'!V122,'Komisyon Tarifeleri'!Q122),IF(AF122&gt;='Komisyon Tarifeleri'!M122,IF($AM$1=2,'Komisyon Tarifeleri'!W122,'Komisyon Tarifeleri'!R122),IF($AM$1=2,'Komisyon Tarifeleri'!X122,'Komisyon Tarifeleri'!S122))))/100)-$D122-IF(AF122&lt;=199.99,Kargo!$E$2,IF(AF122&lt;=399.99,Kargo!$E$3,$F122)))</f>
        <v/>
      </c>
      <c r="AH122" s="17">
        <f>IF(AG122="","",AG122/AF122)</f>
        <v/>
      </c>
      <c r="AI122" s="18">
        <f>IF($D122="","",IF(Y122="","BUYBOX YOK → hedef kârla min fiyat",IF(AC122&gt;=W122,"✓ BUYBOX ALTINA GİR","BUYBOX ALTI KÂRSIZ → min kârlı fiyat")))</f>
        <v/>
      </c>
      <c r="AJ122" s="10">
        <f>IF($B122="","",IFERROR(VLOOKUP($B122,Maliyetler!$A:$G,6,FALSE),""))</f>
        <v/>
      </c>
      <c r="AK122">
        <f>IF($B122="","",IFERROR(VLOOKUP($B122,Maliyetler!$A:$G,7,FALSE),""))</f>
        <v/>
      </c>
      <c r="AO122" s="21">
        <f>IF($B122="","",IFERROR(VLOOKUP($B122&amp;"",'Plus Tarifeleri'!$C:$Q,11,FALSE),""))</f>
        <v/>
      </c>
      <c r="AP122" s="22">
        <f>IF(AO122="","",IFERROR(IF($AM$1=2,VLOOKUP($B122&amp;"",'Plus Tarifeleri'!$C:$Q,15,FALSE),VLOOKUP($B122&amp;"",'Plus Tarifeleri'!$C:$Q,13,FALSE)),""))</f>
        <v/>
      </c>
      <c r="AQ122" s="21">
        <f>IF(OR(AO122="",AP122="",$D122=""),"",AO122*(1-AP122/100)-$D122-IF(AO122&lt;=199.99,Kargo!$E$2,IF(AO122&lt;=399.99,Kargo!$E$3,$F122)))</f>
        <v/>
      </c>
      <c r="AR122" s="23">
        <f>IF(AQ122="","",AQ122/AO122)</f>
        <v/>
      </c>
      <c r="AS122" s="24">
        <f>IF(OR(AQ122="",AG122=""),"",AQ122-AG122)</f>
        <v/>
      </c>
    </row>
    <row r="123">
      <c r="A123">
        <f>IF('Komisyon Tarifeleri'!A123="","",'Komisyon Tarifeleri'!A123)</f>
        <v/>
      </c>
      <c r="B123">
        <f>IF('Komisyon Tarifeleri'!B123="","",'Komisyon Tarifeleri'!B123&amp;"")</f>
        <v/>
      </c>
      <c r="C123">
        <f>IF($B123="","",'Komisyon Tarifeleri'!F123)</f>
        <v/>
      </c>
      <c r="D123" s="10">
        <f>IF($B123="","",IFERROR(VLOOKUP($B123,Maliyetler!$A:$E,3,FALSE),""))</f>
        <v/>
      </c>
      <c r="E123">
        <f>IF($B123="","",IFERROR(VLOOKUP($B123,Maliyetler!$A:$E,4,FALSE),1))</f>
        <v/>
      </c>
      <c r="F123" s="10">
        <f>IF($B123="","",IFERROR(VLOOKUP(MIN(20,MAX(1,ROUND($E123,0))),Kargo!$A:$B,2,FALSE),99.46))</f>
        <v/>
      </c>
      <c r="G123" s="10">
        <f>IF($B123="","",IF(IF(N('Komisyon Tarifeleri'!AA123)&gt;='Komisyon Tarifeleri'!I123,'Komisyon Tarifeleri'!AA123,'Komisyon Tarifeleri'!I123)="","",IF(N('Komisyon Tarifeleri'!AA123)&gt;='Komisyon Tarifeleri'!I123,'Komisyon Tarifeleri'!AA123,'Komisyon Tarifeleri'!I123)))</f>
        <v/>
      </c>
      <c r="H123" s="11">
        <f>IF(G123="","",IF($AM$1=2,'Komisyon Tarifeleri'!U123,'Komisyon Tarifeleri'!P123))</f>
        <v/>
      </c>
      <c r="I123" s="10">
        <f>IF(OR(G123="",$D123=""),"",G123*(1-H123/100)-$D123-IF(G123&lt;=199.99,Kargo!$E$2,IF(G123&lt;=399.99,Kargo!$E$3,$F123)))</f>
        <v/>
      </c>
      <c r="J123" s="12">
        <f>IF(I123="","",I123/G123)</f>
        <v/>
      </c>
      <c r="K123" s="10">
        <f>IF($B123="","",IF('Komisyon Tarifeleri'!J123="","",'Komisyon Tarifeleri'!J123))</f>
        <v/>
      </c>
      <c r="L123" s="11">
        <f>IF(K123="","",IF($AM$1=2,'Komisyon Tarifeleri'!V123,'Komisyon Tarifeleri'!Q123))</f>
        <v/>
      </c>
      <c r="M123" s="10">
        <f>IF(OR(K123="",$D123=""),"",K123*(1-L123/100)-$D123-IF(K123&lt;=199.99,Kargo!$E$2,IF(K123&lt;=399.99,Kargo!$E$3,$F123)))</f>
        <v/>
      </c>
      <c r="N123" s="12">
        <f>IF(M123="","",M123/K123)</f>
        <v/>
      </c>
      <c r="O123" s="10">
        <f>IF($B123="","",IF('Komisyon Tarifeleri'!L123="","",'Komisyon Tarifeleri'!L123))</f>
        <v/>
      </c>
      <c r="P123" s="11">
        <f>IF(O123="","",IF($AM$1=2,'Komisyon Tarifeleri'!W123,'Komisyon Tarifeleri'!R123))</f>
        <v/>
      </c>
      <c r="Q123" s="10">
        <f>IF(OR(O123="",$D123=""),"",O123*(1-P123/100)-$D123-IF(O123&lt;=199.99,Kargo!$E$2,IF(O123&lt;=399.99,Kargo!$E$3,$F123)))</f>
        <v/>
      </c>
      <c r="R123" s="12">
        <f>IF(Q123="","",Q123/O123)</f>
        <v/>
      </c>
      <c r="S123" s="10">
        <f>IF($B123="","",IF('Komisyon Tarifeleri'!N123="","",'Komisyon Tarifeleri'!N123))</f>
        <v/>
      </c>
      <c r="T123" s="11">
        <f>IF(S123="","",IF($AM$1=2,'Komisyon Tarifeleri'!X123,'Komisyon Tarifeleri'!S123))</f>
        <v/>
      </c>
      <c r="U123" s="10">
        <f>IF(OR(S123="",$D123=""),"",S123*(1-T123/100)-$D123-IF(S123&lt;=199.99,Kargo!$E$2,IF(S123&lt;=399.99,Kargo!$E$3,$F123)))</f>
        <v/>
      </c>
      <c r="V123" s="12">
        <f>IF(U123="","",U123/S123)</f>
        <v/>
      </c>
      <c r="W123" s="12">
        <f>IF($B123="","",IFERROR(VLOOKUP($C123,Hedefler!$A:$C,2,FALSE),0.04))</f>
        <v/>
      </c>
      <c r="X123" s="12">
        <f>IF($B123="","",IFERROR(VLOOKUP($C123,Hedefler!$A:$C,3,FALSE),0.1))</f>
        <v/>
      </c>
      <c r="Y123" s="13">
        <f>IF($B123="","",IFERROR(VLOOKUP($B123,Maliyetler!$A:$E,5,FALSE),""))</f>
        <v/>
      </c>
      <c r="Z123" s="13">
        <f>IF(OR(Y123="",Y123=0),"",Y123-1)</f>
        <v/>
      </c>
      <c r="AA123" s="14">
        <f>IF(Z123="","",IF(Z123&gt;='Komisyon Tarifeleri'!I123,IF($AM$1=2,'Komisyon Tarifeleri'!U123,'Komisyon Tarifeleri'!P123),IF(Z123&gt;='Komisyon Tarifeleri'!K123,IF($AM$1=2,'Komisyon Tarifeleri'!V123,'Komisyon Tarifeleri'!Q123),IF(Z123&gt;='Komisyon Tarifeleri'!M123,IF($AM$1=2,'Komisyon Tarifeleri'!W123,'Komisyon Tarifeleri'!R123),IF($AM$1=2,'Komisyon Tarifeleri'!X123,'Komisyon Tarifeleri'!S123)))))</f>
        <v/>
      </c>
      <c r="AB123" s="13">
        <f>IF(OR(AA123="",$D123=""),"",Z123*(1-AA123/100)-$D123-IF(Z123&lt;=199.99,Kargo!$E$2,IF(Z123&lt;=399.99,Kargo!$E$3,$F123)))</f>
        <v/>
      </c>
      <c r="AC123" s="15">
        <f>IF(AB123="","",AB123/Z123)</f>
        <v/>
      </c>
      <c r="AD123" s="10">
        <f>IF(OR($D123="",$B123=""),"",IF(AND((1-T123/100-W123)&gt;0,CEILING(($D123+$F123)/(1-T123/100-W123),1)&lt;='Komisyon Tarifeleri'!N123),CEILING(($D123+$F123)/(1-T123/100-W123),1),IF(AND((1-P123/100-W123)&gt;0,CEILING(MAX('Komisyon Tarifeleri'!M123,($D123+$F123)/(1-P123/100-W123)),1)&lt;='Komisyon Tarifeleri'!L123),CEILING(MAX('Komisyon Tarifeleri'!M123,($D123+$F123)/(1-P123/100-W123)),1),IF(AND((1-L123/100-W123)&gt;0,CEILING(MAX('Komisyon Tarifeleri'!K123,($D123+$F123)/(1-L123/100-W123)),1)&lt;='Komisyon Tarifeleri'!J123),CEILING(MAX('Komisyon Tarifeleri'!K123,($D123+$F123)/(1-L123/100-W123)),1),IF((1-H123/100-W123)&gt;0,CEILING(MAX('Komisyon Tarifeleri'!I123,($D123+$F123)/(1-H123/100-W123)),1),"İMKÂNSIZ")))))</f>
        <v/>
      </c>
      <c r="AE123" s="10">
        <f>IF(OR($D123="",$B123=""),"",IF(AND((1-T123/100-X123)&gt;0,CEILING(($D123+$F123)/(1-T123/100-X123),1)&lt;='Komisyon Tarifeleri'!N123),CEILING(($D123+$F123)/(1-T123/100-X123),1),IF(AND((1-P123/100-X123)&gt;0,CEILING(MAX('Komisyon Tarifeleri'!M123,($D123+$F123)/(1-P123/100-X123)),1)&lt;='Komisyon Tarifeleri'!L123),CEILING(MAX('Komisyon Tarifeleri'!M123,($D123+$F123)/(1-P123/100-X123)),1),IF(AND((1-L123/100-X123)&gt;0,CEILING(MAX('Komisyon Tarifeleri'!K123,($D123+$F123)/(1-L123/100-X123)),1)&lt;='Komisyon Tarifeleri'!J123),CEILING(MAX('Komisyon Tarifeleri'!K123,($D123+$F123)/(1-L123/100-X123)),1),IF((1-H123/100-X123)&gt;0,CEILING(MAX('Komisyon Tarifeleri'!I123,($D123+$F123)/(1-H123/100-X123)),1),"İMKÂNSIZ")))))</f>
        <v/>
      </c>
      <c r="AF123" s="16">
        <f>IF($D123="","",IF(AND(Y123&lt;&gt;"",AC123&lt;&gt;"",AC123&gt;=W123),Z123,IF(Y123&lt;&gt;"",AD123,AE123)))</f>
        <v/>
      </c>
      <c r="AG123" s="16">
        <f>IF(OR(AF123="",AF123="İMKÂNSIZ"),"",AF123*(1-IF(AF123&gt;='Komisyon Tarifeleri'!I123,IF($AM$1=2,'Komisyon Tarifeleri'!U123,'Komisyon Tarifeleri'!P123),IF(AF123&gt;='Komisyon Tarifeleri'!K123,IF($AM$1=2,'Komisyon Tarifeleri'!V123,'Komisyon Tarifeleri'!Q123),IF(AF123&gt;='Komisyon Tarifeleri'!M123,IF($AM$1=2,'Komisyon Tarifeleri'!W123,'Komisyon Tarifeleri'!R123),IF($AM$1=2,'Komisyon Tarifeleri'!X123,'Komisyon Tarifeleri'!S123))))/100)-$D123-IF(AF123&lt;=199.99,Kargo!$E$2,IF(AF123&lt;=399.99,Kargo!$E$3,$F123)))</f>
        <v/>
      </c>
      <c r="AH123" s="17">
        <f>IF(AG123="","",AG123/AF123)</f>
        <v/>
      </c>
      <c r="AI123" s="18">
        <f>IF($D123="","",IF(Y123="","BUYBOX YOK → hedef kârla min fiyat",IF(AC123&gt;=W123,"✓ BUYBOX ALTINA GİR","BUYBOX ALTI KÂRSIZ → min kârlı fiyat")))</f>
        <v/>
      </c>
      <c r="AJ123" s="10">
        <f>IF($B123="","",IFERROR(VLOOKUP($B123,Maliyetler!$A:$G,6,FALSE),""))</f>
        <v/>
      </c>
      <c r="AK123">
        <f>IF($B123="","",IFERROR(VLOOKUP($B123,Maliyetler!$A:$G,7,FALSE),""))</f>
        <v/>
      </c>
      <c r="AO123" s="21">
        <f>IF($B123="","",IFERROR(VLOOKUP($B123&amp;"",'Plus Tarifeleri'!$C:$Q,11,FALSE),""))</f>
        <v/>
      </c>
      <c r="AP123" s="22">
        <f>IF(AO123="","",IFERROR(IF($AM$1=2,VLOOKUP($B123&amp;"",'Plus Tarifeleri'!$C:$Q,15,FALSE),VLOOKUP($B123&amp;"",'Plus Tarifeleri'!$C:$Q,13,FALSE)),""))</f>
        <v/>
      </c>
      <c r="AQ123" s="21">
        <f>IF(OR(AO123="",AP123="",$D123=""),"",AO123*(1-AP123/100)-$D123-IF(AO123&lt;=199.99,Kargo!$E$2,IF(AO123&lt;=399.99,Kargo!$E$3,$F123)))</f>
        <v/>
      </c>
      <c r="AR123" s="23">
        <f>IF(AQ123="","",AQ123/AO123)</f>
        <v/>
      </c>
      <c r="AS123" s="24">
        <f>IF(OR(AQ123="",AG123=""),"",AQ123-AG123)</f>
        <v/>
      </c>
    </row>
    <row r="124">
      <c r="A124">
        <f>IF('Komisyon Tarifeleri'!A124="","",'Komisyon Tarifeleri'!A124)</f>
        <v/>
      </c>
      <c r="B124">
        <f>IF('Komisyon Tarifeleri'!B124="","",'Komisyon Tarifeleri'!B124&amp;"")</f>
        <v/>
      </c>
      <c r="C124">
        <f>IF($B124="","",'Komisyon Tarifeleri'!F124)</f>
        <v/>
      </c>
      <c r="D124" s="10">
        <f>IF($B124="","",IFERROR(VLOOKUP($B124,Maliyetler!$A:$E,3,FALSE),""))</f>
        <v/>
      </c>
      <c r="E124">
        <f>IF($B124="","",IFERROR(VLOOKUP($B124,Maliyetler!$A:$E,4,FALSE),1))</f>
        <v/>
      </c>
      <c r="F124" s="10">
        <f>IF($B124="","",IFERROR(VLOOKUP(MIN(20,MAX(1,ROUND($E124,0))),Kargo!$A:$B,2,FALSE),99.46))</f>
        <v/>
      </c>
      <c r="G124" s="10">
        <f>IF($B124="","",IF(IF(N('Komisyon Tarifeleri'!AA124)&gt;='Komisyon Tarifeleri'!I124,'Komisyon Tarifeleri'!AA124,'Komisyon Tarifeleri'!I124)="","",IF(N('Komisyon Tarifeleri'!AA124)&gt;='Komisyon Tarifeleri'!I124,'Komisyon Tarifeleri'!AA124,'Komisyon Tarifeleri'!I124)))</f>
        <v/>
      </c>
      <c r="H124" s="11">
        <f>IF(G124="","",IF($AM$1=2,'Komisyon Tarifeleri'!U124,'Komisyon Tarifeleri'!P124))</f>
        <v/>
      </c>
      <c r="I124" s="10">
        <f>IF(OR(G124="",$D124=""),"",G124*(1-H124/100)-$D124-IF(G124&lt;=199.99,Kargo!$E$2,IF(G124&lt;=399.99,Kargo!$E$3,$F124)))</f>
        <v/>
      </c>
      <c r="J124" s="12">
        <f>IF(I124="","",I124/G124)</f>
        <v/>
      </c>
      <c r="K124" s="10">
        <f>IF($B124="","",IF('Komisyon Tarifeleri'!J124="","",'Komisyon Tarifeleri'!J124))</f>
        <v/>
      </c>
      <c r="L124" s="11">
        <f>IF(K124="","",IF($AM$1=2,'Komisyon Tarifeleri'!V124,'Komisyon Tarifeleri'!Q124))</f>
        <v/>
      </c>
      <c r="M124" s="10">
        <f>IF(OR(K124="",$D124=""),"",K124*(1-L124/100)-$D124-IF(K124&lt;=199.99,Kargo!$E$2,IF(K124&lt;=399.99,Kargo!$E$3,$F124)))</f>
        <v/>
      </c>
      <c r="N124" s="12">
        <f>IF(M124="","",M124/K124)</f>
        <v/>
      </c>
      <c r="O124" s="10">
        <f>IF($B124="","",IF('Komisyon Tarifeleri'!L124="","",'Komisyon Tarifeleri'!L124))</f>
        <v/>
      </c>
      <c r="P124" s="11">
        <f>IF(O124="","",IF($AM$1=2,'Komisyon Tarifeleri'!W124,'Komisyon Tarifeleri'!R124))</f>
        <v/>
      </c>
      <c r="Q124" s="10">
        <f>IF(OR(O124="",$D124=""),"",O124*(1-P124/100)-$D124-IF(O124&lt;=199.99,Kargo!$E$2,IF(O124&lt;=399.99,Kargo!$E$3,$F124)))</f>
        <v/>
      </c>
      <c r="R124" s="12">
        <f>IF(Q124="","",Q124/O124)</f>
        <v/>
      </c>
      <c r="S124" s="10">
        <f>IF($B124="","",IF('Komisyon Tarifeleri'!N124="","",'Komisyon Tarifeleri'!N124))</f>
        <v/>
      </c>
      <c r="T124" s="11">
        <f>IF(S124="","",IF($AM$1=2,'Komisyon Tarifeleri'!X124,'Komisyon Tarifeleri'!S124))</f>
        <v/>
      </c>
      <c r="U124" s="10">
        <f>IF(OR(S124="",$D124=""),"",S124*(1-T124/100)-$D124-IF(S124&lt;=199.99,Kargo!$E$2,IF(S124&lt;=399.99,Kargo!$E$3,$F124)))</f>
        <v/>
      </c>
      <c r="V124" s="12">
        <f>IF(U124="","",U124/S124)</f>
        <v/>
      </c>
      <c r="W124" s="12">
        <f>IF($B124="","",IFERROR(VLOOKUP($C124,Hedefler!$A:$C,2,FALSE),0.04))</f>
        <v/>
      </c>
      <c r="X124" s="12">
        <f>IF($B124="","",IFERROR(VLOOKUP($C124,Hedefler!$A:$C,3,FALSE),0.1))</f>
        <v/>
      </c>
      <c r="Y124" s="13">
        <f>IF($B124="","",IFERROR(VLOOKUP($B124,Maliyetler!$A:$E,5,FALSE),""))</f>
        <v/>
      </c>
      <c r="Z124" s="13">
        <f>IF(OR(Y124="",Y124=0),"",Y124-1)</f>
        <v/>
      </c>
      <c r="AA124" s="14">
        <f>IF(Z124="","",IF(Z124&gt;='Komisyon Tarifeleri'!I124,IF($AM$1=2,'Komisyon Tarifeleri'!U124,'Komisyon Tarifeleri'!P124),IF(Z124&gt;='Komisyon Tarifeleri'!K124,IF($AM$1=2,'Komisyon Tarifeleri'!V124,'Komisyon Tarifeleri'!Q124),IF(Z124&gt;='Komisyon Tarifeleri'!M124,IF($AM$1=2,'Komisyon Tarifeleri'!W124,'Komisyon Tarifeleri'!R124),IF($AM$1=2,'Komisyon Tarifeleri'!X124,'Komisyon Tarifeleri'!S124)))))</f>
        <v/>
      </c>
      <c r="AB124" s="13">
        <f>IF(OR(AA124="",$D124=""),"",Z124*(1-AA124/100)-$D124-IF(Z124&lt;=199.99,Kargo!$E$2,IF(Z124&lt;=399.99,Kargo!$E$3,$F124)))</f>
        <v/>
      </c>
      <c r="AC124" s="15">
        <f>IF(AB124="","",AB124/Z124)</f>
        <v/>
      </c>
      <c r="AD124" s="10">
        <f>IF(OR($D124="",$B124=""),"",IF(AND((1-T124/100-W124)&gt;0,CEILING(($D124+$F124)/(1-T124/100-W124),1)&lt;='Komisyon Tarifeleri'!N124),CEILING(($D124+$F124)/(1-T124/100-W124),1),IF(AND((1-P124/100-W124)&gt;0,CEILING(MAX('Komisyon Tarifeleri'!M124,($D124+$F124)/(1-P124/100-W124)),1)&lt;='Komisyon Tarifeleri'!L124),CEILING(MAX('Komisyon Tarifeleri'!M124,($D124+$F124)/(1-P124/100-W124)),1),IF(AND((1-L124/100-W124)&gt;0,CEILING(MAX('Komisyon Tarifeleri'!K124,($D124+$F124)/(1-L124/100-W124)),1)&lt;='Komisyon Tarifeleri'!J124),CEILING(MAX('Komisyon Tarifeleri'!K124,($D124+$F124)/(1-L124/100-W124)),1),IF((1-H124/100-W124)&gt;0,CEILING(MAX('Komisyon Tarifeleri'!I124,($D124+$F124)/(1-H124/100-W124)),1),"İMKÂNSIZ")))))</f>
        <v/>
      </c>
      <c r="AE124" s="10">
        <f>IF(OR($D124="",$B124=""),"",IF(AND((1-T124/100-X124)&gt;0,CEILING(($D124+$F124)/(1-T124/100-X124),1)&lt;='Komisyon Tarifeleri'!N124),CEILING(($D124+$F124)/(1-T124/100-X124),1),IF(AND((1-P124/100-X124)&gt;0,CEILING(MAX('Komisyon Tarifeleri'!M124,($D124+$F124)/(1-P124/100-X124)),1)&lt;='Komisyon Tarifeleri'!L124),CEILING(MAX('Komisyon Tarifeleri'!M124,($D124+$F124)/(1-P124/100-X124)),1),IF(AND((1-L124/100-X124)&gt;0,CEILING(MAX('Komisyon Tarifeleri'!K124,($D124+$F124)/(1-L124/100-X124)),1)&lt;='Komisyon Tarifeleri'!J124),CEILING(MAX('Komisyon Tarifeleri'!K124,($D124+$F124)/(1-L124/100-X124)),1),IF((1-H124/100-X124)&gt;0,CEILING(MAX('Komisyon Tarifeleri'!I124,($D124+$F124)/(1-H124/100-X124)),1),"İMKÂNSIZ")))))</f>
        <v/>
      </c>
      <c r="AF124" s="16">
        <f>IF($D124="","",IF(AND(Y124&lt;&gt;"",AC124&lt;&gt;"",AC124&gt;=W124),Z124,IF(Y124&lt;&gt;"",AD124,AE124)))</f>
        <v/>
      </c>
      <c r="AG124" s="16">
        <f>IF(OR(AF124="",AF124="İMKÂNSIZ"),"",AF124*(1-IF(AF124&gt;='Komisyon Tarifeleri'!I124,IF($AM$1=2,'Komisyon Tarifeleri'!U124,'Komisyon Tarifeleri'!P124),IF(AF124&gt;='Komisyon Tarifeleri'!K124,IF($AM$1=2,'Komisyon Tarifeleri'!V124,'Komisyon Tarifeleri'!Q124),IF(AF124&gt;='Komisyon Tarifeleri'!M124,IF($AM$1=2,'Komisyon Tarifeleri'!W124,'Komisyon Tarifeleri'!R124),IF($AM$1=2,'Komisyon Tarifeleri'!X124,'Komisyon Tarifeleri'!S124))))/100)-$D124-IF(AF124&lt;=199.99,Kargo!$E$2,IF(AF124&lt;=399.99,Kargo!$E$3,$F124)))</f>
        <v/>
      </c>
      <c r="AH124" s="17">
        <f>IF(AG124="","",AG124/AF124)</f>
        <v/>
      </c>
      <c r="AI124" s="18">
        <f>IF($D124="","",IF(Y124="","BUYBOX YOK → hedef kârla min fiyat",IF(AC124&gt;=W124,"✓ BUYBOX ALTINA GİR","BUYBOX ALTI KÂRSIZ → min kârlı fiyat")))</f>
        <v/>
      </c>
      <c r="AJ124" s="10">
        <f>IF($B124="","",IFERROR(VLOOKUP($B124,Maliyetler!$A:$G,6,FALSE),""))</f>
        <v/>
      </c>
      <c r="AK124">
        <f>IF($B124="","",IFERROR(VLOOKUP($B124,Maliyetler!$A:$G,7,FALSE),""))</f>
        <v/>
      </c>
      <c r="AO124" s="21">
        <f>IF($B124="","",IFERROR(VLOOKUP($B124&amp;"",'Plus Tarifeleri'!$C:$Q,11,FALSE),""))</f>
        <v/>
      </c>
      <c r="AP124" s="22">
        <f>IF(AO124="","",IFERROR(IF($AM$1=2,VLOOKUP($B124&amp;"",'Plus Tarifeleri'!$C:$Q,15,FALSE),VLOOKUP($B124&amp;"",'Plus Tarifeleri'!$C:$Q,13,FALSE)),""))</f>
        <v/>
      </c>
      <c r="AQ124" s="21">
        <f>IF(OR(AO124="",AP124="",$D124=""),"",AO124*(1-AP124/100)-$D124-IF(AO124&lt;=199.99,Kargo!$E$2,IF(AO124&lt;=399.99,Kargo!$E$3,$F124)))</f>
        <v/>
      </c>
      <c r="AR124" s="23">
        <f>IF(AQ124="","",AQ124/AO124)</f>
        <v/>
      </c>
      <c r="AS124" s="24">
        <f>IF(OR(AQ124="",AG124=""),"",AQ124-AG124)</f>
        <v/>
      </c>
    </row>
    <row r="125">
      <c r="A125">
        <f>IF('Komisyon Tarifeleri'!A125="","",'Komisyon Tarifeleri'!A125)</f>
        <v/>
      </c>
      <c r="B125">
        <f>IF('Komisyon Tarifeleri'!B125="","",'Komisyon Tarifeleri'!B125&amp;"")</f>
        <v/>
      </c>
      <c r="C125">
        <f>IF($B125="","",'Komisyon Tarifeleri'!F125)</f>
        <v/>
      </c>
      <c r="D125" s="10">
        <f>IF($B125="","",IFERROR(VLOOKUP($B125,Maliyetler!$A:$E,3,FALSE),""))</f>
        <v/>
      </c>
      <c r="E125">
        <f>IF($B125="","",IFERROR(VLOOKUP($B125,Maliyetler!$A:$E,4,FALSE),1))</f>
        <v/>
      </c>
      <c r="F125" s="10">
        <f>IF($B125="","",IFERROR(VLOOKUP(MIN(20,MAX(1,ROUND($E125,0))),Kargo!$A:$B,2,FALSE),99.46))</f>
        <v/>
      </c>
      <c r="G125" s="10">
        <f>IF($B125="","",IF(IF(N('Komisyon Tarifeleri'!AA125)&gt;='Komisyon Tarifeleri'!I125,'Komisyon Tarifeleri'!AA125,'Komisyon Tarifeleri'!I125)="","",IF(N('Komisyon Tarifeleri'!AA125)&gt;='Komisyon Tarifeleri'!I125,'Komisyon Tarifeleri'!AA125,'Komisyon Tarifeleri'!I125)))</f>
        <v/>
      </c>
      <c r="H125" s="11">
        <f>IF(G125="","",IF($AM$1=2,'Komisyon Tarifeleri'!U125,'Komisyon Tarifeleri'!P125))</f>
        <v/>
      </c>
      <c r="I125" s="10">
        <f>IF(OR(G125="",$D125=""),"",G125*(1-H125/100)-$D125-IF(G125&lt;=199.99,Kargo!$E$2,IF(G125&lt;=399.99,Kargo!$E$3,$F125)))</f>
        <v/>
      </c>
      <c r="J125" s="12">
        <f>IF(I125="","",I125/G125)</f>
        <v/>
      </c>
      <c r="K125" s="10">
        <f>IF($B125="","",IF('Komisyon Tarifeleri'!J125="","",'Komisyon Tarifeleri'!J125))</f>
        <v/>
      </c>
      <c r="L125" s="11">
        <f>IF(K125="","",IF($AM$1=2,'Komisyon Tarifeleri'!V125,'Komisyon Tarifeleri'!Q125))</f>
        <v/>
      </c>
      <c r="M125" s="10">
        <f>IF(OR(K125="",$D125=""),"",K125*(1-L125/100)-$D125-IF(K125&lt;=199.99,Kargo!$E$2,IF(K125&lt;=399.99,Kargo!$E$3,$F125)))</f>
        <v/>
      </c>
      <c r="N125" s="12">
        <f>IF(M125="","",M125/K125)</f>
        <v/>
      </c>
      <c r="O125" s="10">
        <f>IF($B125="","",IF('Komisyon Tarifeleri'!L125="","",'Komisyon Tarifeleri'!L125))</f>
        <v/>
      </c>
      <c r="P125" s="11">
        <f>IF(O125="","",IF($AM$1=2,'Komisyon Tarifeleri'!W125,'Komisyon Tarifeleri'!R125))</f>
        <v/>
      </c>
      <c r="Q125" s="10">
        <f>IF(OR(O125="",$D125=""),"",O125*(1-P125/100)-$D125-IF(O125&lt;=199.99,Kargo!$E$2,IF(O125&lt;=399.99,Kargo!$E$3,$F125)))</f>
        <v/>
      </c>
      <c r="R125" s="12">
        <f>IF(Q125="","",Q125/O125)</f>
        <v/>
      </c>
      <c r="S125" s="10">
        <f>IF($B125="","",IF('Komisyon Tarifeleri'!N125="","",'Komisyon Tarifeleri'!N125))</f>
        <v/>
      </c>
      <c r="T125" s="11">
        <f>IF(S125="","",IF($AM$1=2,'Komisyon Tarifeleri'!X125,'Komisyon Tarifeleri'!S125))</f>
        <v/>
      </c>
      <c r="U125" s="10">
        <f>IF(OR(S125="",$D125=""),"",S125*(1-T125/100)-$D125-IF(S125&lt;=199.99,Kargo!$E$2,IF(S125&lt;=399.99,Kargo!$E$3,$F125)))</f>
        <v/>
      </c>
      <c r="V125" s="12">
        <f>IF(U125="","",U125/S125)</f>
        <v/>
      </c>
      <c r="W125" s="12">
        <f>IF($B125="","",IFERROR(VLOOKUP($C125,Hedefler!$A:$C,2,FALSE),0.04))</f>
        <v/>
      </c>
      <c r="X125" s="12">
        <f>IF($B125="","",IFERROR(VLOOKUP($C125,Hedefler!$A:$C,3,FALSE),0.1))</f>
        <v/>
      </c>
      <c r="Y125" s="13">
        <f>IF($B125="","",IFERROR(VLOOKUP($B125,Maliyetler!$A:$E,5,FALSE),""))</f>
        <v/>
      </c>
      <c r="Z125" s="13">
        <f>IF(OR(Y125="",Y125=0),"",Y125-1)</f>
        <v/>
      </c>
      <c r="AA125" s="14">
        <f>IF(Z125="","",IF(Z125&gt;='Komisyon Tarifeleri'!I125,IF($AM$1=2,'Komisyon Tarifeleri'!U125,'Komisyon Tarifeleri'!P125),IF(Z125&gt;='Komisyon Tarifeleri'!K125,IF($AM$1=2,'Komisyon Tarifeleri'!V125,'Komisyon Tarifeleri'!Q125),IF(Z125&gt;='Komisyon Tarifeleri'!M125,IF($AM$1=2,'Komisyon Tarifeleri'!W125,'Komisyon Tarifeleri'!R125),IF($AM$1=2,'Komisyon Tarifeleri'!X125,'Komisyon Tarifeleri'!S125)))))</f>
        <v/>
      </c>
      <c r="AB125" s="13">
        <f>IF(OR(AA125="",$D125=""),"",Z125*(1-AA125/100)-$D125-IF(Z125&lt;=199.99,Kargo!$E$2,IF(Z125&lt;=399.99,Kargo!$E$3,$F125)))</f>
        <v/>
      </c>
      <c r="AC125" s="15">
        <f>IF(AB125="","",AB125/Z125)</f>
        <v/>
      </c>
      <c r="AD125" s="10">
        <f>IF(OR($D125="",$B125=""),"",IF(AND((1-T125/100-W125)&gt;0,CEILING(($D125+$F125)/(1-T125/100-W125),1)&lt;='Komisyon Tarifeleri'!N125),CEILING(($D125+$F125)/(1-T125/100-W125),1),IF(AND((1-P125/100-W125)&gt;0,CEILING(MAX('Komisyon Tarifeleri'!M125,($D125+$F125)/(1-P125/100-W125)),1)&lt;='Komisyon Tarifeleri'!L125),CEILING(MAX('Komisyon Tarifeleri'!M125,($D125+$F125)/(1-P125/100-W125)),1),IF(AND((1-L125/100-W125)&gt;0,CEILING(MAX('Komisyon Tarifeleri'!K125,($D125+$F125)/(1-L125/100-W125)),1)&lt;='Komisyon Tarifeleri'!J125),CEILING(MAX('Komisyon Tarifeleri'!K125,($D125+$F125)/(1-L125/100-W125)),1),IF((1-H125/100-W125)&gt;0,CEILING(MAX('Komisyon Tarifeleri'!I125,($D125+$F125)/(1-H125/100-W125)),1),"İMKÂNSIZ")))))</f>
        <v/>
      </c>
      <c r="AE125" s="10">
        <f>IF(OR($D125="",$B125=""),"",IF(AND((1-T125/100-X125)&gt;0,CEILING(($D125+$F125)/(1-T125/100-X125),1)&lt;='Komisyon Tarifeleri'!N125),CEILING(($D125+$F125)/(1-T125/100-X125),1),IF(AND((1-P125/100-X125)&gt;0,CEILING(MAX('Komisyon Tarifeleri'!M125,($D125+$F125)/(1-P125/100-X125)),1)&lt;='Komisyon Tarifeleri'!L125),CEILING(MAX('Komisyon Tarifeleri'!M125,($D125+$F125)/(1-P125/100-X125)),1),IF(AND((1-L125/100-X125)&gt;0,CEILING(MAX('Komisyon Tarifeleri'!K125,($D125+$F125)/(1-L125/100-X125)),1)&lt;='Komisyon Tarifeleri'!J125),CEILING(MAX('Komisyon Tarifeleri'!K125,($D125+$F125)/(1-L125/100-X125)),1),IF((1-H125/100-X125)&gt;0,CEILING(MAX('Komisyon Tarifeleri'!I125,($D125+$F125)/(1-H125/100-X125)),1),"İMKÂNSIZ")))))</f>
        <v/>
      </c>
      <c r="AF125" s="16">
        <f>IF($D125="","",IF(AND(Y125&lt;&gt;"",AC125&lt;&gt;"",AC125&gt;=W125),Z125,IF(Y125&lt;&gt;"",AD125,AE125)))</f>
        <v/>
      </c>
      <c r="AG125" s="16">
        <f>IF(OR(AF125="",AF125="İMKÂNSIZ"),"",AF125*(1-IF(AF125&gt;='Komisyon Tarifeleri'!I125,IF($AM$1=2,'Komisyon Tarifeleri'!U125,'Komisyon Tarifeleri'!P125),IF(AF125&gt;='Komisyon Tarifeleri'!K125,IF($AM$1=2,'Komisyon Tarifeleri'!V125,'Komisyon Tarifeleri'!Q125),IF(AF125&gt;='Komisyon Tarifeleri'!M125,IF($AM$1=2,'Komisyon Tarifeleri'!W125,'Komisyon Tarifeleri'!R125),IF($AM$1=2,'Komisyon Tarifeleri'!X125,'Komisyon Tarifeleri'!S125))))/100)-$D125-IF(AF125&lt;=199.99,Kargo!$E$2,IF(AF125&lt;=399.99,Kargo!$E$3,$F125)))</f>
        <v/>
      </c>
      <c r="AH125" s="17">
        <f>IF(AG125="","",AG125/AF125)</f>
        <v/>
      </c>
      <c r="AI125" s="18">
        <f>IF($D125="","",IF(Y125="","BUYBOX YOK → hedef kârla min fiyat",IF(AC125&gt;=W125,"✓ BUYBOX ALTINA GİR","BUYBOX ALTI KÂRSIZ → min kârlı fiyat")))</f>
        <v/>
      </c>
      <c r="AJ125" s="10">
        <f>IF($B125="","",IFERROR(VLOOKUP($B125,Maliyetler!$A:$G,6,FALSE),""))</f>
        <v/>
      </c>
      <c r="AK125">
        <f>IF($B125="","",IFERROR(VLOOKUP($B125,Maliyetler!$A:$G,7,FALSE),""))</f>
        <v/>
      </c>
      <c r="AO125" s="21">
        <f>IF($B125="","",IFERROR(VLOOKUP($B125&amp;"",'Plus Tarifeleri'!$C:$Q,11,FALSE),""))</f>
        <v/>
      </c>
      <c r="AP125" s="22">
        <f>IF(AO125="","",IFERROR(IF($AM$1=2,VLOOKUP($B125&amp;"",'Plus Tarifeleri'!$C:$Q,15,FALSE),VLOOKUP($B125&amp;"",'Plus Tarifeleri'!$C:$Q,13,FALSE)),""))</f>
        <v/>
      </c>
      <c r="AQ125" s="21">
        <f>IF(OR(AO125="",AP125="",$D125=""),"",AO125*(1-AP125/100)-$D125-IF(AO125&lt;=199.99,Kargo!$E$2,IF(AO125&lt;=399.99,Kargo!$E$3,$F125)))</f>
        <v/>
      </c>
      <c r="AR125" s="23">
        <f>IF(AQ125="","",AQ125/AO125)</f>
        <v/>
      </c>
      <c r="AS125" s="24">
        <f>IF(OR(AQ125="",AG125=""),"",AQ125-AG125)</f>
        <v/>
      </c>
    </row>
    <row r="126">
      <c r="A126">
        <f>IF('Komisyon Tarifeleri'!A126="","",'Komisyon Tarifeleri'!A126)</f>
        <v/>
      </c>
      <c r="B126">
        <f>IF('Komisyon Tarifeleri'!B126="","",'Komisyon Tarifeleri'!B126&amp;"")</f>
        <v/>
      </c>
      <c r="C126">
        <f>IF($B126="","",'Komisyon Tarifeleri'!F126)</f>
        <v/>
      </c>
      <c r="D126" s="10">
        <f>IF($B126="","",IFERROR(VLOOKUP($B126,Maliyetler!$A:$E,3,FALSE),""))</f>
        <v/>
      </c>
      <c r="E126">
        <f>IF($B126="","",IFERROR(VLOOKUP($B126,Maliyetler!$A:$E,4,FALSE),1))</f>
        <v/>
      </c>
      <c r="F126" s="10">
        <f>IF($B126="","",IFERROR(VLOOKUP(MIN(20,MAX(1,ROUND($E126,0))),Kargo!$A:$B,2,FALSE),99.46))</f>
        <v/>
      </c>
      <c r="G126" s="10">
        <f>IF($B126="","",IF(IF(N('Komisyon Tarifeleri'!AA126)&gt;='Komisyon Tarifeleri'!I126,'Komisyon Tarifeleri'!AA126,'Komisyon Tarifeleri'!I126)="","",IF(N('Komisyon Tarifeleri'!AA126)&gt;='Komisyon Tarifeleri'!I126,'Komisyon Tarifeleri'!AA126,'Komisyon Tarifeleri'!I126)))</f>
        <v/>
      </c>
      <c r="H126" s="11">
        <f>IF(G126="","",IF($AM$1=2,'Komisyon Tarifeleri'!U126,'Komisyon Tarifeleri'!P126))</f>
        <v/>
      </c>
      <c r="I126" s="10">
        <f>IF(OR(G126="",$D126=""),"",G126*(1-H126/100)-$D126-IF(G126&lt;=199.99,Kargo!$E$2,IF(G126&lt;=399.99,Kargo!$E$3,$F126)))</f>
        <v/>
      </c>
      <c r="J126" s="12">
        <f>IF(I126="","",I126/G126)</f>
        <v/>
      </c>
      <c r="K126" s="10">
        <f>IF($B126="","",IF('Komisyon Tarifeleri'!J126="","",'Komisyon Tarifeleri'!J126))</f>
        <v/>
      </c>
      <c r="L126" s="11">
        <f>IF(K126="","",IF($AM$1=2,'Komisyon Tarifeleri'!V126,'Komisyon Tarifeleri'!Q126))</f>
        <v/>
      </c>
      <c r="M126" s="10">
        <f>IF(OR(K126="",$D126=""),"",K126*(1-L126/100)-$D126-IF(K126&lt;=199.99,Kargo!$E$2,IF(K126&lt;=399.99,Kargo!$E$3,$F126)))</f>
        <v/>
      </c>
      <c r="N126" s="12">
        <f>IF(M126="","",M126/K126)</f>
        <v/>
      </c>
      <c r="O126" s="10">
        <f>IF($B126="","",IF('Komisyon Tarifeleri'!L126="","",'Komisyon Tarifeleri'!L126))</f>
        <v/>
      </c>
      <c r="P126" s="11">
        <f>IF(O126="","",IF($AM$1=2,'Komisyon Tarifeleri'!W126,'Komisyon Tarifeleri'!R126))</f>
        <v/>
      </c>
      <c r="Q126" s="10">
        <f>IF(OR(O126="",$D126=""),"",O126*(1-P126/100)-$D126-IF(O126&lt;=199.99,Kargo!$E$2,IF(O126&lt;=399.99,Kargo!$E$3,$F126)))</f>
        <v/>
      </c>
      <c r="R126" s="12">
        <f>IF(Q126="","",Q126/O126)</f>
        <v/>
      </c>
      <c r="S126" s="10">
        <f>IF($B126="","",IF('Komisyon Tarifeleri'!N126="","",'Komisyon Tarifeleri'!N126))</f>
        <v/>
      </c>
      <c r="T126" s="11">
        <f>IF(S126="","",IF($AM$1=2,'Komisyon Tarifeleri'!X126,'Komisyon Tarifeleri'!S126))</f>
        <v/>
      </c>
      <c r="U126" s="10">
        <f>IF(OR(S126="",$D126=""),"",S126*(1-T126/100)-$D126-IF(S126&lt;=199.99,Kargo!$E$2,IF(S126&lt;=399.99,Kargo!$E$3,$F126)))</f>
        <v/>
      </c>
      <c r="V126" s="12">
        <f>IF(U126="","",U126/S126)</f>
        <v/>
      </c>
      <c r="W126" s="12">
        <f>IF($B126="","",IFERROR(VLOOKUP($C126,Hedefler!$A:$C,2,FALSE),0.04))</f>
        <v/>
      </c>
      <c r="X126" s="12">
        <f>IF($B126="","",IFERROR(VLOOKUP($C126,Hedefler!$A:$C,3,FALSE),0.1))</f>
        <v/>
      </c>
      <c r="Y126" s="13">
        <f>IF($B126="","",IFERROR(VLOOKUP($B126,Maliyetler!$A:$E,5,FALSE),""))</f>
        <v/>
      </c>
      <c r="Z126" s="13">
        <f>IF(OR(Y126="",Y126=0),"",Y126-1)</f>
        <v/>
      </c>
      <c r="AA126" s="14">
        <f>IF(Z126="","",IF(Z126&gt;='Komisyon Tarifeleri'!I126,IF($AM$1=2,'Komisyon Tarifeleri'!U126,'Komisyon Tarifeleri'!P126),IF(Z126&gt;='Komisyon Tarifeleri'!K126,IF($AM$1=2,'Komisyon Tarifeleri'!V126,'Komisyon Tarifeleri'!Q126),IF(Z126&gt;='Komisyon Tarifeleri'!M126,IF($AM$1=2,'Komisyon Tarifeleri'!W126,'Komisyon Tarifeleri'!R126),IF($AM$1=2,'Komisyon Tarifeleri'!X126,'Komisyon Tarifeleri'!S126)))))</f>
        <v/>
      </c>
      <c r="AB126" s="13">
        <f>IF(OR(AA126="",$D126=""),"",Z126*(1-AA126/100)-$D126-IF(Z126&lt;=199.99,Kargo!$E$2,IF(Z126&lt;=399.99,Kargo!$E$3,$F126)))</f>
        <v/>
      </c>
      <c r="AC126" s="15">
        <f>IF(AB126="","",AB126/Z126)</f>
        <v/>
      </c>
      <c r="AD126" s="10">
        <f>IF(OR($D126="",$B126=""),"",IF(AND((1-T126/100-W126)&gt;0,CEILING(($D126+$F126)/(1-T126/100-W126),1)&lt;='Komisyon Tarifeleri'!N126),CEILING(($D126+$F126)/(1-T126/100-W126),1),IF(AND((1-P126/100-W126)&gt;0,CEILING(MAX('Komisyon Tarifeleri'!M126,($D126+$F126)/(1-P126/100-W126)),1)&lt;='Komisyon Tarifeleri'!L126),CEILING(MAX('Komisyon Tarifeleri'!M126,($D126+$F126)/(1-P126/100-W126)),1),IF(AND((1-L126/100-W126)&gt;0,CEILING(MAX('Komisyon Tarifeleri'!K126,($D126+$F126)/(1-L126/100-W126)),1)&lt;='Komisyon Tarifeleri'!J126),CEILING(MAX('Komisyon Tarifeleri'!K126,($D126+$F126)/(1-L126/100-W126)),1),IF((1-H126/100-W126)&gt;0,CEILING(MAX('Komisyon Tarifeleri'!I126,($D126+$F126)/(1-H126/100-W126)),1),"İMKÂNSIZ")))))</f>
        <v/>
      </c>
      <c r="AE126" s="10">
        <f>IF(OR($D126="",$B126=""),"",IF(AND((1-T126/100-X126)&gt;0,CEILING(($D126+$F126)/(1-T126/100-X126),1)&lt;='Komisyon Tarifeleri'!N126),CEILING(($D126+$F126)/(1-T126/100-X126),1),IF(AND((1-P126/100-X126)&gt;0,CEILING(MAX('Komisyon Tarifeleri'!M126,($D126+$F126)/(1-P126/100-X126)),1)&lt;='Komisyon Tarifeleri'!L126),CEILING(MAX('Komisyon Tarifeleri'!M126,($D126+$F126)/(1-P126/100-X126)),1),IF(AND((1-L126/100-X126)&gt;0,CEILING(MAX('Komisyon Tarifeleri'!K126,($D126+$F126)/(1-L126/100-X126)),1)&lt;='Komisyon Tarifeleri'!J126),CEILING(MAX('Komisyon Tarifeleri'!K126,($D126+$F126)/(1-L126/100-X126)),1),IF((1-H126/100-X126)&gt;0,CEILING(MAX('Komisyon Tarifeleri'!I126,($D126+$F126)/(1-H126/100-X126)),1),"İMKÂNSIZ")))))</f>
        <v/>
      </c>
      <c r="AF126" s="16">
        <f>IF($D126="","",IF(AND(Y126&lt;&gt;"",AC126&lt;&gt;"",AC126&gt;=W126),Z126,IF(Y126&lt;&gt;"",AD126,AE126)))</f>
        <v/>
      </c>
      <c r="AG126" s="16">
        <f>IF(OR(AF126="",AF126="İMKÂNSIZ"),"",AF126*(1-IF(AF126&gt;='Komisyon Tarifeleri'!I126,IF($AM$1=2,'Komisyon Tarifeleri'!U126,'Komisyon Tarifeleri'!P126),IF(AF126&gt;='Komisyon Tarifeleri'!K126,IF($AM$1=2,'Komisyon Tarifeleri'!V126,'Komisyon Tarifeleri'!Q126),IF(AF126&gt;='Komisyon Tarifeleri'!M126,IF($AM$1=2,'Komisyon Tarifeleri'!W126,'Komisyon Tarifeleri'!R126),IF($AM$1=2,'Komisyon Tarifeleri'!X126,'Komisyon Tarifeleri'!S126))))/100)-$D126-IF(AF126&lt;=199.99,Kargo!$E$2,IF(AF126&lt;=399.99,Kargo!$E$3,$F126)))</f>
        <v/>
      </c>
      <c r="AH126" s="17">
        <f>IF(AG126="","",AG126/AF126)</f>
        <v/>
      </c>
      <c r="AI126" s="18">
        <f>IF($D126="","",IF(Y126="","BUYBOX YOK → hedef kârla min fiyat",IF(AC126&gt;=W126,"✓ BUYBOX ALTINA GİR","BUYBOX ALTI KÂRSIZ → min kârlı fiyat")))</f>
        <v/>
      </c>
      <c r="AJ126" s="10">
        <f>IF($B126="","",IFERROR(VLOOKUP($B126,Maliyetler!$A:$G,6,FALSE),""))</f>
        <v/>
      </c>
      <c r="AK126">
        <f>IF($B126="","",IFERROR(VLOOKUP($B126,Maliyetler!$A:$G,7,FALSE),""))</f>
        <v/>
      </c>
      <c r="AO126" s="21">
        <f>IF($B126="","",IFERROR(VLOOKUP($B126&amp;"",'Plus Tarifeleri'!$C:$Q,11,FALSE),""))</f>
        <v/>
      </c>
      <c r="AP126" s="22">
        <f>IF(AO126="","",IFERROR(IF($AM$1=2,VLOOKUP($B126&amp;"",'Plus Tarifeleri'!$C:$Q,15,FALSE),VLOOKUP($B126&amp;"",'Plus Tarifeleri'!$C:$Q,13,FALSE)),""))</f>
        <v/>
      </c>
      <c r="AQ126" s="21">
        <f>IF(OR(AO126="",AP126="",$D126=""),"",AO126*(1-AP126/100)-$D126-IF(AO126&lt;=199.99,Kargo!$E$2,IF(AO126&lt;=399.99,Kargo!$E$3,$F126)))</f>
        <v/>
      </c>
      <c r="AR126" s="23">
        <f>IF(AQ126="","",AQ126/AO126)</f>
        <v/>
      </c>
      <c r="AS126" s="24">
        <f>IF(OR(AQ126="",AG126=""),"",AQ126-AG126)</f>
        <v/>
      </c>
    </row>
    <row r="127">
      <c r="A127">
        <f>IF('Komisyon Tarifeleri'!A127="","",'Komisyon Tarifeleri'!A127)</f>
        <v/>
      </c>
      <c r="B127">
        <f>IF('Komisyon Tarifeleri'!B127="","",'Komisyon Tarifeleri'!B127&amp;"")</f>
        <v/>
      </c>
      <c r="C127">
        <f>IF($B127="","",'Komisyon Tarifeleri'!F127)</f>
        <v/>
      </c>
      <c r="D127" s="10">
        <f>IF($B127="","",IFERROR(VLOOKUP($B127,Maliyetler!$A:$E,3,FALSE),""))</f>
        <v/>
      </c>
      <c r="E127">
        <f>IF($B127="","",IFERROR(VLOOKUP($B127,Maliyetler!$A:$E,4,FALSE),1))</f>
        <v/>
      </c>
      <c r="F127" s="10">
        <f>IF($B127="","",IFERROR(VLOOKUP(MIN(20,MAX(1,ROUND($E127,0))),Kargo!$A:$B,2,FALSE),99.46))</f>
        <v/>
      </c>
      <c r="G127" s="10">
        <f>IF($B127="","",IF(IF(N('Komisyon Tarifeleri'!AA127)&gt;='Komisyon Tarifeleri'!I127,'Komisyon Tarifeleri'!AA127,'Komisyon Tarifeleri'!I127)="","",IF(N('Komisyon Tarifeleri'!AA127)&gt;='Komisyon Tarifeleri'!I127,'Komisyon Tarifeleri'!AA127,'Komisyon Tarifeleri'!I127)))</f>
        <v/>
      </c>
      <c r="H127" s="11">
        <f>IF(G127="","",IF($AM$1=2,'Komisyon Tarifeleri'!U127,'Komisyon Tarifeleri'!P127))</f>
        <v/>
      </c>
      <c r="I127" s="10">
        <f>IF(OR(G127="",$D127=""),"",G127*(1-H127/100)-$D127-IF(G127&lt;=199.99,Kargo!$E$2,IF(G127&lt;=399.99,Kargo!$E$3,$F127)))</f>
        <v/>
      </c>
      <c r="J127" s="12">
        <f>IF(I127="","",I127/G127)</f>
        <v/>
      </c>
      <c r="K127" s="10">
        <f>IF($B127="","",IF('Komisyon Tarifeleri'!J127="","",'Komisyon Tarifeleri'!J127))</f>
        <v/>
      </c>
      <c r="L127" s="11">
        <f>IF(K127="","",IF($AM$1=2,'Komisyon Tarifeleri'!V127,'Komisyon Tarifeleri'!Q127))</f>
        <v/>
      </c>
      <c r="M127" s="10">
        <f>IF(OR(K127="",$D127=""),"",K127*(1-L127/100)-$D127-IF(K127&lt;=199.99,Kargo!$E$2,IF(K127&lt;=399.99,Kargo!$E$3,$F127)))</f>
        <v/>
      </c>
      <c r="N127" s="12">
        <f>IF(M127="","",M127/K127)</f>
        <v/>
      </c>
      <c r="O127" s="10">
        <f>IF($B127="","",IF('Komisyon Tarifeleri'!L127="","",'Komisyon Tarifeleri'!L127))</f>
        <v/>
      </c>
      <c r="P127" s="11">
        <f>IF(O127="","",IF($AM$1=2,'Komisyon Tarifeleri'!W127,'Komisyon Tarifeleri'!R127))</f>
        <v/>
      </c>
      <c r="Q127" s="10">
        <f>IF(OR(O127="",$D127=""),"",O127*(1-P127/100)-$D127-IF(O127&lt;=199.99,Kargo!$E$2,IF(O127&lt;=399.99,Kargo!$E$3,$F127)))</f>
        <v/>
      </c>
      <c r="R127" s="12">
        <f>IF(Q127="","",Q127/O127)</f>
        <v/>
      </c>
      <c r="S127" s="10">
        <f>IF($B127="","",IF('Komisyon Tarifeleri'!N127="","",'Komisyon Tarifeleri'!N127))</f>
        <v/>
      </c>
      <c r="T127" s="11">
        <f>IF(S127="","",IF($AM$1=2,'Komisyon Tarifeleri'!X127,'Komisyon Tarifeleri'!S127))</f>
        <v/>
      </c>
      <c r="U127" s="10">
        <f>IF(OR(S127="",$D127=""),"",S127*(1-T127/100)-$D127-IF(S127&lt;=199.99,Kargo!$E$2,IF(S127&lt;=399.99,Kargo!$E$3,$F127)))</f>
        <v/>
      </c>
      <c r="V127" s="12">
        <f>IF(U127="","",U127/S127)</f>
        <v/>
      </c>
      <c r="W127" s="12">
        <f>IF($B127="","",IFERROR(VLOOKUP($C127,Hedefler!$A:$C,2,FALSE),0.04))</f>
        <v/>
      </c>
      <c r="X127" s="12">
        <f>IF($B127="","",IFERROR(VLOOKUP($C127,Hedefler!$A:$C,3,FALSE),0.1))</f>
        <v/>
      </c>
      <c r="Y127" s="13">
        <f>IF($B127="","",IFERROR(VLOOKUP($B127,Maliyetler!$A:$E,5,FALSE),""))</f>
        <v/>
      </c>
      <c r="Z127" s="13">
        <f>IF(OR(Y127="",Y127=0),"",Y127-1)</f>
        <v/>
      </c>
      <c r="AA127" s="14">
        <f>IF(Z127="","",IF(Z127&gt;='Komisyon Tarifeleri'!I127,IF($AM$1=2,'Komisyon Tarifeleri'!U127,'Komisyon Tarifeleri'!P127),IF(Z127&gt;='Komisyon Tarifeleri'!K127,IF($AM$1=2,'Komisyon Tarifeleri'!V127,'Komisyon Tarifeleri'!Q127),IF(Z127&gt;='Komisyon Tarifeleri'!M127,IF($AM$1=2,'Komisyon Tarifeleri'!W127,'Komisyon Tarifeleri'!R127),IF($AM$1=2,'Komisyon Tarifeleri'!X127,'Komisyon Tarifeleri'!S127)))))</f>
        <v/>
      </c>
      <c r="AB127" s="13">
        <f>IF(OR(AA127="",$D127=""),"",Z127*(1-AA127/100)-$D127-IF(Z127&lt;=199.99,Kargo!$E$2,IF(Z127&lt;=399.99,Kargo!$E$3,$F127)))</f>
        <v/>
      </c>
      <c r="AC127" s="15">
        <f>IF(AB127="","",AB127/Z127)</f>
        <v/>
      </c>
      <c r="AD127" s="10">
        <f>IF(OR($D127="",$B127=""),"",IF(AND((1-T127/100-W127)&gt;0,CEILING(($D127+$F127)/(1-T127/100-W127),1)&lt;='Komisyon Tarifeleri'!N127),CEILING(($D127+$F127)/(1-T127/100-W127),1),IF(AND((1-P127/100-W127)&gt;0,CEILING(MAX('Komisyon Tarifeleri'!M127,($D127+$F127)/(1-P127/100-W127)),1)&lt;='Komisyon Tarifeleri'!L127),CEILING(MAX('Komisyon Tarifeleri'!M127,($D127+$F127)/(1-P127/100-W127)),1),IF(AND((1-L127/100-W127)&gt;0,CEILING(MAX('Komisyon Tarifeleri'!K127,($D127+$F127)/(1-L127/100-W127)),1)&lt;='Komisyon Tarifeleri'!J127),CEILING(MAX('Komisyon Tarifeleri'!K127,($D127+$F127)/(1-L127/100-W127)),1),IF((1-H127/100-W127)&gt;0,CEILING(MAX('Komisyon Tarifeleri'!I127,($D127+$F127)/(1-H127/100-W127)),1),"İMKÂNSIZ")))))</f>
        <v/>
      </c>
      <c r="AE127" s="10">
        <f>IF(OR($D127="",$B127=""),"",IF(AND((1-T127/100-X127)&gt;0,CEILING(($D127+$F127)/(1-T127/100-X127),1)&lt;='Komisyon Tarifeleri'!N127),CEILING(($D127+$F127)/(1-T127/100-X127),1),IF(AND((1-P127/100-X127)&gt;0,CEILING(MAX('Komisyon Tarifeleri'!M127,($D127+$F127)/(1-P127/100-X127)),1)&lt;='Komisyon Tarifeleri'!L127),CEILING(MAX('Komisyon Tarifeleri'!M127,($D127+$F127)/(1-P127/100-X127)),1),IF(AND((1-L127/100-X127)&gt;0,CEILING(MAX('Komisyon Tarifeleri'!K127,($D127+$F127)/(1-L127/100-X127)),1)&lt;='Komisyon Tarifeleri'!J127),CEILING(MAX('Komisyon Tarifeleri'!K127,($D127+$F127)/(1-L127/100-X127)),1),IF((1-H127/100-X127)&gt;0,CEILING(MAX('Komisyon Tarifeleri'!I127,($D127+$F127)/(1-H127/100-X127)),1),"İMKÂNSIZ")))))</f>
        <v/>
      </c>
      <c r="AF127" s="16">
        <f>IF($D127="","",IF(AND(Y127&lt;&gt;"",AC127&lt;&gt;"",AC127&gt;=W127),Z127,IF(Y127&lt;&gt;"",AD127,AE127)))</f>
        <v/>
      </c>
      <c r="AG127" s="16">
        <f>IF(OR(AF127="",AF127="İMKÂNSIZ"),"",AF127*(1-IF(AF127&gt;='Komisyon Tarifeleri'!I127,IF($AM$1=2,'Komisyon Tarifeleri'!U127,'Komisyon Tarifeleri'!P127),IF(AF127&gt;='Komisyon Tarifeleri'!K127,IF($AM$1=2,'Komisyon Tarifeleri'!V127,'Komisyon Tarifeleri'!Q127),IF(AF127&gt;='Komisyon Tarifeleri'!M127,IF($AM$1=2,'Komisyon Tarifeleri'!W127,'Komisyon Tarifeleri'!R127),IF($AM$1=2,'Komisyon Tarifeleri'!X127,'Komisyon Tarifeleri'!S127))))/100)-$D127-IF(AF127&lt;=199.99,Kargo!$E$2,IF(AF127&lt;=399.99,Kargo!$E$3,$F127)))</f>
        <v/>
      </c>
      <c r="AH127" s="17">
        <f>IF(AG127="","",AG127/AF127)</f>
        <v/>
      </c>
      <c r="AI127" s="18">
        <f>IF($D127="","",IF(Y127="","BUYBOX YOK → hedef kârla min fiyat",IF(AC127&gt;=W127,"✓ BUYBOX ALTINA GİR","BUYBOX ALTI KÂRSIZ → min kârlı fiyat")))</f>
        <v/>
      </c>
      <c r="AJ127" s="10">
        <f>IF($B127="","",IFERROR(VLOOKUP($B127,Maliyetler!$A:$G,6,FALSE),""))</f>
        <v/>
      </c>
      <c r="AK127">
        <f>IF($B127="","",IFERROR(VLOOKUP($B127,Maliyetler!$A:$G,7,FALSE),""))</f>
        <v/>
      </c>
      <c r="AO127" s="21">
        <f>IF($B127="","",IFERROR(VLOOKUP($B127&amp;"",'Plus Tarifeleri'!$C:$Q,11,FALSE),""))</f>
        <v/>
      </c>
      <c r="AP127" s="22">
        <f>IF(AO127="","",IFERROR(IF($AM$1=2,VLOOKUP($B127&amp;"",'Plus Tarifeleri'!$C:$Q,15,FALSE),VLOOKUP($B127&amp;"",'Plus Tarifeleri'!$C:$Q,13,FALSE)),""))</f>
        <v/>
      </c>
      <c r="AQ127" s="21">
        <f>IF(OR(AO127="",AP127="",$D127=""),"",AO127*(1-AP127/100)-$D127-IF(AO127&lt;=199.99,Kargo!$E$2,IF(AO127&lt;=399.99,Kargo!$E$3,$F127)))</f>
        <v/>
      </c>
      <c r="AR127" s="23">
        <f>IF(AQ127="","",AQ127/AO127)</f>
        <v/>
      </c>
      <c r="AS127" s="24">
        <f>IF(OR(AQ127="",AG127=""),"",AQ127-AG127)</f>
        <v/>
      </c>
    </row>
    <row r="128">
      <c r="A128">
        <f>IF('Komisyon Tarifeleri'!A128="","",'Komisyon Tarifeleri'!A128)</f>
        <v/>
      </c>
      <c r="B128">
        <f>IF('Komisyon Tarifeleri'!B128="","",'Komisyon Tarifeleri'!B128&amp;"")</f>
        <v/>
      </c>
      <c r="C128">
        <f>IF($B128="","",'Komisyon Tarifeleri'!F128)</f>
        <v/>
      </c>
      <c r="D128" s="10">
        <f>IF($B128="","",IFERROR(VLOOKUP($B128,Maliyetler!$A:$E,3,FALSE),""))</f>
        <v/>
      </c>
      <c r="E128">
        <f>IF($B128="","",IFERROR(VLOOKUP($B128,Maliyetler!$A:$E,4,FALSE),1))</f>
        <v/>
      </c>
      <c r="F128" s="10">
        <f>IF($B128="","",IFERROR(VLOOKUP(MIN(20,MAX(1,ROUND($E128,0))),Kargo!$A:$B,2,FALSE),99.46))</f>
        <v/>
      </c>
      <c r="G128" s="10">
        <f>IF($B128="","",IF(IF(N('Komisyon Tarifeleri'!AA128)&gt;='Komisyon Tarifeleri'!I128,'Komisyon Tarifeleri'!AA128,'Komisyon Tarifeleri'!I128)="","",IF(N('Komisyon Tarifeleri'!AA128)&gt;='Komisyon Tarifeleri'!I128,'Komisyon Tarifeleri'!AA128,'Komisyon Tarifeleri'!I128)))</f>
        <v/>
      </c>
      <c r="H128" s="11">
        <f>IF(G128="","",IF($AM$1=2,'Komisyon Tarifeleri'!U128,'Komisyon Tarifeleri'!P128))</f>
        <v/>
      </c>
      <c r="I128" s="10">
        <f>IF(OR(G128="",$D128=""),"",G128*(1-H128/100)-$D128-IF(G128&lt;=199.99,Kargo!$E$2,IF(G128&lt;=399.99,Kargo!$E$3,$F128)))</f>
        <v/>
      </c>
      <c r="J128" s="12">
        <f>IF(I128="","",I128/G128)</f>
        <v/>
      </c>
      <c r="K128" s="10">
        <f>IF($B128="","",IF('Komisyon Tarifeleri'!J128="","",'Komisyon Tarifeleri'!J128))</f>
        <v/>
      </c>
      <c r="L128" s="11">
        <f>IF(K128="","",IF($AM$1=2,'Komisyon Tarifeleri'!V128,'Komisyon Tarifeleri'!Q128))</f>
        <v/>
      </c>
      <c r="M128" s="10">
        <f>IF(OR(K128="",$D128=""),"",K128*(1-L128/100)-$D128-IF(K128&lt;=199.99,Kargo!$E$2,IF(K128&lt;=399.99,Kargo!$E$3,$F128)))</f>
        <v/>
      </c>
      <c r="N128" s="12">
        <f>IF(M128="","",M128/K128)</f>
        <v/>
      </c>
      <c r="O128" s="10">
        <f>IF($B128="","",IF('Komisyon Tarifeleri'!L128="","",'Komisyon Tarifeleri'!L128))</f>
        <v/>
      </c>
      <c r="P128" s="11">
        <f>IF(O128="","",IF($AM$1=2,'Komisyon Tarifeleri'!W128,'Komisyon Tarifeleri'!R128))</f>
        <v/>
      </c>
      <c r="Q128" s="10">
        <f>IF(OR(O128="",$D128=""),"",O128*(1-P128/100)-$D128-IF(O128&lt;=199.99,Kargo!$E$2,IF(O128&lt;=399.99,Kargo!$E$3,$F128)))</f>
        <v/>
      </c>
      <c r="R128" s="12">
        <f>IF(Q128="","",Q128/O128)</f>
        <v/>
      </c>
      <c r="S128" s="10">
        <f>IF($B128="","",IF('Komisyon Tarifeleri'!N128="","",'Komisyon Tarifeleri'!N128))</f>
        <v/>
      </c>
      <c r="T128" s="11">
        <f>IF(S128="","",IF($AM$1=2,'Komisyon Tarifeleri'!X128,'Komisyon Tarifeleri'!S128))</f>
        <v/>
      </c>
      <c r="U128" s="10">
        <f>IF(OR(S128="",$D128=""),"",S128*(1-T128/100)-$D128-IF(S128&lt;=199.99,Kargo!$E$2,IF(S128&lt;=399.99,Kargo!$E$3,$F128)))</f>
        <v/>
      </c>
      <c r="V128" s="12">
        <f>IF(U128="","",U128/S128)</f>
        <v/>
      </c>
      <c r="W128" s="12">
        <f>IF($B128="","",IFERROR(VLOOKUP($C128,Hedefler!$A:$C,2,FALSE),0.04))</f>
        <v/>
      </c>
      <c r="X128" s="12">
        <f>IF($B128="","",IFERROR(VLOOKUP($C128,Hedefler!$A:$C,3,FALSE),0.1))</f>
        <v/>
      </c>
      <c r="Y128" s="13">
        <f>IF($B128="","",IFERROR(VLOOKUP($B128,Maliyetler!$A:$E,5,FALSE),""))</f>
        <v/>
      </c>
      <c r="Z128" s="13">
        <f>IF(OR(Y128="",Y128=0),"",Y128-1)</f>
        <v/>
      </c>
      <c r="AA128" s="14">
        <f>IF(Z128="","",IF(Z128&gt;='Komisyon Tarifeleri'!I128,IF($AM$1=2,'Komisyon Tarifeleri'!U128,'Komisyon Tarifeleri'!P128),IF(Z128&gt;='Komisyon Tarifeleri'!K128,IF($AM$1=2,'Komisyon Tarifeleri'!V128,'Komisyon Tarifeleri'!Q128),IF(Z128&gt;='Komisyon Tarifeleri'!M128,IF($AM$1=2,'Komisyon Tarifeleri'!W128,'Komisyon Tarifeleri'!R128),IF($AM$1=2,'Komisyon Tarifeleri'!X128,'Komisyon Tarifeleri'!S128)))))</f>
        <v/>
      </c>
      <c r="AB128" s="13">
        <f>IF(OR(AA128="",$D128=""),"",Z128*(1-AA128/100)-$D128-IF(Z128&lt;=199.99,Kargo!$E$2,IF(Z128&lt;=399.99,Kargo!$E$3,$F128)))</f>
        <v/>
      </c>
      <c r="AC128" s="15">
        <f>IF(AB128="","",AB128/Z128)</f>
        <v/>
      </c>
      <c r="AD128" s="10">
        <f>IF(OR($D128="",$B128=""),"",IF(AND((1-T128/100-W128)&gt;0,CEILING(($D128+$F128)/(1-T128/100-W128),1)&lt;='Komisyon Tarifeleri'!N128),CEILING(($D128+$F128)/(1-T128/100-W128),1),IF(AND((1-P128/100-W128)&gt;0,CEILING(MAX('Komisyon Tarifeleri'!M128,($D128+$F128)/(1-P128/100-W128)),1)&lt;='Komisyon Tarifeleri'!L128),CEILING(MAX('Komisyon Tarifeleri'!M128,($D128+$F128)/(1-P128/100-W128)),1),IF(AND((1-L128/100-W128)&gt;0,CEILING(MAX('Komisyon Tarifeleri'!K128,($D128+$F128)/(1-L128/100-W128)),1)&lt;='Komisyon Tarifeleri'!J128),CEILING(MAX('Komisyon Tarifeleri'!K128,($D128+$F128)/(1-L128/100-W128)),1),IF((1-H128/100-W128)&gt;0,CEILING(MAX('Komisyon Tarifeleri'!I128,($D128+$F128)/(1-H128/100-W128)),1),"İMKÂNSIZ")))))</f>
        <v/>
      </c>
      <c r="AE128" s="10">
        <f>IF(OR($D128="",$B128=""),"",IF(AND((1-T128/100-X128)&gt;0,CEILING(($D128+$F128)/(1-T128/100-X128),1)&lt;='Komisyon Tarifeleri'!N128),CEILING(($D128+$F128)/(1-T128/100-X128),1),IF(AND((1-P128/100-X128)&gt;0,CEILING(MAX('Komisyon Tarifeleri'!M128,($D128+$F128)/(1-P128/100-X128)),1)&lt;='Komisyon Tarifeleri'!L128),CEILING(MAX('Komisyon Tarifeleri'!M128,($D128+$F128)/(1-P128/100-X128)),1),IF(AND((1-L128/100-X128)&gt;0,CEILING(MAX('Komisyon Tarifeleri'!K128,($D128+$F128)/(1-L128/100-X128)),1)&lt;='Komisyon Tarifeleri'!J128),CEILING(MAX('Komisyon Tarifeleri'!K128,($D128+$F128)/(1-L128/100-X128)),1),IF((1-H128/100-X128)&gt;0,CEILING(MAX('Komisyon Tarifeleri'!I128,($D128+$F128)/(1-H128/100-X128)),1),"İMKÂNSIZ")))))</f>
        <v/>
      </c>
      <c r="AF128" s="16">
        <f>IF($D128="","",IF(AND(Y128&lt;&gt;"",AC128&lt;&gt;"",AC128&gt;=W128),Z128,IF(Y128&lt;&gt;"",AD128,AE128)))</f>
        <v/>
      </c>
      <c r="AG128" s="16">
        <f>IF(OR(AF128="",AF128="İMKÂNSIZ"),"",AF128*(1-IF(AF128&gt;='Komisyon Tarifeleri'!I128,IF($AM$1=2,'Komisyon Tarifeleri'!U128,'Komisyon Tarifeleri'!P128),IF(AF128&gt;='Komisyon Tarifeleri'!K128,IF($AM$1=2,'Komisyon Tarifeleri'!V128,'Komisyon Tarifeleri'!Q128),IF(AF128&gt;='Komisyon Tarifeleri'!M128,IF($AM$1=2,'Komisyon Tarifeleri'!W128,'Komisyon Tarifeleri'!R128),IF($AM$1=2,'Komisyon Tarifeleri'!X128,'Komisyon Tarifeleri'!S128))))/100)-$D128-IF(AF128&lt;=199.99,Kargo!$E$2,IF(AF128&lt;=399.99,Kargo!$E$3,$F128)))</f>
        <v/>
      </c>
      <c r="AH128" s="17">
        <f>IF(AG128="","",AG128/AF128)</f>
        <v/>
      </c>
      <c r="AI128" s="18">
        <f>IF($D128="","",IF(Y128="","BUYBOX YOK → hedef kârla min fiyat",IF(AC128&gt;=W128,"✓ BUYBOX ALTINA GİR","BUYBOX ALTI KÂRSIZ → min kârlı fiyat")))</f>
        <v/>
      </c>
      <c r="AJ128" s="10">
        <f>IF($B128="","",IFERROR(VLOOKUP($B128,Maliyetler!$A:$G,6,FALSE),""))</f>
        <v/>
      </c>
      <c r="AK128">
        <f>IF($B128="","",IFERROR(VLOOKUP($B128,Maliyetler!$A:$G,7,FALSE),""))</f>
        <v/>
      </c>
      <c r="AO128" s="21">
        <f>IF($B128="","",IFERROR(VLOOKUP($B128&amp;"",'Plus Tarifeleri'!$C:$Q,11,FALSE),""))</f>
        <v/>
      </c>
      <c r="AP128" s="22">
        <f>IF(AO128="","",IFERROR(IF($AM$1=2,VLOOKUP($B128&amp;"",'Plus Tarifeleri'!$C:$Q,15,FALSE),VLOOKUP($B128&amp;"",'Plus Tarifeleri'!$C:$Q,13,FALSE)),""))</f>
        <v/>
      </c>
      <c r="AQ128" s="21">
        <f>IF(OR(AO128="",AP128="",$D128=""),"",AO128*(1-AP128/100)-$D128-IF(AO128&lt;=199.99,Kargo!$E$2,IF(AO128&lt;=399.99,Kargo!$E$3,$F128)))</f>
        <v/>
      </c>
      <c r="AR128" s="23">
        <f>IF(AQ128="","",AQ128/AO128)</f>
        <v/>
      </c>
      <c r="AS128" s="24">
        <f>IF(OR(AQ128="",AG128=""),"",AQ128-AG128)</f>
        <v/>
      </c>
    </row>
    <row r="129">
      <c r="A129">
        <f>IF('Komisyon Tarifeleri'!A129="","",'Komisyon Tarifeleri'!A129)</f>
        <v/>
      </c>
      <c r="B129">
        <f>IF('Komisyon Tarifeleri'!B129="","",'Komisyon Tarifeleri'!B129&amp;"")</f>
        <v/>
      </c>
      <c r="C129">
        <f>IF($B129="","",'Komisyon Tarifeleri'!F129)</f>
        <v/>
      </c>
      <c r="D129" s="10">
        <f>IF($B129="","",IFERROR(VLOOKUP($B129,Maliyetler!$A:$E,3,FALSE),""))</f>
        <v/>
      </c>
      <c r="E129">
        <f>IF($B129="","",IFERROR(VLOOKUP($B129,Maliyetler!$A:$E,4,FALSE),1))</f>
        <v/>
      </c>
      <c r="F129" s="10">
        <f>IF($B129="","",IFERROR(VLOOKUP(MIN(20,MAX(1,ROUND($E129,0))),Kargo!$A:$B,2,FALSE),99.46))</f>
        <v/>
      </c>
      <c r="G129" s="10">
        <f>IF($B129="","",IF(IF(N('Komisyon Tarifeleri'!AA129)&gt;='Komisyon Tarifeleri'!I129,'Komisyon Tarifeleri'!AA129,'Komisyon Tarifeleri'!I129)="","",IF(N('Komisyon Tarifeleri'!AA129)&gt;='Komisyon Tarifeleri'!I129,'Komisyon Tarifeleri'!AA129,'Komisyon Tarifeleri'!I129)))</f>
        <v/>
      </c>
      <c r="H129" s="11">
        <f>IF(G129="","",IF($AM$1=2,'Komisyon Tarifeleri'!U129,'Komisyon Tarifeleri'!P129))</f>
        <v/>
      </c>
      <c r="I129" s="10">
        <f>IF(OR(G129="",$D129=""),"",G129*(1-H129/100)-$D129-IF(G129&lt;=199.99,Kargo!$E$2,IF(G129&lt;=399.99,Kargo!$E$3,$F129)))</f>
        <v/>
      </c>
      <c r="J129" s="12">
        <f>IF(I129="","",I129/G129)</f>
        <v/>
      </c>
      <c r="K129" s="10">
        <f>IF($B129="","",IF('Komisyon Tarifeleri'!J129="","",'Komisyon Tarifeleri'!J129))</f>
        <v/>
      </c>
      <c r="L129" s="11">
        <f>IF(K129="","",IF($AM$1=2,'Komisyon Tarifeleri'!V129,'Komisyon Tarifeleri'!Q129))</f>
        <v/>
      </c>
      <c r="M129" s="10">
        <f>IF(OR(K129="",$D129=""),"",K129*(1-L129/100)-$D129-IF(K129&lt;=199.99,Kargo!$E$2,IF(K129&lt;=399.99,Kargo!$E$3,$F129)))</f>
        <v/>
      </c>
      <c r="N129" s="12">
        <f>IF(M129="","",M129/K129)</f>
        <v/>
      </c>
      <c r="O129" s="10">
        <f>IF($B129="","",IF('Komisyon Tarifeleri'!L129="","",'Komisyon Tarifeleri'!L129))</f>
        <v/>
      </c>
      <c r="P129" s="11">
        <f>IF(O129="","",IF($AM$1=2,'Komisyon Tarifeleri'!W129,'Komisyon Tarifeleri'!R129))</f>
        <v/>
      </c>
      <c r="Q129" s="10">
        <f>IF(OR(O129="",$D129=""),"",O129*(1-P129/100)-$D129-IF(O129&lt;=199.99,Kargo!$E$2,IF(O129&lt;=399.99,Kargo!$E$3,$F129)))</f>
        <v/>
      </c>
      <c r="R129" s="12">
        <f>IF(Q129="","",Q129/O129)</f>
        <v/>
      </c>
      <c r="S129" s="10">
        <f>IF($B129="","",IF('Komisyon Tarifeleri'!N129="","",'Komisyon Tarifeleri'!N129))</f>
        <v/>
      </c>
      <c r="T129" s="11">
        <f>IF(S129="","",IF($AM$1=2,'Komisyon Tarifeleri'!X129,'Komisyon Tarifeleri'!S129))</f>
        <v/>
      </c>
      <c r="U129" s="10">
        <f>IF(OR(S129="",$D129=""),"",S129*(1-T129/100)-$D129-IF(S129&lt;=199.99,Kargo!$E$2,IF(S129&lt;=399.99,Kargo!$E$3,$F129)))</f>
        <v/>
      </c>
      <c r="V129" s="12">
        <f>IF(U129="","",U129/S129)</f>
        <v/>
      </c>
      <c r="W129" s="12">
        <f>IF($B129="","",IFERROR(VLOOKUP($C129,Hedefler!$A:$C,2,FALSE),0.04))</f>
        <v/>
      </c>
      <c r="X129" s="12">
        <f>IF($B129="","",IFERROR(VLOOKUP($C129,Hedefler!$A:$C,3,FALSE),0.1))</f>
        <v/>
      </c>
      <c r="Y129" s="13">
        <f>IF($B129="","",IFERROR(VLOOKUP($B129,Maliyetler!$A:$E,5,FALSE),""))</f>
        <v/>
      </c>
      <c r="Z129" s="13">
        <f>IF(OR(Y129="",Y129=0),"",Y129-1)</f>
        <v/>
      </c>
      <c r="AA129" s="14">
        <f>IF(Z129="","",IF(Z129&gt;='Komisyon Tarifeleri'!I129,IF($AM$1=2,'Komisyon Tarifeleri'!U129,'Komisyon Tarifeleri'!P129),IF(Z129&gt;='Komisyon Tarifeleri'!K129,IF($AM$1=2,'Komisyon Tarifeleri'!V129,'Komisyon Tarifeleri'!Q129),IF(Z129&gt;='Komisyon Tarifeleri'!M129,IF($AM$1=2,'Komisyon Tarifeleri'!W129,'Komisyon Tarifeleri'!R129),IF($AM$1=2,'Komisyon Tarifeleri'!X129,'Komisyon Tarifeleri'!S129)))))</f>
        <v/>
      </c>
      <c r="AB129" s="13">
        <f>IF(OR(AA129="",$D129=""),"",Z129*(1-AA129/100)-$D129-IF(Z129&lt;=199.99,Kargo!$E$2,IF(Z129&lt;=399.99,Kargo!$E$3,$F129)))</f>
        <v/>
      </c>
      <c r="AC129" s="15">
        <f>IF(AB129="","",AB129/Z129)</f>
        <v/>
      </c>
      <c r="AD129" s="10">
        <f>IF(OR($D129="",$B129=""),"",IF(AND((1-T129/100-W129)&gt;0,CEILING(($D129+$F129)/(1-T129/100-W129),1)&lt;='Komisyon Tarifeleri'!N129),CEILING(($D129+$F129)/(1-T129/100-W129),1),IF(AND((1-P129/100-W129)&gt;0,CEILING(MAX('Komisyon Tarifeleri'!M129,($D129+$F129)/(1-P129/100-W129)),1)&lt;='Komisyon Tarifeleri'!L129),CEILING(MAX('Komisyon Tarifeleri'!M129,($D129+$F129)/(1-P129/100-W129)),1),IF(AND((1-L129/100-W129)&gt;0,CEILING(MAX('Komisyon Tarifeleri'!K129,($D129+$F129)/(1-L129/100-W129)),1)&lt;='Komisyon Tarifeleri'!J129),CEILING(MAX('Komisyon Tarifeleri'!K129,($D129+$F129)/(1-L129/100-W129)),1),IF((1-H129/100-W129)&gt;0,CEILING(MAX('Komisyon Tarifeleri'!I129,($D129+$F129)/(1-H129/100-W129)),1),"İMKÂNSIZ")))))</f>
        <v/>
      </c>
      <c r="AE129" s="10">
        <f>IF(OR($D129="",$B129=""),"",IF(AND((1-T129/100-X129)&gt;0,CEILING(($D129+$F129)/(1-T129/100-X129),1)&lt;='Komisyon Tarifeleri'!N129),CEILING(($D129+$F129)/(1-T129/100-X129),1),IF(AND((1-P129/100-X129)&gt;0,CEILING(MAX('Komisyon Tarifeleri'!M129,($D129+$F129)/(1-P129/100-X129)),1)&lt;='Komisyon Tarifeleri'!L129),CEILING(MAX('Komisyon Tarifeleri'!M129,($D129+$F129)/(1-P129/100-X129)),1),IF(AND((1-L129/100-X129)&gt;0,CEILING(MAX('Komisyon Tarifeleri'!K129,($D129+$F129)/(1-L129/100-X129)),1)&lt;='Komisyon Tarifeleri'!J129),CEILING(MAX('Komisyon Tarifeleri'!K129,($D129+$F129)/(1-L129/100-X129)),1),IF((1-H129/100-X129)&gt;0,CEILING(MAX('Komisyon Tarifeleri'!I129,($D129+$F129)/(1-H129/100-X129)),1),"İMKÂNSIZ")))))</f>
        <v/>
      </c>
      <c r="AF129" s="16">
        <f>IF($D129="","",IF(AND(Y129&lt;&gt;"",AC129&lt;&gt;"",AC129&gt;=W129),Z129,IF(Y129&lt;&gt;"",AD129,AE129)))</f>
        <v/>
      </c>
      <c r="AG129" s="16">
        <f>IF(OR(AF129="",AF129="İMKÂNSIZ"),"",AF129*(1-IF(AF129&gt;='Komisyon Tarifeleri'!I129,IF($AM$1=2,'Komisyon Tarifeleri'!U129,'Komisyon Tarifeleri'!P129),IF(AF129&gt;='Komisyon Tarifeleri'!K129,IF($AM$1=2,'Komisyon Tarifeleri'!V129,'Komisyon Tarifeleri'!Q129),IF(AF129&gt;='Komisyon Tarifeleri'!M129,IF($AM$1=2,'Komisyon Tarifeleri'!W129,'Komisyon Tarifeleri'!R129),IF($AM$1=2,'Komisyon Tarifeleri'!X129,'Komisyon Tarifeleri'!S129))))/100)-$D129-IF(AF129&lt;=199.99,Kargo!$E$2,IF(AF129&lt;=399.99,Kargo!$E$3,$F129)))</f>
        <v/>
      </c>
      <c r="AH129" s="17">
        <f>IF(AG129="","",AG129/AF129)</f>
        <v/>
      </c>
      <c r="AI129" s="18">
        <f>IF($D129="","",IF(Y129="","BUYBOX YOK → hedef kârla min fiyat",IF(AC129&gt;=W129,"✓ BUYBOX ALTINA GİR","BUYBOX ALTI KÂRSIZ → min kârlı fiyat")))</f>
        <v/>
      </c>
      <c r="AJ129" s="10">
        <f>IF($B129="","",IFERROR(VLOOKUP($B129,Maliyetler!$A:$G,6,FALSE),""))</f>
        <v/>
      </c>
      <c r="AK129">
        <f>IF($B129="","",IFERROR(VLOOKUP($B129,Maliyetler!$A:$G,7,FALSE),""))</f>
        <v/>
      </c>
      <c r="AO129" s="21">
        <f>IF($B129="","",IFERROR(VLOOKUP($B129&amp;"",'Plus Tarifeleri'!$C:$Q,11,FALSE),""))</f>
        <v/>
      </c>
      <c r="AP129" s="22">
        <f>IF(AO129="","",IFERROR(IF($AM$1=2,VLOOKUP($B129&amp;"",'Plus Tarifeleri'!$C:$Q,15,FALSE),VLOOKUP($B129&amp;"",'Plus Tarifeleri'!$C:$Q,13,FALSE)),""))</f>
        <v/>
      </c>
      <c r="AQ129" s="21">
        <f>IF(OR(AO129="",AP129="",$D129=""),"",AO129*(1-AP129/100)-$D129-IF(AO129&lt;=199.99,Kargo!$E$2,IF(AO129&lt;=399.99,Kargo!$E$3,$F129)))</f>
        <v/>
      </c>
      <c r="AR129" s="23">
        <f>IF(AQ129="","",AQ129/AO129)</f>
        <v/>
      </c>
      <c r="AS129" s="24">
        <f>IF(OR(AQ129="",AG129=""),"",AQ129-AG129)</f>
        <v/>
      </c>
    </row>
    <row r="130">
      <c r="A130">
        <f>IF('Komisyon Tarifeleri'!A130="","",'Komisyon Tarifeleri'!A130)</f>
        <v/>
      </c>
      <c r="B130">
        <f>IF('Komisyon Tarifeleri'!B130="","",'Komisyon Tarifeleri'!B130&amp;"")</f>
        <v/>
      </c>
      <c r="C130">
        <f>IF($B130="","",'Komisyon Tarifeleri'!F130)</f>
        <v/>
      </c>
      <c r="D130" s="10">
        <f>IF($B130="","",IFERROR(VLOOKUP($B130,Maliyetler!$A:$E,3,FALSE),""))</f>
        <v/>
      </c>
      <c r="E130">
        <f>IF($B130="","",IFERROR(VLOOKUP($B130,Maliyetler!$A:$E,4,FALSE),1))</f>
        <v/>
      </c>
      <c r="F130" s="10">
        <f>IF($B130="","",IFERROR(VLOOKUP(MIN(20,MAX(1,ROUND($E130,0))),Kargo!$A:$B,2,FALSE),99.46))</f>
        <v/>
      </c>
      <c r="G130" s="10">
        <f>IF($B130="","",IF(IF(N('Komisyon Tarifeleri'!AA130)&gt;='Komisyon Tarifeleri'!I130,'Komisyon Tarifeleri'!AA130,'Komisyon Tarifeleri'!I130)="","",IF(N('Komisyon Tarifeleri'!AA130)&gt;='Komisyon Tarifeleri'!I130,'Komisyon Tarifeleri'!AA130,'Komisyon Tarifeleri'!I130)))</f>
        <v/>
      </c>
      <c r="H130" s="11">
        <f>IF(G130="","",IF($AM$1=2,'Komisyon Tarifeleri'!U130,'Komisyon Tarifeleri'!P130))</f>
        <v/>
      </c>
      <c r="I130" s="10">
        <f>IF(OR(G130="",$D130=""),"",G130*(1-H130/100)-$D130-IF(G130&lt;=199.99,Kargo!$E$2,IF(G130&lt;=399.99,Kargo!$E$3,$F130)))</f>
        <v/>
      </c>
      <c r="J130" s="12">
        <f>IF(I130="","",I130/G130)</f>
        <v/>
      </c>
      <c r="K130" s="10">
        <f>IF($B130="","",IF('Komisyon Tarifeleri'!J130="","",'Komisyon Tarifeleri'!J130))</f>
        <v/>
      </c>
      <c r="L130" s="11">
        <f>IF(K130="","",IF($AM$1=2,'Komisyon Tarifeleri'!V130,'Komisyon Tarifeleri'!Q130))</f>
        <v/>
      </c>
      <c r="M130" s="10">
        <f>IF(OR(K130="",$D130=""),"",K130*(1-L130/100)-$D130-IF(K130&lt;=199.99,Kargo!$E$2,IF(K130&lt;=399.99,Kargo!$E$3,$F130)))</f>
        <v/>
      </c>
      <c r="N130" s="12">
        <f>IF(M130="","",M130/K130)</f>
        <v/>
      </c>
      <c r="O130" s="10">
        <f>IF($B130="","",IF('Komisyon Tarifeleri'!L130="","",'Komisyon Tarifeleri'!L130))</f>
        <v/>
      </c>
      <c r="P130" s="11">
        <f>IF(O130="","",IF($AM$1=2,'Komisyon Tarifeleri'!W130,'Komisyon Tarifeleri'!R130))</f>
        <v/>
      </c>
      <c r="Q130" s="10">
        <f>IF(OR(O130="",$D130=""),"",O130*(1-P130/100)-$D130-IF(O130&lt;=199.99,Kargo!$E$2,IF(O130&lt;=399.99,Kargo!$E$3,$F130)))</f>
        <v/>
      </c>
      <c r="R130" s="12">
        <f>IF(Q130="","",Q130/O130)</f>
        <v/>
      </c>
      <c r="S130" s="10">
        <f>IF($B130="","",IF('Komisyon Tarifeleri'!N130="","",'Komisyon Tarifeleri'!N130))</f>
        <v/>
      </c>
      <c r="T130" s="11">
        <f>IF(S130="","",IF($AM$1=2,'Komisyon Tarifeleri'!X130,'Komisyon Tarifeleri'!S130))</f>
        <v/>
      </c>
      <c r="U130" s="10">
        <f>IF(OR(S130="",$D130=""),"",S130*(1-T130/100)-$D130-IF(S130&lt;=199.99,Kargo!$E$2,IF(S130&lt;=399.99,Kargo!$E$3,$F130)))</f>
        <v/>
      </c>
      <c r="V130" s="12">
        <f>IF(U130="","",U130/S130)</f>
        <v/>
      </c>
      <c r="W130" s="12">
        <f>IF($B130="","",IFERROR(VLOOKUP($C130,Hedefler!$A:$C,2,FALSE),0.04))</f>
        <v/>
      </c>
      <c r="X130" s="12">
        <f>IF($B130="","",IFERROR(VLOOKUP($C130,Hedefler!$A:$C,3,FALSE),0.1))</f>
        <v/>
      </c>
      <c r="Y130" s="13">
        <f>IF($B130="","",IFERROR(VLOOKUP($B130,Maliyetler!$A:$E,5,FALSE),""))</f>
        <v/>
      </c>
      <c r="Z130" s="13">
        <f>IF(OR(Y130="",Y130=0),"",Y130-1)</f>
        <v/>
      </c>
      <c r="AA130" s="14">
        <f>IF(Z130="","",IF(Z130&gt;='Komisyon Tarifeleri'!I130,IF($AM$1=2,'Komisyon Tarifeleri'!U130,'Komisyon Tarifeleri'!P130),IF(Z130&gt;='Komisyon Tarifeleri'!K130,IF($AM$1=2,'Komisyon Tarifeleri'!V130,'Komisyon Tarifeleri'!Q130),IF(Z130&gt;='Komisyon Tarifeleri'!M130,IF($AM$1=2,'Komisyon Tarifeleri'!W130,'Komisyon Tarifeleri'!R130),IF($AM$1=2,'Komisyon Tarifeleri'!X130,'Komisyon Tarifeleri'!S130)))))</f>
        <v/>
      </c>
      <c r="AB130" s="13">
        <f>IF(OR(AA130="",$D130=""),"",Z130*(1-AA130/100)-$D130-IF(Z130&lt;=199.99,Kargo!$E$2,IF(Z130&lt;=399.99,Kargo!$E$3,$F130)))</f>
        <v/>
      </c>
      <c r="AC130" s="15">
        <f>IF(AB130="","",AB130/Z130)</f>
        <v/>
      </c>
      <c r="AD130" s="10">
        <f>IF(OR($D130="",$B130=""),"",IF(AND((1-T130/100-W130)&gt;0,CEILING(($D130+$F130)/(1-T130/100-W130),1)&lt;='Komisyon Tarifeleri'!N130),CEILING(($D130+$F130)/(1-T130/100-W130),1),IF(AND((1-P130/100-W130)&gt;0,CEILING(MAX('Komisyon Tarifeleri'!M130,($D130+$F130)/(1-P130/100-W130)),1)&lt;='Komisyon Tarifeleri'!L130),CEILING(MAX('Komisyon Tarifeleri'!M130,($D130+$F130)/(1-P130/100-W130)),1),IF(AND((1-L130/100-W130)&gt;0,CEILING(MAX('Komisyon Tarifeleri'!K130,($D130+$F130)/(1-L130/100-W130)),1)&lt;='Komisyon Tarifeleri'!J130),CEILING(MAX('Komisyon Tarifeleri'!K130,($D130+$F130)/(1-L130/100-W130)),1),IF((1-H130/100-W130)&gt;0,CEILING(MAX('Komisyon Tarifeleri'!I130,($D130+$F130)/(1-H130/100-W130)),1),"İMKÂNSIZ")))))</f>
        <v/>
      </c>
      <c r="AE130" s="10">
        <f>IF(OR($D130="",$B130=""),"",IF(AND((1-T130/100-X130)&gt;0,CEILING(($D130+$F130)/(1-T130/100-X130),1)&lt;='Komisyon Tarifeleri'!N130),CEILING(($D130+$F130)/(1-T130/100-X130),1),IF(AND((1-P130/100-X130)&gt;0,CEILING(MAX('Komisyon Tarifeleri'!M130,($D130+$F130)/(1-P130/100-X130)),1)&lt;='Komisyon Tarifeleri'!L130),CEILING(MAX('Komisyon Tarifeleri'!M130,($D130+$F130)/(1-P130/100-X130)),1),IF(AND((1-L130/100-X130)&gt;0,CEILING(MAX('Komisyon Tarifeleri'!K130,($D130+$F130)/(1-L130/100-X130)),1)&lt;='Komisyon Tarifeleri'!J130),CEILING(MAX('Komisyon Tarifeleri'!K130,($D130+$F130)/(1-L130/100-X130)),1),IF((1-H130/100-X130)&gt;0,CEILING(MAX('Komisyon Tarifeleri'!I130,($D130+$F130)/(1-H130/100-X130)),1),"İMKÂNSIZ")))))</f>
        <v/>
      </c>
      <c r="AF130" s="16">
        <f>IF($D130="","",IF(AND(Y130&lt;&gt;"",AC130&lt;&gt;"",AC130&gt;=W130),Z130,IF(Y130&lt;&gt;"",AD130,AE130)))</f>
        <v/>
      </c>
      <c r="AG130" s="16">
        <f>IF(OR(AF130="",AF130="İMKÂNSIZ"),"",AF130*(1-IF(AF130&gt;='Komisyon Tarifeleri'!I130,IF($AM$1=2,'Komisyon Tarifeleri'!U130,'Komisyon Tarifeleri'!P130),IF(AF130&gt;='Komisyon Tarifeleri'!K130,IF($AM$1=2,'Komisyon Tarifeleri'!V130,'Komisyon Tarifeleri'!Q130),IF(AF130&gt;='Komisyon Tarifeleri'!M130,IF($AM$1=2,'Komisyon Tarifeleri'!W130,'Komisyon Tarifeleri'!R130),IF($AM$1=2,'Komisyon Tarifeleri'!X130,'Komisyon Tarifeleri'!S130))))/100)-$D130-IF(AF130&lt;=199.99,Kargo!$E$2,IF(AF130&lt;=399.99,Kargo!$E$3,$F130)))</f>
        <v/>
      </c>
      <c r="AH130" s="17">
        <f>IF(AG130="","",AG130/AF130)</f>
        <v/>
      </c>
      <c r="AI130" s="18">
        <f>IF($D130="","",IF(Y130="","BUYBOX YOK → hedef kârla min fiyat",IF(AC130&gt;=W130,"✓ BUYBOX ALTINA GİR","BUYBOX ALTI KÂRSIZ → min kârlı fiyat")))</f>
        <v/>
      </c>
      <c r="AJ130" s="10">
        <f>IF($B130="","",IFERROR(VLOOKUP($B130,Maliyetler!$A:$G,6,FALSE),""))</f>
        <v/>
      </c>
      <c r="AK130">
        <f>IF($B130="","",IFERROR(VLOOKUP($B130,Maliyetler!$A:$G,7,FALSE),""))</f>
        <v/>
      </c>
      <c r="AO130" s="21">
        <f>IF($B130="","",IFERROR(VLOOKUP($B130&amp;"",'Plus Tarifeleri'!$C:$Q,11,FALSE),""))</f>
        <v/>
      </c>
      <c r="AP130" s="22">
        <f>IF(AO130="","",IFERROR(IF($AM$1=2,VLOOKUP($B130&amp;"",'Plus Tarifeleri'!$C:$Q,15,FALSE),VLOOKUP($B130&amp;"",'Plus Tarifeleri'!$C:$Q,13,FALSE)),""))</f>
        <v/>
      </c>
      <c r="AQ130" s="21">
        <f>IF(OR(AO130="",AP130="",$D130=""),"",AO130*(1-AP130/100)-$D130-IF(AO130&lt;=199.99,Kargo!$E$2,IF(AO130&lt;=399.99,Kargo!$E$3,$F130)))</f>
        <v/>
      </c>
      <c r="AR130" s="23">
        <f>IF(AQ130="","",AQ130/AO130)</f>
        <v/>
      </c>
      <c r="AS130" s="24">
        <f>IF(OR(AQ130="",AG130=""),"",AQ130-AG130)</f>
        <v/>
      </c>
    </row>
    <row r="131">
      <c r="A131">
        <f>IF('Komisyon Tarifeleri'!A131="","",'Komisyon Tarifeleri'!A131)</f>
        <v/>
      </c>
      <c r="B131">
        <f>IF('Komisyon Tarifeleri'!B131="","",'Komisyon Tarifeleri'!B131&amp;"")</f>
        <v/>
      </c>
      <c r="C131">
        <f>IF($B131="","",'Komisyon Tarifeleri'!F131)</f>
        <v/>
      </c>
      <c r="D131" s="10">
        <f>IF($B131="","",IFERROR(VLOOKUP($B131,Maliyetler!$A:$E,3,FALSE),""))</f>
        <v/>
      </c>
      <c r="E131">
        <f>IF($B131="","",IFERROR(VLOOKUP($B131,Maliyetler!$A:$E,4,FALSE),1))</f>
        <v/>
      </c>
      <c r="F131" s="10">
        <f>IF($B131="","",IFERROR(VLOOKUP(MIN(20,MAX(1,ROUND($E131,0))),Kargo!$A:$B,2,FALSE),99.46))</f>
        <v/>
      </c>
      <c r="G131" s="10">
        <f>IF($B131="","",IF(IF(N('Komisyon Tarifeleri'!AA131)&gt;='Komisyon Tarifeleri'!I131,'Komisyon Tarifeleri'!AA131,'Komisyon Tarifeleri'!I131)="","",IF(N('Komisyon Tarifeleri'!AA131)&gt;='Komisyon Tarifeleri'!I131,'Komisyon Tarifeleri'!AA131,'Komisyon Tarifeleri'!I131)))</f>
        <v/>
      </c>
      <c r="H131" s="11">
        <f>IF(G131="","",IF($AM$1=2,'Komisyon Tarifeleri'!U131,'Komisyon Tarifeleri'!P131))</f>
        <v/>
      </c>
      <c r="I131" s="10">
        <f>IF(OR(G131="",$D131=""),"",G131*(1-H131/100)-$D131-IF(G131&lt;=199.99,Kargo!$E$2,IF(G131&lt;=399.99,Kargo!$E$3,$F131)))</f>
        <v/>
      </c>
      <c r="J131" s="12">
        <f>IF(I131="","",I131/G131)</f>
        <v/>
      </c>
      <c r="K131" s="10">
        <f>IF($B131="","",IF('Komisyon Tarifeleri'!J131="","",'Komisyon Tarifeleri'!J131))</f>
        <v/>
      </c>
      <c r="L131" s="11">
        <f>IF(K131="","",IF($AM$1=2,'Komisyon Tarifeleri'!V131,'Komisyon Tarifeleri'!Q131))</f>
        <v/>
      </c>
      <c r="M131" s="10">
        <f>IF(OR(K131="",$D131=""),"",K131*(1-L131/100)-$D131-IF(K131&lt;=199.99,Kargo!$E$2,IF(K131&lt;=399.99,Kargo!$E$3,$F131)))</f>
        <v/>
      </c>
      <c r="N131" s="12">
        <f>IF(M131="","",M131/K131)</f>
        <v/>
      </c>
      <c r="O131" s="10">
        <f>IF($B131="","",IF('Komisyon Tarifeleri'!L131="","",'Komisyon Tarifeleri'!L131))</f>
        <v/>
      </c>
      <c r="P131" s="11">
        <f>IF(O131="","",IF($AM$1=2,'Komisyon Tarifeleri'!W131,'Komisyon Tarifeleri'!R131))</f>
        <v/>
      </c>
      <c r="Q131" s="10">
        <f>IF(OR(O131="",$D131=""),"",O131*(1-P131/100)-$D131-IF(O131&lt;=199.99,Kargo!$E$2,IF(O131&lt;=399.99,Kargo!$E$3,$F131)))</f>
        <v/>
      </c>
      <c r="R131" s="12">
        <f>IF(Q131="","",Q131/O131)</f>
        <v/>
      </c>
      <c r="S131" s="10">
        <f>IF($B131="","",IF('Komisyon Tarifeleri'!N131="","",'Komisyon Tarifeleri'!N131))</f>
        <v/>
      </c>
      <c r="T131" s="11">
        <f>IF(S131="","",IF($AM$1=2,'Komisyon Tarifeleri'!X131,'Komisyon Tarifeleri'!S131))</f>
        <v/>
      </c>
      <c r="U131" s="10">
        <f>IF(OR(S131="",$D131=""),"",S131*(1-T131/100)-$D131-IF(S131&lt;=199.99,Kargo!$E$2,IF(S131&lt;=399.99,Kargo!$E$3,$F131)))</f>
        <v/>
      </c>
      <c r="V131" s="12">
        <f>IF(U131="","",U131/S131)</f>
        <v/>
      </c>
      <c r="W131" s="12">
        <f>IF($B131="","",IFERROR(VLOOKUP($C131,Hedefler!$A:$C,2,FALSE),0.04))</f>
        <v/>
      </c>
      <c r="X131" s="12">
        <f>IF($B131="","",IFERROR(VLOOKUP($C131,Hedefler!$A:$C,3,FALSE),0.1))</f>
        <v/>
      </c>
      <c r="Y131" s="13">
        <f>IF($B131="","",IFERROR(VLOOKUP($B131,Maliyetler!$A:$E,5,FALSE),""))</f>
        <v/>
      </c>
      <c r="Z131" s="13">
        <f>IF(OR(Y131="",Y131=0),"",Y131-1)</f>
        <v/>
      </c>
      <c r="AA131" s="14">
        <f>IF(Z131="","",IF(Z131&gt;='Komisyon Tarifeleri'!I131,IF($AM$1=2,'Komisyon Tarifeleri'!U131,'Komisyon Tarifeleri'!P131),IF(Z131&gt;='Komisyon Tarifeleri'!K131,IF($AM$1=2,'Komisyon Tarifeleri'!V131,'Komisyon Tarifeleri'!Q131),IF(Z131&gt;='Komisyon Tarifeleri'!M131,IF($AM$1=2,'Komisyon Tarifeleri'!W131,'Komisyon Tarifeleri'!R131),IF($AM$1=2,'Komisyon Tarifeleri'!X131,'Komisyon Tarifeleri'!S131)))))</f>
        <v/>
      </c>
      <c r="AB131" s="13">
        <f>IF(OR(AA131="",$D131=""),"",Z131*(1-AA131/100)-$D131-IF(Z131&lt;=199.99,Kargo!$E$2,IF(Z131&lt;=399.99,Kargo!$E$3,$F131)))</f>
        <v/>
      </c>
      <c r="AC131" s="15">
        <f>IF(AB131="","",AB131/Z131)</f>
        <v/>
      </c>
      <c r="AD131" s="10">
        <f>IF(OR($D131="",$B131=""),"",IF(AND((1-T131/100-W131)&gt;0,CEILING(($D131+$F131)/(1-T131/100-W131),1)&lt;='Komisyon Tarifeleri'!N131),CEILING(($D131+$F131)/(1-T131/100-W131),1),IF(AND((1-P131/100-W131)&gt;0,CEILING(MAX('Komisyon Tarifeleri'!M131,($D131+$F131)/(1-P131/100-W131)),1)&lt;='Komisyon Tarifeleri'!L131),CEILING(MAX('Komisyon Tarifeleri'!M131,($D131+$F131)/(1-P131/100-W131)),1),IF(AND((1-L131/100-W131)&gt;0,CEILING(MAX('Komisyon Tarifeleri'!K131,($D131+$F131)/(1-L131/100-W131)),1)&lt;='Komisyon Tarifeleri'!J131),CEILING(MAX('Komisyon Tarifeleri'!K131,($D131+$F131)/(1-L131/100-W131)),1),IF((1-H131/100-W131)&gt;0,CEILING(MAX('Komisyon Tarifeleri'!I131,($D131+$F131)/(1-H131/100-W131)),1),"İMKÂNSIZ")))))</f>
        <v/>
      </c>
      <c r="AE131" s="10">
        <f>IF(OR($D131="",$B131=""),"",IF(AND((1-T131/100-X131)&gt;0,CEILING(($D131+$F131)/(1-T131/100-X131),1)&lt;='Komisyon Tarifeleri'!N131),CEILING(($D131+$F131)/(1-T131/100-X131),1),IF(AND((1-P131/100-X131)&gt;0,CEILING(MAX('Komisyon Tarifeleri'!M131,($D131+$F131)/(1-P131/100-X131)),1)&lt;='Komisyon Tarifeleri'!L131),CEILING(MAX('Komisyon Tarifeleri'!M131,($D131+$F131)/(1-P131/100-X131)),1),IF(AND((1-L131/100-X131)&gt;0,CEILING(MAX('Komisyon Tarifeleri'!K131,($D131+$F131)/(1-L131/100-X131)),1)&lt;='Komisyon Tarifeleri'!J131),CEILING(MAX('Komisyon Tarifeleri'!K131,($D131+$F131)/(1-L131/100-X131)),1),IF((1-H131/100-X131)&gt;0,CEILING(MAX('Komisyon Tarifeleri'!I131,($D131+$F131)/(1-H131/100-X131)),1),"İMKÂNSIZ")))))</f>
        <v/>
      </c>
      <c r="AF131" s="16">
        <f>IF($D131="","",IF(AND(Y131&lt;&gt;"",AC131&lt;&gt;"",AC131&gt;=W131),Z131,IF(Y131&lt;&gt;"",AD131,AE131)))</f>
        <v/>
      </c>
      <c r="AG131" s="16">
        <f>IF(OR(AF131="",AF131="İMKÂNSIZ"),"",AF131*(1-IF(AF131&gt;='Komisyon Tarifeleri'!I131,IF($AM$1=2,'Komisyon Tarifeleri'!U131,'Komisyon Tarifeleri'!P131),IF(AF131&gt;='Komisyon Tarifeleri'!K131,IF($AM$1=2,'Komisyon Tarifeleri'!V131,'Komisyon Tarifeleri'!Q131),IF(AF131&gt;='Komisyon Tarifeleri'!M131,IF($AM$1=2,'Komisyon Tarifeleri'!W131,'Komisyon Tarifeleri'!R131),IF($AM$1=2,'Komisyon Tarifeleri'!X131,'Komisyon Tarifeleri'!S131))))/100)-$D131-IF(AF131&lt;=199.99,Kargo!$E$2,IF(AF131&lt;=399.99,Kargo!$E$3,$F131)))</f>
        <v/>
      </c>
      <c r="AH131" s="17">
        <f>IF(AG131="","",AG131/AF131)</f>
        <v/>
      </c>
      <c r="AI131" s="18">
        <f>IF($D131="","",IF(Y131="","BUYBOX YOK → hedef kârla min fiyat",IF(AC131&gt;=W131,"✓ BUYBOX ALTINA GİR","BUYBOX ALTI KÂRSIZ → min kârlı fiyat")))</f>
        <v/>
      </c>
      <c r="AJ131" s="10">
        <f>IF($B131="","",IFERROR(VLOOKUP($B131,Maliyetler!$A:$G,6,FALSE),""))</f>
        <v/>
      </c>
      <c r="AK131">
        <f>IF($B131="","",IFERROR(VLOOKUP($B131,Maliyetler!$A:$G,7,FALSE),""))</f>
        <v/>
      </c>
      <c r="AO131" s="21">
        <f>IF($B131="","",IFERROR(VLOOKUP($B131&amp;"",'Plus Tarifeleri'!$C:$Q,11,FALSE),""))</f>
        <v/>
      </c>
      <c r="AP131" s="22">
        <f>IF(AO131="","",IFERROR(IF($AM$1=2,VLOOKUP($B131&amp;"",'Plus Tarifeleri'!$C:$Q,15,FALSE),VLOOKUP($B131&amp;"",'Plus Tarifeleri'!$C:$Q,13,FALSE)),""))</f>
        <v/>
      </c>
      <c r="AQ131" s="21">
        <f>IF(OR(AO131="",AP131="",$D131=""),"",AO131*(1-AP131/100)-$D131-IF(AO131&lt;=199.99,Kargo!$E$2,IF(AO131&lt;=399.99,Kargo!$E$3,$F131)))</f>
        <v/>
      </c>
      <c r="AR131" s="23">
        <f>IF(AQ131="","",AQ131/AO131)</f>
        <v/>
      </c>
      <c r="AS131" s="24">
        <f>IF(OR(AQ131="",AG131=""),"",AQ131-AG131)</f>
        <v/>
      </c>
    </row>
    <row r="132">
      <c r="A132">
        <f>IF('Komisyon Tarifeleri'!A132="","",'Komisyon Tarifeleri'!A132)</f>
        <v/>
      </c>
      <c r="B132">
        <f>IF('Komisyon Tarifeleri'!B132="","",'Komisyon Tarifeleri'!B132&amp;"")</f>
        <v/>
      </c>
      <c r="C132">
        <f>IF($B132="","",'Komisyon Tarifeleri'!F132)</f>
        <v/>
      </c>
      <c r="D132" s="10">
        <f>IF($B132="","",IFERROR(VLOOKUP($B132,Maliyetler!$A:$E,3,FALSE),""))</f>
        <v/>
      </c>
      <c r="E132">
        <f>IF($B132="","",IFERROR(VLOOKUP($B132,Maliyetler!$A:$E,4,FALSE),1))</f>
        <v/>
      </c>
      <c r="F132" s="10">
        <f>IF($B132="","",IFERROR(VLOOKUP(MIN(20,MAX(1,ROUND($E132,0))),Kargo!$A:$B,2,FALSE),99.46))</f>
        <v/>
      </c>
      <c r="G132" s="10">
        <f>IF($B132="","",IF(IF(N('Komisyon Tarifeleri'!AA132)&gt;='Komisyon Tarifeleri'!I132,'Komisyon Tarifeleri'!AA132,'Komisyon Tarifeleri'!I132)="","",IF(N('Komisyon Tarifeleri'!AA132)&gt;='Komisyon Tarifeleri'!I132,'Komisyon Tarifeleri'!AA132,'Komisyon Tarifeleri'!I132)))</f>
        <v/>
      </c>
      <c r="H132" s="11">
        <f>IF(G132="","",IF($AM$1=2,'Komisyon Tarifeleri'!U132,'Komisyon Tarifeleri'!P132))</f>
        <v/>
      </c>
      <c r="I132" s="10">
        <f>IF(OR(G132="",$D132=""),"",G132*(1-H132/100)-$D132-IF(G132&lt;=199.99,Kargo!$E$2,IF(G132&lt;=399.99,Kargo!$E$3,$F132)))</f>
        <v/>
      </c>
      <c r="J132" s="12">
        <f>IF(I132="","",I132/G132)</f>
        <v/>
      </c>
      <c r="K132" s="10">
        <f>IF($B132="","",IF('Komisyon Tarifeleri'!J132="","",'Komisyon Tarifeleri'!J132))</f>
        <v/>
      </c>
      <c r="L132" s="11">
        <f>IF(K132="","",IF($AM$1=2,'Komisyon Tarifeleri'!V132,'Komisyon Tarifeleri'!Q132))</f>
        <v/>
      </c>
      <c r="M132" s="10">
        <f>IF(OR(K132="",$D132=""),"",K132*(1-L132/100)-$D132-IF(K132&lt;=199.99,Kargo!$E$2,IF(K132&lt;=399.99,Kargo!$E$3,$F132)))</f>
        <v/>
      </c>
      <c r="N132" s="12">
        <f>IF(M132="","",M132/K132)</f>
        <v/>
      </c>
      <c r="O132" s="10">
        <f>IF($B132="","",IF('Komisyon Tarifeleri'!L132="","",'Komisyon Tarifeleri'!L132))</f>
        <v/>
      </c>
      <c r="P132" s="11">
        <f>IF(O132="","",IF($AM$1=2,'Komisyon Tarifeleri'!W132,'Komisyon Tarifeleri'!R132))</f>
        <v/>
      </c>
      <c r="Q132" s="10">
        <f>IF(OR(O132="",$D132=""),"",O132*(1-P132/100)-$D132-IF(O132&lt;=199.99,Kargo!$E$2,IF(O132&lt;=399.99,Kargo!$E$3,$F132)))</f>
        <v/>
      </c>
      <c r="R132" s="12">
        <f>IF(Q132="","",Q132/O132)</f>
        <v/>
      </c>
      <c r="S132" s="10">
        <f>IF($B132="","",IF('Komisyon Tarifeleri'!N132="","",'Komisyon Tarifeleri'!N132))</f>
        <v/>
      </c>
      <c r="T132" s="11">
        <f>IF(S132="","",IF($AM$1=2,'Komisyon Tarifeleri'!X132,'Komisyon Tarifeleri'!S132))</f>
        <v/>
      </c>
      <c r="U132" s="10">
        <f>IF(OR(S132="",$D132=""),"",S132*(1-T132/100)-$D132-IF(S132&lt;=199.99,Kargo!$E$2,IF(S132&lt;=399.99,Kargo!$E$3,$F132)))</f>
        <v/>
      </c>
      <c r="V132" s="12">
        <f>IF(U132="","",U132/S132)</f>
        <v/>
      </c>
      <c r="W132" s="12">
        <f>IF($B132="","",IFERROR(VLOOKUP($C132,Hedefler!$A:$C,2,FALSE),0.04))</f>
        <v/>
      </c>
      <c r="X132" s="12">
        <f>IF($B132="","",IFERROR(VLOOKUP($C132,Hedefler!$A:$C,3,FALSE),0.1))</f>
        <v/>
      </c>
      <c r="Y132" s="13">
        <f>IF($B132="","",IFERROR(VLOOKUP($B132,Maliyetler!$A:$E,5,FALSE),""))</f>
        <v/>
      </c>
      <c r="Z132" s="13">
        <f>IF(OR(Y132="",Y132=0),"",Y132-1)</f>
        <v/>
      </c>
      <c r="AA132" s="14">
        <f>IF(Z132="","",IF(Z132&gt;='Komisyon Tarifeleri'!I132,IF($AM$1=2,'Komisyon Tarifeleri'!U132,'Komisyon Tarifeleri'!P132),IF(Z132&gt;='Komisyon Tarifeleri'!K132,IF($AM$1=2,'Komisyon Tarifeleri'!V132,'Komisyon Tarifeleri'!Q132),IF(Z132&gt;='Komisyon Tarifeleri'!M132,IF($AM$1=2,'Komisyon Tarifeleri'!W132,'Komisyon Tarifeleri'!R132),IF($AM$1=2,'Komisyon Tarifeleri'!X132,'Komisyon Tarifeleri'!S132)))))</f>
        <v/>
      </c>
      <c r="AB132" s="13">
        <f>IF(OR(AA132="",$D132=""),"",Z132*(1-AA132/100)-$D132-IF(Z132&lt;=199.99,Kargo!$E$2,IF(Z132&lt;=399.99,Kargo!$E$3,$F132)))</f>
        <v/>
      </c>
      <c r="AC132" s="15">
        <f>IF(AB132="","",AB132/Z132)</f>
        <v/>
      </c>
      <c r="AD132" s="10">
        <f>IF(OR($D132="",$B132=""),"",IF(AND((1-T132/100-W132)&gt;0,CEILING(($D132+$F132)/(1-T132/100-W132),1)&lt;='Komisyon Tarifeleri'!N132),CEILING(($D132+$F132)/(1-T132/100-W132),1),IF(AND((1-P132/100-W132)&gt;0,CEILING(MAX('Komisyon Tarifeleri'!M132,($D132+$F132)/(1-P132/100-W132)),1)&lt;='Komisyon Tarifeleri'!L132),CEILING(MAX('Komisyon Tarifeleri'!M132,($D132+$F132)/(1-P132/100-W132)),1),IF(AND((1-L132/100-W132)&gt;0,CEILING(MAX('Komisyon Tarifeleri'!K132,($D132+$F132)/(1-L132/100-W132)),1)&lt;='Komisyon Tarifeleri'!J132),CEILING(MAX('Komisyon Tarifeleri'!K132,($D132+$F132)/(1-L132/100-W132)),1),IF((1-H132/100-W132)&gt;0,CEILING(MAX('Komisyon Tarifeleri'!I132,($D132+$F132)/(1-H132/100-W132)),1),"İMKÂNSIZ")))))</f>
        <v/>
      </c>
      <c r="AE132" s="10">
        <f>IF(OR($D132="",$B132=""),"",IF(AND((1-T132/100-X132)&gt;0,CEILING(($D132+$F132)/(1-T132/100-X132),1)&lt;='Komisyon Tarifeleri'!N132),CEILING(($D132+$F132)/(1-T132/100-X132),1),IF(AND((1-P132/100-X132)&gt;0,CEILING(MAX('Komisyon Tarifeleri'!M132,($D132+$F132)/(1-P132/100-X132)),1)&lt;='Komisyon Tarifeleri'!L132),CEILING(MAX('Komisyon Tarifeleri'!M132,($D132+$F132)/(1-P132/100-X132)),1),IF(AND((1-L132/100-X132)&gt;0,CEILING(MAX('Komisyon Tarifeleri'!K132,($D132+$F132)/(1-L132/100-X132)),1)&lt;='Komisyon Tarifeleri'!J132),CEILING(MAX('Komisyon Tarifeleri'!K132,($D132+$F132)/(1-L132/100-X132)),1),IF((1-H132/100-X132)&gt;0,CEILING(MAX('Komisyon Tarifeleri'!I132,($D132+$F132)/(1-H132/100-X132)),1),"İMKÂNSIZ")))))</f>
        <v/>
      </c>
      <c r="AF132" s="16">
        <f>IF($D132="","",IF(AND(Y132&lt;&gt;"",AC132&lt;&gt;"",AC132&gt;=W132),Z132,IF(Y132&lt;&gt;"",AD132,AE132)))</f>
        <v/>
      </c>
      <c r="AG132" s="16">
        <f>IF(OR(AF132="",AF132="İMKÂNSIZ"),"",AF132*(1-IF(AF132&gt;='Komisyon Tarifeleri'!I132,IF($AM$1=2,'Komisyon Tarifeleri'!U132,'Komisyon Tarifeleri'!P132),IF(AF132&gt;='Komisyon Tarifeleri'!K132,IF($AM$1=2,'Komisyon Tarifeleri'!V132,'Komisyon Tarifeleri'!Q132),IF(AF132&gt;='Komisyon Tarifeleri'!M132,IF($AM$1=2,'Komisyon Tarifeleri'!W132,'Komisyon Tarifeleri'!R132),IF($AM$1=2,'Komisyon Tarifeleri'!X132,'Komisyon Tarifeleri'!S132))))/100)-$D132-IF(AF132&lt;=199.99,Kargo!$E$2,IF(AF132&lt;=399.99,Kargo!$E$3,$F132)))</f>
        <v/>
      </c>
      <c r="AH132" s="17">
        <f>IF(AG132="","",AG132/AF132)</f>
        <v/>
      </c>
      <c r="AI132" s="18">
        <f>IF($D132="","",IF(Y132="","BUYBOX YOK → hedef kârla min fiyat",IF(AC132&gt;=W132,"✓ BUYBOX ALTINA GİR","BUYBOX ALTI KÂRSIZ → min kârlı fiyat")))</f>
        <v/>
      </c>
      <c r="AJ132" s="10">
        <f>IF($B132="","",IFERROR(VLOOKUP($B132,Maliyetler!$A:$G,6,FALSE),""))</f>
        <v/>
      </c>
      <c r="AK132">
        <f>IF($B132="","",IFERROR(VLOOKUP($B132,Maliyetler!$A:$G,7,FALSE),""))</f>
        <v/>
      </c>
      <c r="AO132" s="21">
        <f>IF($B132="","",IFERROR(VLOOKUP($B132&amp;"",'Plus Tarifeleri'!$C:$Q,11,FALSE),""))</f>
        <v/>
      </c>
      <c r="AP132" s="22">
        <f>IF(AO132="","",IFERROR(IF($AM$1=2,VLOOKUP($B132&amp;"",'Plus Tarifeleri'!$C:$Q,15,FALSE),VLOOKUP($B132&amp;"",'Plus Tarifeleri'!$C:$Q,13,FALSE)),""))</f>
        <v/>
      </c>
      <c r="AQ132" s="21">
        <f>IF(OR(AO132="",AP132="",$D132=""),"",AO132*(1-AP132/100)-$D132-IF(AO132&lt;=199.99,Kargo!$E$2,IF(AO132&lt;=399.99,Kargo!$E$3,$F132)))</f>
        <v/>
      </c>
      <c r="AR132" s="23">
        <f>IF(AQ132="","",AQ132/AO132)</f>
        <v/>
      </c>
      <c r="AS132" s="24">
        <f>IF(OR(AQ132="",AG132=""),"",AQ132-AG132)</f>
        <v/>
      </c>
    </row>
    <row r="133">
      <c r="A133">
        <f>IF('Komisyon Tarifeleri'!A133="","",'Komisyon Tarifeleri'!A133)</f>
        <v/>
      </c>
      <c r="B133">
        <f>IF('Komisyon Tarifeleri'!B133="","",'Komisyon Tarifeleri'!B133&amp;"")</f>
        <v/>
      </c>
      <c r="C133">
        <f>IF($B133="","",'Komisyon Tarifeleri'!F133)</f>
        <v/>
      </c>
      <c r="D133" s="10">
        <f>IF($B133="","",IFERROR(VLOOKUP($B133,Maliyetler!$A:$E,3,FALSE),""))</f>
        <v/>
      </c>
      <c r="E133">
        <f>IF($B133="","",IFERROR(VLOOKUP($B133,Maliyetler!$A:$E,4,FALSE),1))</f>
        <v/>
      </c>
      <c r="F133" s="10">
        <f>IF($B133="","",IFERROR(VLOOKUP(MIN(20,MAX(1,ROUND($E133,0))),Kargo!$A:$B,2,FALSE),99.46))</f>
        <v/>
      </c>
      <c r="G133" s="10">
        <f>IF($B133="","",IF(IF(N('Komisyon Tarifeleri'!AA133)&gt;='Komisyon Tarifeleri'!I133,'Komisyon Tarifeleri'!AA133,'Komisyon Tarifeleri'!I133)="","",IF(N('Komisyon Tarifeleri'!AA133)&gt;='Komisyon Tarifeleri'!I133,'Komisyon Tarifeleri'!AA133,'Komisyon Tarifeleri'!I133)))</f>
        <v/>
      </c>
      <c r="H133" s="11">
        <f>IF(G133="","",IF($AM$1=2,'Komisyon Tarifeleri'!U133,'Komisyon Tarifeleri'!P133))</f>
        <v/>
      </c>
      <c r="I133" s="10">
        <f>IF(OR(G133="",$D133=""),"",G133*(1-H133/100)-$D133-IF(G133&lt;=199.99,Kargo!$E$2,IF(G133&lt;=399.99,Kargo!$E$3,$F133)))</f>
        <v/>
      </c>
      <c r="J133" s="12">
        <f>IF(I133="","",I133/G133)</f>
        <v/>
      </c>
      <c r="K133" s="10">
        <f>IF($B133="","",IF('Komisyon Tarifeleri'!J133="","",'Komisyon Tarifeleri'!J133))</f>
        <v/>
      </c>
      <c r="L133" s="11">
        <f>IF(K133="","",IF($AM$1=2,'Komisyon Tarifeleri'!V133,'Komisyon Tarifeleri'!Q133))</f>
        <v/>
      </c>
      <c r="M133" s="10">
        <f>IF(OR(K133="",$D133=""),"",K133*(1-L133/100)-$D133-IF(K133&lt;=199.99,Kargo!$E$2,IF(K133&lt;=399.99,Kargo!$E$3,$F133)))</f>
        <v/>
      </c>
      <c r="N133" s="12">
        <f>IF(M133="","",M133/K133)</f>
        <v/>
      </c>
      <c r="O133" s="10">
        <f>IF($B133="","",IF('Komisyon Tarifeleri'!L133="","",'Komisyon Tarifeleri'!L133))</f>
        <v/>
      </c>
      <c r="P133" s="11">
        <f>IF(O133="","",IF($AM$1=2,'Komisyon Tarifeleri'!W133,'Komisyon Tarifeleri'!R133))</f>
        <v/>
      </c>
      <c r="Q133" s="10">
        <f>IF(OR(O133="",$D133=""),"",O133*(1-P133/100)-$D133-IF(O133&lt;=199.99,Kargo!$E$2,IF(O133&lt;=399.99,Kargo!$E$3,$F133)))</f>
        <v/>
      </c>
      <c r="R133" s="12">
        <f>IF(Q133="","",Q133/O133)</f>
        <v/>
      </c>
      <c r="S133" s="10">
        <f>IF($B133="","",IF('Komisyon Tarifeleri'!N133="","",'Komisyon Tarifeleri'!N133))</f>
        <v/>
      </c>
      <c r="T133" s="11">
        <f>IF(S133="","",IF($AM$1=2,'Komisyon Tarifeleri'!X133,'Komisyon Tarifeleri'!S133))</f>
        <v/>
      </c>
      <c r="U133" s="10">
        <f>IF(OR(S133="",$D133=""),"",S133*(1-T133/100)-$D133-IF(S133&lt;=199.99,Kargo!$E$2,IF(S133&lt;=399.99,Kargo!$E$3,$F133)))</f>
        <v/>
      </c>
      <c r="V133" s="12">
        <f>IF(U133="","",U133/S133)</f>
        <v/>
      </c>
      <c r="W133" s="12">
        <f>IF($B133="","",IFERROR(VLOOKUP($C133,Hedefler!$A:$C,2,FALSE),0.04))</f>
        <v/>
      </c>
      <c r="X133" s="12">
        <f>IF($B133="","",IFERROR(VLOOKUP($C133,Hedefler!$A:$C,3,FALSE),0.1))</f>
        <v/>
      </c>
      <c r="Y133" s="13">
        <f>IF($B133="","",IFERROR(VLOOKUP($B133,Maliyetler!$A:$E,5,FALSE),""))</f>
        <v/>
      </c>
      <c r="Z133" s="13">
        <f>IF(OR(Y133="",Y133=0),"",Y133-1)</f>
        <v/>
      </c>
      <c r="AA133" s="14">
        <f>IF(Z133="","",IF(Z133&gt;='Komisyon Tarifeleri'!I133,IF($AM$1=2,'Komisyon Tarifeleri'!U133,'Komisyon Tarifeleri'!P133),IF(Z133&gt;='Komisyon Tarifeleri'!K133,IF($AM$1=2,'Komisyon Tarifeleri'!V133,'Komisyon Tarifeleri'!Q133),IF(Z133&gt;='Komisyon Tarifeleri'!M133,IF($AM$1=2,'Komisyon Tarifeleri'!W133,'Komisyon Tarifeleri'!R133),IF($AM$1=2,'Komisyon Tarifeleri'!X133,'Komisyon Tarifeleri'!S133)))))</f>
        <v/>
      </c>
      <c r="AB133" s="13">
        <f>IF(OR(AA133="",$D133=""),"",Z133*(1-AA133/100)-$D133-IF(Z133&lt;=199.99,Kargo!$E$2,IF(Z133&lt;=399.99,Kargo!$E$3,$F133)))</f>
        <v/>
      </c>
      <c r="AC133" s="15">
        <f>IF(AB133="","",AB133/Z133)</f>
        <v/>
      </c>
      <c r="AD133" s="10">
        <f>IF(OR($D133="",$B133=""),"",IF(AND((1-T133/100-W133)&gt;0,CEILING(($D133+$F133)/(1-T133/100-W133),1)&lt;='Komisyon Tarifeleri'!N133),CEILING(($D133+$F133)/(1-T133/100-W133),1),IF(AND((1-P133/100-W133)&gt;0,CEILING(MAX('Komisyon Tarifeleri'!M133,($D133+$F133)/(1-P133/100-W133)),1)&lt;='Komisyon Tarifeleri'!L133),CEILING(MAX('Komisyon Tarifeleri'!M133,($D133+$F133)/(1-P133/100-W133)),1),IF(AND((1-L133/100-W133)&gt;0,CEILING(MAX('Komisyon Tarifeleri'!K133,($D133+$F133)/(1-L133/100-W133)),1)&lt;='Komisyon Tarifeleri'!J133),CEILING(MAX('Komisyon Tarifeleri'!K133,($D133+$F133)/(1-L133/100-W133)),1),IF((1-H133/100-W133)&gt;0,CEILING(MAX('Komisyon Tarifeleri'!I133,($D133+$F133)/(1-H133/100-W133)),1),"İMKÂNSIZ")))))</f>
        <v/>
      </c>
      <c r="AE133" s="10">
        <f>IF(OR($D133="",$B133=""),"",IF(AND((1-T133/100-X133)&gt;0,CEILING(($D133+$F133)/(1-T133/100-X133),1)&lt;='Komisyon Tarifeleri'!N133),CEILING(($D133+$F133)/(1-T133/100-X133),1),IF(AND((1-P133/100-X133)&gt;0,CEILING(MAX('Komisyon Tarifeleri'!M133,($D133+$F133)/(1-P133/100-X133)),1)&lt;='Komisyon Tarifeleri'!L133),CEILING(MAX('Komisyon Tarifeleri'!M133,($D133+$F133)/(1-P133/100-X133)),1),IF(AND((1-L133/100-X133)&gt;0,CEILING(MAX('Komisyon Tarifeleri'!K133,($D133+$F133)/(1-L133/100-X133)),1)&lt;='Komisyon Tarifeleri'!J133),CEILING(MAX('Komisyon Tarifeleri'!K133,($D133+$F133)/(1-L133/100-X133)),1),IF((1-H133/100-X133)&gt;0,CEILING(MAX('Komisyon Tarifeleri'!I133,($D133+$F133)/(1-H133/100-X133)),1),"İMKÂNSIZ")))))</f>
        <v/>
      </c>
      <c r="AF133" s="16">
        <f>IF($D133="","",IF(AND(Y133&lt;&gt;"",AC133&lt;&gt;"",AC133&gt;=W133),Z133,IF(Y133&lt;&gt;"",AD133,AE133)))</f>
        <v/>
      </c>
      <c r="AG133" s="16">
        <f>IF(OR(AF133="",AF133="İMKÂNSIZ"),"",AF133*(1-IF(AF133&gt;='Komisyon Tarifeleri'!I133,IF($AM$1=2,'Komisyon Tarifeleri'!U133,'Komisyon Tarifeleri'!P133),IF(AF133&gt;='Komisyon Tarifeleri'!K133,IF($AM$1=2,'Komisyon Tarifeleri'!V133,'Komisyon Tarifeleri'!Q133),IF(AF133&gt;='Komisyon Tarifeleri'!M133,IF($AM$1=2,'Komisyon Tarifeleri'!W133,'Komisyon Tarifeleri'!R133),IF($AM$1=2,'Komisyon Tarifeleri'!X133,'Komisyon Tarifeleri'!S133))))/100)-$D133-IF(AF133&lt;=199.99,Kargo!$E$2,IF(AF133&lt;=399.99,Kargo!$E$3,$F133)))</f>
        <v/>
      </c>
      <c r="AH133" s="17">
        <f>IF(AG133="","",AG133/AF133)</f>
        <v/>
      </c>
      <c r="AI133" s="18">
        <f>IF($D133="","",IF(Y133="","BUYBOX YOK → hedef kârla min fiyat",IF(AC133&gt;=W133,"✓ BUYBOX ALTINA GİR","BUYBOX ALTI KÂRSIZ → min kârlı fiyat")))</f>
        <v/>
      </c>
      <c r="AJ133" s="10">
        <f>IF($B133="","",IFERROR(VLOOKUP($B133,Maliyetler!$A:$G,6,FALSE),""))</f>
        <v/>
      </c>
      <c r="AK133">
        <f>IF($B133="","",IFERROR(VLOOKUP($B133,Maliyetler!$A:$G,7,FALSE),""))</f>
        <v/>
      </c>
      <c r="AO133" s="21">
        <f>IF($B133="","",IFERROR(VLOOKUP($B133&amp;"",'Plus Tarifeleri'!$C:$Q,11,FALSE),""))</f>
        <v/>
      </c>
      <c r="AP133" s="22">
        <f>IF(AO133="","",IFERROR(IF($AM$1=2,VLOOKUP($B133&amp;"",'Plus Tarifeleri'!$C:$Q,15,FALSE),VLOOKUP($B133&amp;"",'Plus Tarifeleri'!$C:$Q,13,FALSE)),""))</f>
        <v/>
      </c>
      <c r="AQ133" s="21">
        <f>IF(OR(AO133="",AP133="",$D133=""),"",AO133*(1-AP133/100)-$D133-IF(AO133&lt;=199.99,Kargo!$E$2,IF(AO133&lt;=399.99,Kargo!$E$3,$F133)))</f>
        <v/>
      </c>
      <c r="AR133" s="23">
        <f>IF(AQ133="","",AQ133/AO133)</f>
        <v/>
      </c>
      <c r="AS133" s="24">
        <f>IF(OR(AQ133="",AG133=""),"",AQ133-AG133)</f>
        <v/>
      </c>
    </row>
    <row r="134">
      <c r="A134">
        <f>IF('Komisyon Tarifeleri'!A134="","",'Komisyon Tarifeleri'!A134)</f>
        <v/>
      </c>
      <c r="B134">
        <f>IF('Komisyon Tarifeleri'!B134="","",'Komisyon Tarifeleri'!B134&amp;"")</f>
        <v/>
      </c>
      <c r="C134">
        <f>IF($B134="","",'Komisyon Tarifeleri'!F134)</f>
        <v/>
      </c>
      <c r="D134" s="10">
        <f>IF($B134="","",IFERROR(VLOOKUP($B134,Maliyetler!$A:$E,3,FALSE),""))</f>
        <v/>
      </c>
      <c r="E134">
        <f>IF($B134="","",IFERROR(VLOOKUP($B134,Maliyetler!$A:$E,4,FALSE),1))</f>
        <v/>
      </c>
      <c r="F134" s="10">
        <f>IF($B134="","",IFERROR(VLOOKUP(MIN(20,MAX(1,ROUND($E134,0))),Kargo!$A:$B,2,FALSE),99.46))</f>
        <v/>
      </c>
      <c r="G134" s="10">
        <f>IF($B134="","",IF(IF(N('Komisyon Tarifeleri'!AA134)&gt;='Komisyon Tarifeleri'!I134,'Komisyon Tarifeleri'!AA134,'Komisyon Tarifeleri'!I134)="","",IF(N('Komisyon Tarifeleri'!AA134)&gt;='Komisyon Tarifeleri'!I134,'Komisyon Tarifeleri'!AA134,'Komisyon Tarifeleri'!I134)))</f>
        <v/>
      </c>
      <c r="H134" s="11">
        <f>IF(G134="","",IF($AM$1=2,'Komisyon Tarifeleri'!U134,'Komisyon Tarifeleri'!P134))</f>
        <v/>
      </c>
      <c r="I134" s="10">
        <f>IF(OR(G134="",$D134=""),"",G134*(1-H134/100)-$D134-IF(G134&lt;=199.99,Kargo!$E$2,IF(G134&lt;=399.99,Kargo!$E$3,$F134)))</f>
        <v/>
      </c>
      <c r="J134" s="12">
        <f>IF(I134="","",I134/G134)</f>
        <v/>
      </c>
      <c r="K134" s="10">
        <f>IF($B134="","",IF('Komisyon Tarifeleri'!J134="","",'Komisyon Tarifeleri'!J134))</f>
        <v/>
      </c>
      <c r="L134" s="11">
        <f>IF(K134="","",IF($AM$1=2,'Komisyon Tarifeleri'!V134,'Komisyon Tarifeleri'!Q134))</f>
        <v/>
      </c>
      <c r="M134" s="10">
        <f>IF(OR(K134="",$D134=""),"",K134*(1-L134/100)-$D134-IF(K134&lt;=199.99,Kargo!$E$2,IF(K134&lt;=399.99,Kargo!$E$3,$F134)))</f>
        <v/>
      </c>
      <c r="N134" s="12">
        <f>IF(M134="","",M134/K134)</f>
        <v/>
      </c>
      <c r="O134" s="10">
        <f>IF($B134="","",IF('Komisyon Tarifeleri'!L134="","",'Komisyon Tarifeleri'!L134))</f>
        <v/>
      </c>
      <c r="P134" s="11">
        <f>IF(O134="","",IF($AM$1=2,'Komisyon Tarifeleri'!W134,'Komisyon Tarifeleri'!R134))</f>
        <v/>
      </c>
      <c r="Q134" s="10">
        <f>IF(OR(O134="",$D134=""),"",O134*(1-P134/100)-$D134-IF(O134&lt;=199.99,Kargo!$E$2,IF(O134&lt;=399.99,Kargo!$E$3,$F134)))</f>
        <v/>
      </c>
      <c r="R134" s="12">
        <f>IF(Q134="","",Q134/O134)</f>
        <v/>
      </c>
      <c r="S134" s="10">
        <f>IF($B134="","",IF('Komisyon Tarifeleri'!N134="","",'Komisyon Tarifeleri'!N134))</f>
        <v/>
      </c>
      <c r="T134" s="11">
        <f>IF(S134="","",IF($AM$1=2,'Komisyon Tarifeleri'!X134,'Komisyon Tarifeleri'!S134))</f>
        <v/>
      </c>
      <c r="U134" s="10">
        <f>IF(OR(S134="",$D134=""),"",S134*(1-T134/100)-$D134-IF(S134&lt;=199.99,Kargo!$E$2,IF(S134&lt;=399.99,Kargo!$E$3,$F134)))</f>
        <v/>
      </c>
      <c r="V134" s="12">
        <f>IF(U134="","",U134/S134)</f>
        <v/>
      </c>
      <c r="W134" s="12">
        <f>IF($B134="","",IFERROR(VLOOKUP($C134,Hedefler!$A:$C,2,FALSE),0.04))</f>
        <v/>
      </c>
      <c r="X134" s="12">
        <f>IF($B134="","",IFERROR(VLOOKUP($C134,Hedefler!$A:$C,3,FALSE),0.1))</f>
        <v/>
      </c>
      <c r="Y134" s="13">
        <f>IF($B134="","",IFERROR(VLOOKUP($B134,Maliyetler!$A:$E,5,FALSE),""))</f>
        <v/>
      </c>
      <c r="Z134" s="13">
        <f>IF(OR(Y134="",Y134=0),"",Y134-1)</f>
        <v/>
      </c>
      <c r="AA134" s="14">
        <f>IF(Z134="","",IF(Z134&gt;='Komisyon Tarifeleri'!I134,IF($AM$1=2,'Komisyon Tarifeleri'!U134,'Komisyon Tarifeleri'!P134),IF(Z134&gt;='Komisyon Tarifeleri'!K134,IF($AM$1=2,'Komisyon Tarifeleri'!V134,'Komisyon Tarifeleri'!Q134),IF(Z134&gt;='Komisyon Tarifeleri'!M134,IF($AM$1=2,'Komisyon Tarifeleri'!W134,'Komisyon Tarifeleri'!R134),IF($AM$1=2,'Komisyon Tarifeleri'!X134,'Komisyon Tarifeleri'!S134)))))</f>
        <v/>
      </c>
      <c r="AB134" s="13">
        <f>IF(OR(AA134="",$D134=""),"",Z134*(1-AA134/100)-$D134-IF(Z134&lt;=199.99,Kargo!$E$2,IF(Z134&lt;=399.99,Kargo!$E$3,$F134)))</f>
        <v/>
      </c>
      <c r="AC134" s="15">
        <f>IF(AB134="","",AB134/Z134)</f>
        <v/>
      </c>
      <c r="AD134" s="10">
        <f>IF(OR($D134="",$B134=""),"",IF(AND((1-T134/100-W134)&gt;0,CEILING(($D134+$F134)/(1-T134/100-W134),1)&lt;='Komisyon Tarifeleri'!N134),CEILING(($D134+$F134)/(1-T134/100-W134),1),IF(AND((1-P134/100-W134)&gt;0,CEILING(MAX('Komisyon Tarifeleri'!M134,($D134+$F134)/(1-P134/100-W134)),1)&lt;='Komisyon Tarifeleri'!L134),CEILING(MAX('Komisyon Tarifeleri'!M134,($D134+$F134)/(1-P134/100-W134)),1),IF(AND((1-L134/100-W134)&gt;0,CEILING(MAX('Komisyon Tarifeleri'!K134,($D134+$F134)/(1-L134/100-W134)),1)&lt;='Komisyon Tarifeleri'!J134),CEILING(MAX('Komisyon Tarifeleri'!K134,($D134+$F134)/(1-L134/100-W134)),1),IF((1-H134/100-W134)&gt;0,CEILING(MAX('Komisyon Tarifeleri'!I134,($D134+$F134)/(1-H134/100-W134)),1),"İMKÂNSIZ")))))</f>
        <v/>
      </c>
      <c r="AE134" s="10">
        <f>IF(OR($D134="",$B134=""),"",IF(AND((1-T134/100-X134)&gt;0,CEILING(($D134+$F134)/(1-T134/100-X134),1)&lt;='Komisyon Tarifeleri'!N134),CEILING(($D134+$F134)/(1-T134/100-X134),1),IF(AND((1-P134/100-X134)&gt;0,CEILING(MAX('Komisyon Tarifeleri'!M134,($D134+$F134)/(1-P134/100-X134)),1)&lt;='Komisyon Tarifeleri'!L134),CEILING(MAX('Komisyon Tarifeleri'!M134,($D134+$F134)/(1-P134/100-X134)),1),IF(AND((1-L134/100-X134)&gt;0,CEILING(MAX('Komisyon Tarifeleri'!K134,($D134+$F134)/(1-L134/100-X134)),1)&lt;='Komisyon Tarifeleri'!J134),CEILING(MAX('Komisyon Tarifeleri'!K134,($D134+$F134)/(1-L134/100-X134)),1),IF((1-H134/100-X134)&gt;0,CEILING(MAX('Komisyon Tarifeleri'!I134,($D134+$F134)/(1-H134/100-X134)),1),"İMKÂNSIZ")))))</f>
        <v/>
      </c>
      <c r="AF134" s="16">
        <f>IF($D134="","",IF(AND(Y134&lt;&gt;"",AC134&lt;&gt;"",AC134&gt;=W134),Z134,IF(Y134&lt;&gt;"",AD134,AE134)))</f>
        <v/>
      </c>
      <c r="AG134" s="16">
        <f>IF(OR(AF134="",AF134="İMKÂNSIZ"),"",AF134*(1-IF(AF134&gt;='Komisyon Tarifeleri'!I134,IF($AM$1=2,'Komisyon Tarifeleri'!U134,'Komisyon Tarifeleri'!P134),IF(AF134&gt;='Komisyon Tarifeleri'!K134,IF($AM$1=2,'Komisyon Tarifeleri'!V134,'Komisyon Tarifeleri'!Q134),IF(AF134&gt;='Komisyon Tarifeleri'!M134,IF($AM$1=2,'Komisyon Tarifeleri'!W134,'Komisyon Tarifeleri'!R134),IF($AM$1=2,'Komisyon Tarifeleri'!X134,'Komisyon Tarifeleri'!S134))))/100)-$D134-IF(AF134&lt;=199.99,Kargo!$E$2,IF(AF134&lt;=399.99,Kargo!$E$3,$F134)))</f>
        <v/>
      </c>
      <c r="AH134" s="17">
        <f>IF(AG134="","",AG134/AF134)</f>
        <v/>
      </c>
      <c r="AI134" s="18">
        <f>IF($D134="","",IF(Y134="","BUYBOX YOK → hedef kârla min fiyat",IF(AC134&gt;=W134,"✓ BUYBOX ALTINA GİR","BUYBOX ALTI KÂRSIZ → min kârlı fiyat")))</f>
        <v/>
      </c>
      <c r="AJ134" s="10">
        <f>IF($B134="","",IFERROR(VLOOKUP($B134,Maliyetler!$A:$G,6,FALSE),""))</f>
        <v/>
      </c>
      <c r="AK134">
        <f>IF($B134="","",IFERROR(VLOOKUP($B134,Maliyetler!$A:$G,7,FALSE),""))</f>
        <v/>
      </c>
      <c r="AO134" s="21">
        <f>IF($B134="","",IFERROR(VLOOKUP($B134&amp;"",'Plus Tarifeleri'!$C:$Q,11,FALSE),""))</f>
        <v/>
      </c>
      <c r="AP134" s="22">
        <f>IF(AO134="","",IFERROR(IF($AM$1=2,VLOOKUP($B134&amp;"",'Plus Tarifeleri'!$C:$Q,15,FALSE),VLOOKUP($B134&amp;"",'Plus Tarifeleri'!$C:$Q,13,FALSE)),""))</f>
        <v/>
      </c>
      <c r="AQ134" s="21">
        <f>IF(OR(AO134="",AP134="",$D134=""),"",AO134*(1-AP134/100)-$D134-IF(AO134&lt;=199.99,Kargo!$E$2,IF(AO134&lt;=399.99,Kargo!$E$3,$F134)))</f>
        <v/>
      </c>
      <c r="AR134" s="23">
        <f>IF(AQ134="","",AQ134/AO134)</f>
        <v/>
      </c>
      <c r="AS134" s="24">
        <f>IF(OR(AQ134="",AG134=""),"",AQ134-AG134)</f>
        <v/>
      </c>
    </row>
    <row r="135">
      <c r="A135">
        <f>IF('Komisyon Tarifeleri'!A135="","",'Komisyon Tarifeleri'!A135)</f>
        <v/>
      </c>
      <c r="B135">
        <f>IF('Komisyon Tarifeleri'!B135="","",'Komisyon Tarifeleri'!B135&amp;"")</f>
        <v/>
      </c>
      <c r="C135">
        <f>IF($B135="","",'Komisyon Tarifeleri'!F135)</f>
        <v/>
      </c>
      <c r="D135" s="10">
        <f>IF($B135="","",IFERROR(VLOOKUP($B135,Maliyetler!$A:$E,3,FALSE),""))</f>
        <v/>
      </c>
      <c r="E135">
        <f>IF($B135="","",IFERROR(VLOOKUP($B135,Maliyetler!$A:$E,4,FALSE),1))</f>
        <v/>
      </c>
      <c r="F135" s="10">
        <f>IF($B135="","",IFERROR(VLOOKUP(MIN(20,MAX(1,ROUND($E135,0))),Kargo!$A:$B,2,FALSE),99.46))</f>
        <v/>
      </c>
      <c r="G135" s="10">
        <f>IF($B135="","",IF(IF(N('Komisyon Tarifeleri'!AA135)&gt;='Komisyon Tarifeleri'!I135,'Komisyon Tarifeleri'!AA135,'Komisyon Tarifeleri'!I135)="","",IF(N('Komisyon Tarifeleri'!AA135)&gt;='Komisyon Tarifeleri'!I135,'Komisyon Tarifeleri'!AA135,'Komisyon Tarifeleri'!I135)))</f>
        <v/>
      </c>
      <c r="H135" s="11">
        <f>IF(G135="","",IF($AM$1=2,'Komisyon Tarifeleri'!U135,'Komisyon Tarifeleri'!P135))</f>
        <v/>
      </c>
      <c r="I135" s="10">
        <f>IF(OR(G135="",$D135=""),"",G135*(1-H135/100)-$D135-IF(G135&lt;=199.99,Kargo!$E$2,IF(G135&lt;=399.99,Kargo!$E$3,$F135)))</f>
        <v/>
      </c>
      <c r="J135" s="12">
        <f>IF(I135="","",I135/G135)</f>
        <v/>
      </c>
      <c r="K135" s="10">
        <f>IF($B135="","",IF('Komisyon Tarifeleri'!J135="","",'Komisyon Tarifeleri'!J135))</f>
        <v/>
      </c>
      <c r="L135" s="11">
        <f>IF(K135="","",IF($AM$1=2,'Komisyon Tarifeleri'!V135,'Komisyon Tarifeleri'!Q135))</f>
        <v/>
      </c>
      <c r="M135" s="10">
        <f>IF(OR(K135="",$D135=""),"",K135*(1-L135/100)-$D135-IF(K135&lt;=199.99,Kargo!$E$2,IF(K135&lt;=399.99,Kargo!$E$3,$F135)))</f>
        <v/>
      </c>
      <c r="N135" s="12">
        <f>IF(M135="","",M135/K135)</f>
        <v/>
      </c>
      <c r="O135" s="10">
        <f>IF($B135="","",IF('Komisyon Tarifeleri'!L135="","",'Komisyon Tarifeleri'!L135))</f>
        <v/>
      </c>
      <c r="P135" s="11">
        <f>IF(O135="","",IF($AM$1=2,'Komisyon Tarifeleri'!W135,'Komisyon Tarifeleri'!R135))</f>
        <v/>
      </c>
      <c r="Q135" s="10">
        <f>IF(OR(O135="",$D135=""),"",O135*(1-P135/100)-$D135-IF(O135&lt;=199.99,Kargo!$E$2,IF(O135&lt;=399.99,Kargo!$E$3,$F135)))</f>
        <v/>
      </c>
      <c r="R135" s="12">
        <f>IF(Q135="","",Q135/O135)</f>
        <v/>
      </c>
      <c r="S135" s="10">
        <f>IF($B135="","",IF('Komisyon Tarifeleri'!N135="","",'Komisyon Tarifeleri'!N135))</f>
        <v/>
      </c>
      <c r="T135" s="11">
        <f>IF(S135="","",IF($AM$1=2,'Komisyon Tarifeleri'!X135,'Komisyon Tarifeleri'!S135))</f>
        <v/>
      </c>
      <c r="U135" s="10">
        <f>IF(OR(S135="",$D135=""),"",S135*(1-T135/100)-$D135-IF(S135&lt;=199.99,Kargo!$E$2,IF(S135&lt;=399.99,Kargo!$E$3,$F135)))</f>
        <v/>
      </c>
      <c r="V135" s="12">
        <f>IF(U135="","",U135/S135)</f>
        <v/>
      </c>
      <c r="W135" s="12">
        <f>IF($B135="","",IFERROR(VLOOKUP($C135,Hedefler!$A:$C,2,FALSE),0.04))</f>
        <v/>
      </c>
      <c r="X135" s="12">
        <f>IF($B135="","",IFERROR(VLOOKUP($C135,Hedefler!$A:$C,3,FALSE),0.1))</f>
        <v/>
      </c>
      <c r="Y135" s="13">
        <f>IF($B135="","",IFERROR(VLOOKUP($B135,Maliyetler!$A:$E,5,FALSE),""))</f>
        <v/>
      </c>
      <c r="Z135" s="13">
        <f>IF(OR(Y135="",Y135=0),"",Y135-1)</f>
        <v/>
      </c>
      <c r="AA135" s="14">
        <f>IF(Z135="","",IF(Z135&gt;='Komisyon Tarifeleri'!I135,IF($AM$1=2,'Komisyon Tarifeleri'!U135,'Komisyon Tarifeleri'!P135),IF(Z135&gt;='Komisyon Tarifeleri'!K135,IF($AM$1=2,'Komisyon Tarifeleri'!V135,'Komisyon Tarifeleri'!Q135),IF(Z135&gt;='Komisyon Tarifeleri'!M135,IF($AM$1=2,'Komisyon Tarifeleri'!W135,'Komisyon Tarifeleri'!R135),IF($AM$1=2,'Komisyon Tarifeleri'!X135,'Komisyon Tarifeleri'!S135)))))</f>
        <v/>
      </c>
      <c r="AB135" s="13">
        <f>IF(OR(AA135="",$D135=""),"",Z135*(1-AA135/100)-$D135-IF(Z135&lt;=199.99,Kargo!$E$2,IF(Z135&lt;=399.99,Kargo!$E$3,$F135)))</f>
        <v/>
      </c>
      <c r="AC135" s="15">
        <f>IF(AB135="","",AB135/Z135)</f>
        <v/>
      </c>
      <c r="AD135" s="10">
        <f>IF(OR($D135="",$B135=""),"",IF(AND((1-T135/100-W135)&gt;0,CEILING(($D135+$F135)/(1-T135/100-W135),1)&lt;='Komisyon Tarifeleri'!N135),CEILING(($D135+$F135)/(1-T135/100-W135),1),IF(AND((1-P135/100-W135)&gt;0,CEILING(MAX('Komisyon Tarifeleri'!M135,($D135+$F135)/(1-P135/100-W135)),1)&lt;='Komisyon Tarifeleri'!L135),CEILING(MAX('Komisyon Tarifeleri'!M135,($D135+$F135)/(1-P135/100-W135)),1),IF(AND((1-L135/100-W135)&gt;0,CEILING(MAX('Komisyon Tarifeleri'!K135,($D135+$F135)/(1-L135/100-W135)),1)&lt;='Komisyon Tarifeleri'!J135),CEILING(MAX('Komisyon Tarifeleri'!K135,($D135+$F135)/(1-L135/100-W135)),1),IF((1-H135/100-W135)&gt;0,CEILING(MAX('Komisyon Tarifeleri'!I135,($D135+$F135)/(1-H135/100-W135)),1),"İMKÂNSIZ")))))</f>
        <v/>
      </c>
      <c r="AE135" s="10">
        <f>IF(OR($D135="",$B135=""),"",IF(AND((1-T135/100-X135)&gt;0,CEILING(($D135+$F135)/(1-T135/100-X135),1)&lt;='Komisyon Tarifeleri'!N135),CEILING(($D135+$F135)/(1-T135/100-X135),1),IF(AND((1-P135/100-X135)&gt;0,CEILING(MAX('Komisyon Tarifeleri'!M135,($D135+$F135)/(1-P135/100-X135)),1)&lt;='Komisyon Tarifeleri'!L135),CEILING(MAX('Komisyon Tarifeleri'!M135,($D135+$F135)/(1-P135/100-X135)),1),IF(AND((1-L135/100-X135)&gt;0,CEILING(MAX('Komisyon Tarifeleri'!K135,($D135+$F135)/(1-L135/100-X135)),1)&lt;='Komisyon Tarifeleri'!J135),CEILING(MAX('Komisyon Tarifeleri'!K135,($D135+$F135)/(1-L135/100-X135)),1),IF((1-H135/100-X135)&gt;0,CEILING(MAX('Komisyon Tarifeleri'!I135,($D135+$F135)/(1-H135/100-X135)),1),"İMKÂNSIZ")))))</f>
        <v/>
      </c>
      <c r="AF135" s="16">
        <f>IF($D135="","",IF(AND(Y135&lt;&gt;"",AC135&lt;&gt;"",AC135&gt;=W135),Z135,IF(Y135&lt;&gt;"",AD135,AE135)))</f>
        <v/>
      </c>
      <c r="AG135" s="16">
        <f>IF(OR(AF135="",AF135="İMKÂNSIZ"),"",AF135*(1-IF(AF135&gt;='Komisyon Tarifeleri'!I135,IF($AM$1=2,'Komisyon Tarifeleri'!U135,'Komisyon Tarifeleri'!P135),IF(AF135&gt;='Komisyon Tarifeleri'!K135,IF($AM$1=2,'Komisyon Tarifeleri'!V135,'Komisyon Tarifeleri'!Q135),IF(AF135&gt;='Komisyon Tarifeleri'!M135,IF($AM$1=2,'Komisyon Tarifeleri'!W135,'Komisyon Tarifeleri'!R135),IF($AM$1=2,'Komisyon Tarifeleri'!X135,'Komisyon Tarifeleri'!S135))))/100)-$D135-IF(AF135&lt;=199.99,Kargo!$E$2,IF(AF135&lt;=399.99,Kargo!$E$3,$F135)))</f>
        <v/>
      </c>
      <c r="AH135" s="17">
        <f>IF(AG135="","",AG135/AF135)</f>
        <v/>
      </c>
      <c r="AI135" s="18">
        <f>IF($D135="","",IF(Y135="","BUYBOX YOK → hedef kârla min fiyat",IF(AC135&gt;=W135,"✓ BUYBOX ALTINA GİR","BUYBOX ALTI KÂRSIZ → min kârlı fiyat")))</f>
        <v/>
      </c>
      <c r="AJ135" s="10">
        <f>IF($B135="","",IFERROR(VLOOKUP($B135,Maliyetler!$A:$G,6,FALSE),""))</f>
        <v/>
      </c>
      <c r="AK135">
        <f>IF($B135="","",IFERROR(VLOOKUP($B135,Maliyetler!$A:$G,7,FALSE),""))</f>
        <v/>
      </c>
      <c r="AO135" s="21">
        <f>IF($B135="","",IFERROR(VLOOKUP($B135&amp;"",'Plus Tarifeleri'!$C:$Q,11,FALSE),""))</f>
        <v/>
      </c>
      <c r="AP135" s="22">
        <f>IF(AO135="","",IFERROR(IF($AM$1=2,VLOOKUP($B135&amp;"",'Plus Tarifeleri'!$C:$Q,15,FALSE),VLOOKUP($B135&amp;"",'Plus Tarifeleri'!$C:$Q,13,FALSE)),""))</f>
        <v/>
      </c>
      <c r="AQ135" s="21">
        <f>IF(OR(AO135="",AP135="",$D135=""),"",AO135*(1-AP135/100)-$D135-IF(AO135&lt;=199.99,Kargo!$E$2,IF(AO135&lt;=399.99,Kargo!$E$3,$F135)))</f>
        <v/>
      </c>
      <c r="AR135" s="23">
        <f>IF(AQ135="","",AQ135/AO135)</f>
        <v/>
      </c>
      <c r="AS135" s="24">
        <f>IF(OR(AQ135="",AG135=""),"",AQ135-AG135)</f>
        <v/>
      </c>
    </row>
    <row r="136">
      <c r="A136">
        <f>IF('Komisyon Tarifeleri'!A136="","",'Komisyon Tarifeleri'!A136)</f>
        <v/>
      </c>
      <c r="B136">
        <f>IF('Komisyon Tarifeleri'!B136="","",'Komisyon Tarifeleri'!B136&amp;"")</f>
        <v/>
      </c>
      <c r="C136">
        <f>IF($B136="","",'Komisyon Tarifeleri'!F136)</f>
        <v/>
      </c>
      <c r="D136" s="10">
        <f>IF($B136="","",IFERROR(VLOOKUP($B136,Maliyetler!$A:$E,3,FALSE),""))</f>
        <v/>
      </c>
      <c r="E136">
        <f>IF($B136="","",IFERROR(VLOOKUP($B136,Maliyetler!$A:$E,4,FALSE),1))</f>
        <v/>
      </c>
      <c r="F136" s="10">
        <f>IF($B136="","",IFERROR(VLOOKUP(MIN(20,MAX(1,ROUND($E136,0))),Kargo!$A:$B,2,FALSE),99.46))</f>
        <v/>
      </c>
      <c r="G136" s="10">
        <f>IF($B136="","",IF(IF(N('Komisyon Tarifeleri'!AA136)&gt;='Komisyon Tarifeleri'!I136,'Komisyon Tarifeleri'!AA136,'Komisyon Tarifeleri'!I136)="","",IF(N('Komisyon Tarifeleri'!AA136)&gt;='Komisyon Tarifeleri'!I136,'Komisyon Tarifeleri'!AA136,'Komisyon Tarifeleri'!I136)))</f>
        <v/>
      </c>
      <c r="H136" s="11">
        <f>IF(G136="","",IF($AM$1=2,'Komisyon Tarifeleri'!U136,'Komisyon Tarifeleri'!P136))</f>
        <v/>
      </c>
      <c r="I136" s="10">
        <f>IF(OR(G136="",$D136=""),"",G136*(1-H136/100)-$D136-IF(G136&lt;=199.99,Kargo!$E$2,IF(G136&lt;=399.99,Kargo!$E$3,$F136)))</f>
        <v/>
      </c>
      <c r="J136" s="12">
        <f>IF(I136="","",I136/G136)</f>
        <v/>
      </c>
      <c r="K136" s="10">
        <f>IF($B136="","",IF('Komisyon Tarifeleri'!J136="","",'Komisyon Tarifeleri'!J136))</f>
        <v/>
      </c>
      <c r="L136" s="11">
        <f>IF(K136="","",IF($AM$1=2,'Komisyon Tarifeleri'!V136,'Komisyon Tarifeleri'!Q136))</f>
        <v/>
      </c>
      <c r="M136" s="10">
        <f>IF(OR(K136="",$D136=""),"",K136*(1-L136/100)-$D136-IF(K136&lt;=199.99,Kargo!$E$2,IF(K136&lt;=399.99,Kargo!$E$3,$F136)))</f>
        <v/>
      </c>
      <c r="N136" s="12">
        <f>IF(M136="","",M136/K136)</f>
        <v/>
      </c>
      <c r="O136" s="10">
        <f>IF($B136="","",IF('Komisyon Tarifeleri'!L136="","",'Komisyon Tarifeleri'!L136))</f>
        <v/>
      </c>
      <c r="P136" s="11">
        <f>IF(O136="","",IF($AM$1=2,'Komisyon Tarifeleri'!W136,'Komisyon Tarifeleri'!R136))</f>
        <v/>
      </c>
      <c r="Q136" s="10">
        <f>IF(OR(O136="",$D136=""),"",O136*(1-P136/100)-$D136-IF(O136&lt;=199.99,Kargo!$E$2,IF(O136&lt;=399.99,Kargo!$E$3,$F136)))</f>
        <v/>
      </c>
      <c r="R136" s="12">
        <f>IF(Q136="","",Q136/O136)</f>
        <v/>
      </c>
      <c r="S136" s="10">
        <f>IF($B136="","",IF('Komisyon Tarifeleri'!N136="","",'Komisyon Tarifeleri'!N136))</f>
        <v/>
      </c>
      <c r="T136" s="11">
        <f>IF(S136="","",IF($AM$1=2,'Komisyon Tarifeleri'!X136,'Komisyon Tarifeleri'!S136))</f>
        <v/>
      </c>
      <c r="U136" s="10">
        <f>IF(OR(S136="",$D136=""),"",S136*(1-T136/100)-$D136-IF(S136&lt;=199.99,Kargo!$E$2,IF(S136&lt;=399.99,Kargo!$E$3,$F136)))</f>
        <v/>
      </c>
      <c r="V136" s="12">
        <f>IF(U136="","",U136/S136)</f>
        <v/>
      </c>
      <c r="W136" s="12">
        <f>IF($B136="","",IFERROR(VLOOKUP($C136,Hedefler!$A:$C,2,FALSE),0.04))</f>
        <v/>
      </c>
      <c r="X136" s="12">
        <f>IF($B136="","",IFERROR(VLOOKUP($C136,Hedefler!$A:$C,3,FALSE),0.1))</f>
        <v/>
      </c>
      <c r="Y136" s="13">
        <f>IF($B136="","",IFERROR(VLOOKUP($B136,Maliyetler!$A:$E,5,FALSE),""))</f>
        <v/>
      </c>
      <c r="Z136" s="13">
        <f>IF(OR(Y136="",Y136=0),"",Y136-1)</f>
        <v/>
      </c>
      <c r="AA136" s="14">
        <f>IF(Z136="","",IF(Z136&gt;='Komisyon Tarifeleri'!I136,IF($AM$1=2,'Komisyon Tarifeleri'!U136,'Komisyon Tarifeleri'!P136),IF(Z136&gt;='Komisyon Tarifeleri'!K136,IF($AM$1=2,'Komisyon Tarifeleri'!V136,'Komisyon Tarifeleri'!Q136),IF(Z136&gt;='Komisyon Tarifeleri'!M136,IF($AM$1=2,'Komisyon Tarifeleri'!W136,'Komisyon Tarifeleri'!R136),IF($AM$1=2,'Komisyon Tarifeleri'!X136,'Komisyon Tarifeleri'!S136)))))</f>
        <v/>
      </c>
      <c r="AB136" s="13">
        <f>IF(OR(AA136="",$D136=""),"",Z136*(1-AA136/100)-$D136-IF(Z136&lt;=199.99,Kargo!$E$2,IF(Z136&lt;=399.99,Kargo!$E$3,$F136)))</f>
        <v/>
      </c>
      <c r="AC136" s="15">
        <f>IF(AB136="","",AB136/Z136)</f>
        <v/>
      </c>
      <c r="AD136" s="10">
        <f>IF(OR($D136="",$B136=""),"",IF(AND((1-T136/100-W136)&gt;0,CEILING(($D136+$F136)/(1-T136/100-W136),1)&lt;='Komisyon Tarifeleri'!N136),CEILING(($D136+$F136)/(1-T136/100-W136),1),IF(AND((1-P136/100-W136)&gt;0,CEILING(MAX('Komisyon Tarifeleri'!M136,($D136+$F136)/(1-P136/100-W136)),1)&lt;='Komisyon Tarifeleri'!L136),CEILING(MAX('Komisyon Tarifeleri'!M136,($D136+$F136)/(1-P136/100-W136)),1),IF(AND((1-L136/100-W136)&gt;0,CEILING(MAX('Komisyon Tarifeleri'!K136,($D136+$F136)/(1-L136/100-W136)),1)&lt;='Komisyon Tarifeleri'!J136),CEILING(MAX('Komisyon Tarifeleri'!K136,($D136+$F136)/(1-L136/100-W136)),1),IF((1-H136/100-W136)&gt;0,CEILING(MAX('Komisyon Tarifeleri'!I136,($D136+$F136)/(1-H136/100-W136)),1),"İMKÂNSIZ")))))</f>
        <v/>
      </c>
      <c r="AE136" s="10">
        <f>IF(OR($D136="",$B136=""),"",IF(AND((1-T136/100-X136)&gt;0,CEILING(($D136+$F136)/(1-T136/100-X136),1)&lt;='Komisyon Tarifeleri'!N136),CEILING(($D136+$F136)/(1-T136/100-X136),1),IF(AND((1-P136/100-X136)&gt;0,CEILING(MAX('Komisyon Tarifeleri'!M136,($D136+$F136)/(1-P136/100-X136)),1)&lt;='Komisyon Tarifeleri'!L136),CEILING(MAX('Komisyon Tarifeleri'!M136,($D136+$F136)/(1-P136/100-X136)),1),IF(AND((1-L136/100-X136)&gt;0,CEILING(MAX('Komisyon Tarifeleri'!K136,($D136+$F136)/(1-L136/100-X136)),1)&lt;='Komisyon Tarifeleri'!J136),CEILING(MAX('Komisyon Tarifeleri'!K136,($D136+$F136)/(1-L136/100-X136)),1),IF((1-H136/100-X136)&gt;0,CEILING(MAX('Komisyon Tarifeleri'!I136,($D136+$F136)/(1-H136/100-X136)),1),"İMKÂNSIZ")))))</f>
        <v/>
      </c>
      <c r="AF136" s="16">
        <f>IF($D136="","",IF(AND(Y136&lt;&gt;"",AC136&lt;&gt;"",AC136&gt;=W136),Z136,IF(Y136&lt;&gt;"",AD136,AE136)))</f>
        <v/>
      </c>
      <c r="AG136" s="16">
        <f>IF(OR(AF136="",AF136="İMKÂNSIZ"),"",AF136*(1-IF(AF136&gt;='Komisyon Tarifeleri'!I136,IF($AM$1=2,'Komisyon Tarifeleri'!U136,'Komisyon Tarifeleri'!P136),IF(AF136&gt;='Komisyon Tarifeleri'!K136,IF($AM$1=2,'Komisyon Tarifeleri'!V136,'Komisyon Tarifeleri'!Q136),IF(AF136&gt;='Komisyon Tarifeleri'!M136,IF($AM$1=2,'Komisyon Tarifeleri'!W136,'Komisyon Tarifeleri'!R136),IF($AM$1=2,'Komisyon Tarifeleri'!X136,'Komisyon Tarifeleri'!S136))))/100)-$D136-IF(AF136&lt;=199.99,Kargo!$E$2,IF(AF136&lt;=399.99,Kargo!$E$3,$F136)))</f>
        <v/>
      </c>
      <c r="AH136" s="17">
        <f>IF(AG136="","",AG136/AF136)</f>
        <v/>
      </c>
      <c r="AI136" s="18">
        <f>IF($D136="","",IF(Y136="","BUYBOX YOK → hedef kârla min fiyat",IF(AC136&gt;=W136,"✓ BUYBOX ALTINA GİR","BUYBOX ALTI KÂRSIZ → min kârlı fiyat")))</f>
        <v/>
      </c>
      <c r="AJ136" s="10">
        <f>IF($B136="","",IFERROR(VLOOKUP($B136,Maliyetler!$A:$G,6,FALSE),""))</f>
        <v/>
      </c>
      <c r="AK136">
        <f>IF($B136="","",IFERROR(VLOOKUP($B136,Maliyetler!$A:$G,7,FALSE),""))</f>
        <v/>
      </c>
      <c r="AO136" s="21">
        <f>IF($B136="","",IFERROR(VLOOKUP($B136&amp;"",'Plus Tarifeleri'!$C:$Q,11,FALSE),""))</f>
        <v/>
      </c>
      <c r="AP136" s="22">
        <f>IF(AO136="","",IFERROR(IF($AM$1=2,VLOOKUP($B136&amp;"",'Plus Tarifeleri'!$C:$Q,15,FALSE),VLOOKUP($B136&amp;"",'Plus Tarifeleri'!$C:$Q,13,FALSE)),""))</f>
        <v/>
      </c>
      <c r="AQ136" s="21">
        <f>IF(OR(AO136="",AP136="",$D136=""),"",AO136*(1-AP136/100)-$D136-IF(AO136&lt;=199.99,Kargo!$E$2,IF(AO136&lt;=399.99,Kargo!$E$3,$F136)))</f>
        <v/>
      </c>
      <c r="AR136" s="23">
        <f>IF(AQ136="","",AQ136/AO136)</f>
        <v/>
      </c>
      <c r="AS136" s="24">
        <f>IF(OR(AQ136="",AG136=""),"",AQ136-AG136)</f>
        <v/>
      </c>
    </row>
    <row r="137">
      <c r="A137">
        <f>IF('Komisyon Tarifeleri'!A137="","",'Komisyon Tarifeleri'!A137)</f>
        <v/>
      </c>
      <c r="B137">
        <f>IF('Komisyon Tarifeleri'!B137="","",'Komisyon Tarifeleri'!B137&amp;"")</f>
        <v/>
      </c>
      <c r="C137">
        <f>IF($B137="","",'Komisyon Tarifeleri'!F137)</f>
        <v/>
      </c>
      <c r="D137" s="10">
        <f>IF($B137="","",IFERROR(VLOOKUP($B137,Maliyetler!$A:$E,3,FALSE),""))</f>
        <v/>
      </c>
      <c r="E137">
        <f>IF($B137="","",IFERROR(VLOOKUP($B137,Maliyetler!$A:$E,4,FALSE),1))</f>
        <v/>
      </c>
      <c r="F137" s="10">
        <f>IF($B137="","",IFERROR(VLOOKUP(MIN(20,MAX(1,ROUND($E137,0))),Kargo!$A:$B,2,FALSE),99.46))</f>
        <v/>
      </c>
      <c r="G137" s="10">
        <f>IF($B137="","",IF(IF(N('Komisyon Tarifeleri'!AA137)&gt;='Komisyon Tarifeleri'!I137,'Komisyon Tarifeleri'!AA137,'Komisyon Tarifeleri'!I137)="","",IF(N('Komisyon Tarifeleri'!AA137)&gt;='Komisyon Tarifeleri'!I137,'Komisyon Tarifeleri'!AA137,'Komisyon Tarifeleri'!I137)))</f>
        <v/>
      </c>
      <c r="H137" s="11">
        <f>IF(G137="","",IF($AM$1=2,'Komisyon Tarifeleri'!U137,'Komisyon Tarifeleri'!P137))</f>
        <v/>
      </c>
      <c r="I137" s="10">
        <f>IF(OR(G137="",$D137=""),"",G137*(1-H137/100)-$D137-IF(G137&lt;=199.99,Kargo!$E$2,IF(G137&lt;=399.99,Kargo!$E$3,$F137)))</f>
        <v/>
      </c>
      <c r="J137" s="12">
        <f>IF(I137="","",I137/G137)</f>
        <v/>
      </c>
      <c r="K137" s="10">
        <f>IF($B137="","",IF('Komisyon Tarifeleri'!J137="","",'Komisyon Tarifeleri'!J137))</f>
        <v/>
      </c>
      <c r="L137" s="11">
        <f>IF(K137="","",IF($AM$1=2,'Komisyon Tarifeleri'!V137,'Komisyon Tarifeleri'!Q137))</f>
        <v/>
      </c>
      <c r="M137" s="10">
        <f>IF(OR(K137="",$D137=""),"",K137*(1-L137/100)-$D137-IF(K137&lt;=199.99,Kargo!$E$2,IF(K137&lt;=399.99,Kargo!$E$3,$F137)))</f>
        <v/>
      </c>
      <c r="N137" s="12">
        <f>IF(M137="","",M137/K137)</f>
        <v/>
      </c>
      <c r="O137" s="10">
        <f>IF($B137="","",IF('Komisyon Tarifeleri'!L137="","",'Komisyon Tarifeleri'!L137))</f>
        <v/>
      </c>
      <c r="P137" s="11">
        <f>IF(O137="","",IF($AM$1=2,'Komisyon Tarifeleri'!W137,'Komisyon Tarifeleri'!R137))</f>
        <v/>
      </c>
      <c r="Q137" s="10">
        <f>IF(OR(O137="",$D137=""),"",O137*(1-P137/100)-$D137-IF(O137&lt;=199.99,Kargo!$E$2,IF(O137&lt;=399.99,Kargo!$E$3,$F137)))</f>
        <v/>
      </c>
      <c r="R137" s="12">
        <f>IF(Q137="","",Q137/O137)</f>
        <v/>
      </c>
      <c r="S137" s="10">
        <f>IF($B137="","",IF('Komisyon Tarifeleri'!N137="","",'Komisyon Tarifeleri'!N137))</f>
        <v/>
      </c>
      <c r="T137" s="11">
        <f>IF(S137="","",IF($AM$1=2,'Komisyon Tarifeleri'!X137,'Komisyon Tarifeleri'!S137))</f>
        <v/>
      </c>
      <c r="U137" s="10">
        <f>IF(OR(S137="",$D137=""),"",S137*(1-T137/100)-$D137-IF(S137&lt;=199.99,Kargo!$E$2,IF(S137&lt;=399.99,Kargo!$E$3,$F137)))</f>
        <v/>
      </c>
      <c r="V137" s="12">
        <f>IF(U137="","",U137/S137)</f>
        <v/>
      </c>
      <c r="W137" s="12">
        <f>IF($B137="","",IFERROR(VLOOKUP($C137,Hedefler!$A:$C,2,FALSE),0.04))</f>
        <v/>
      </c>
      <c r="X137" s="12">
        <f>IF($B137="","",IFERROR(VLOOKUP($C137,Hedefler!$A:$C,3,FALSE),0.1))</f>
        <v/>
      </c>
      <c r="Y137" s="13">
        <f>IF($B137="","",IFERROR(VLOOKUP($B137,Maliyetler!$A:$E,5,FALSE),""))</f>
        <v/>
      </c>
      <c r="Z137" s="13">
        <f>IF(OR(Y137="",Y137=0),"",Y137-1)</f>
        <v/>
      </c>
      <c r="AA137" s="14">
        <f>IF(Z137="","",IF(Z137&gt;='Komisyon Tarifeleri'!I137,IF($AM$1=2,'Komisyon Tarifeleri'!U137,'Komisyon Tarifeleri'!P137),IF(Z137&gt;='Komisyon Tarifeleri'!K137,IF($AM$1=2,'Komisyon Tarifeleri'!V137,'Komisyon Tarifeleri'!Q137),IF(Z137&gt;='Komisyon Tarifeleri'!M137,IF($AM$1=2,'Komisyon Tarifeleri'!W137,'Komisyon Tarifeleri'!R137),IF($AM$1=2,'Komisyon Tarifeleri'!X137,'Komisyon Tarifeleri'!S137)))))</f>
        <v/>
      </c>
      <c r="AB137" s="13">
        <f>IF(OR(AA137="",$D137=""),"",Z137*(1-AA137/100)-$D137-IF(Z137&lt;=199.99,Kargo!$E$2,IF(Z137&lt;=399.99,Kargo!$E$3,$F137)))</f>
        <v/>
      </c>
      <c r="AC137" s="15">
        <f>IF(AB137="","",AB137/Z137)</f>
        <v/>
      </c>
      <c r="AD137" s="10">
        <f>IF(OR($D137="",$B137=""),"",IF(AND((1-T137/100-W137)&gt;0,CEILING(($D137+$F137)/(1-T137/100-W137),1)&lt;='Komisyon Tarifeleri'!N137),CEILING(($D137+$F137)/(1-T137/100-W137),1),IF(AND((1-P137/100-W137)&gt;0,CEILING(MAX('Komisyon Tarifeleri'!M137,($D137+$F137)/(1-P137/100-W137)),1)&lt;='Komisyon Tarifeleri'!L137),CEILING(MAX('Komisyon Tarifeleri'!M137,($D137+$F137)/(1-P137/100-W137)),1),IF(AND((1-L137/100-W137)&gt;0,CEILING(MAX('Komisyon Tarifeleri'!K137,($D137+$F137)/(1-L137/100-W137)),1)&lt;='Komisyon Tarifeleri'!J137),CEILING(MAX('Komisyon Tarifeleri'!K137,($D137+$F137)/(1-L137/100-W137)),1),IF((1-H137/100-W137)&gt;0,CEILING(MAX('Komisyon Tarifeleri'!I137,($D137+$F137)/(1-H137/100-W137)),1),"İMKÂNSIZ")))))</f>
        <v/>
      </c>
      <c r="AE137" s="10">
        <f>IF(OR($D137="",$B137=""),"",IF(AND((1-T137/100-X137)&gt;0,CEILING(($D137+$F137)/(1-T137/100-X137),1)&lt;='Komisyon Tarifeleri'!N137),CEILING(($D137+$F137)/(1-T137/100-X137),1),IF(AND((1-P137/100-X137)&gt;0,CEILING(MAX('Komisyon Tarifeleri'!M137,($D137+$F137)/(1-P137/100-X137)),1)&lt;='Komisyon Tarifeleri'!L137),CEILING(MAX('Komisyon Tarifeleri'!M137,($D137+$F137)/(1-P137/100-X137)),1),IF(AND((1-L137/100-X137)&gt;0,CEILING(MAX('Komisyon Tarifeleri'!K137,($D137+$F137)/(1-L137/100-X137)),1)&lt;='Komisyon Tarifeleri'!J137),CEILING(MAX('Komisyon Tarifeleri'!K137,($D137+$F137)/(1-L137/100-X137)),1),IF((1-H137/100-X137)&gt;0,CEILING(MAX('Komisyon Tarifeleri'!I137,($D137+$F137)/(1-H137/100-X137)),1),"İMKÂNSIZ")))))</f>
        <v/>
      </c>
      <c r="AF137" s="16">
        <f>IF($D137="","",IF(AND(Y137&lt;&gt;"",AC137&lt;&gt;"",AC137&gt;=W137),Z137,IF(Y137&lt;&gt;"",AD137,AE137)))</f>
        <v/>
      </c>
      <c r="AG137" s="16">
        <f>IF(OR(AF137="",AF137="İMKÂNSIZ"),"",AF137*(1-IF(AF137&gt;='Komisyon Tarifeleri'!I137,IF($AM$1=2,'Komisyon Tarifeleri'!U137,'Komisyon Tarifeleri'!P137),IF(AF137&gt;='Komisyon Tarifeleri'!K137,IF($AM$1=2,'Komisyon Tarifeleri'!V137,'Komisyon Tarifeleri'!Q137),IF(AF137&gt;='Komisyon Tarifeleri'!M137,IF($AM$1=2,'Komisyon Tarifeleri'!W137,'Komisyon Tarifeleri'!R137),IF($AM$1=2,'Komisyon Tarifeleri'!X137,'Komisyon Tarifeleri'!S137))))/100)-$D137-IF(AF137&lt;=199.99,Kargo!$E$2,IF(AF137&lt;=399.99,Kargo!$E$3,$F137)))</f>
        <v/>
      </c>
      <c r="AH137" s="17">
        <f>IF(AG137="","",AG137/AF137)</f>
        <v/>
      </c>
      <c r="AI137" s="18">
        <f>IF($D137="","",IF(Y137="","BUYBOX YOK → hedef kârla min fiyat",IF(AC137&gt;=W137,"✓ BUYBOX ALTINA GİR","BUYBOX ALTI KÂRSIZ → min kârlı fiyat")))</f>
        <v/>
      </c>
      <c r="AJ137" s="10">
        <f>IF($B137="","",IFERROR(VLOOKUP($B137,Maliyetler!$A:$G,6,FALSE),""))</f>
        <v/>
      </c>
      <c r="AK137">
        <f>IF($B137="","",IFERROR(VLOOKUP($B137,Maliyetler!$A:$G,7,FALSE),""))</f>
        <v/>
      </c>
      <c r="AO137" s="21">
        <f>IF($B137="","",IFERROR(VLOOKUP($B137&amp;"",'Plus Tarifeleri'!$C:$Q,11,FALSE),""))</f>
        <v/>
      </c>
      <c r="AP137" s="22">
        <f>IF(AO137="","",IFERROR(IF($AM$1=2,VLOOKUP($B137&amp;"",'Plus Tarifeleri'!$C:$Q,15,FALSE),VLOOKUP($B137&amp;"",'Plus Tarifeleri'!$C:$Q,13,FALSE)),""))</f>
        <v/>
      </c>
      <c r="AQ137" s="21">
        <f>IF(OR(AO137="",AP137="",$D137=""),"",AO137*(1-AP137/100)-$D137-IF(AO137&lt;=199.99,Kargo!$E$2,IF(AO137&lt;=399.99,Kargo!$E$3,$F137)))</f>
        <v/>
      </c>
      <c r="AR137" s="23">
        <f>IF(AQ137="","",AQ137/AO137)</f>
        <v/>
      </c>
      <c r="AS137" s="24">
        <f>IF(OR(AQ137="",AG137=""),"",AQ137-AG137)</f>
        <v/>
      </c>
    </row>
    <row r="138">
      <c r="A138">
        <f>IF('Komisyon Tarifeleri'!A138="","",'Komisyon Tarifeleri'!A138)</f>
        <v/>
      </c>
      <c r="B138">
        <f>IF('Komisyon Tarifeleri'!B138="","",'Komisyon Tarifeleri'!B138&amp;"")</f>
        <v/>
      </c>
      <c r="C138">
        <f>IF($B138="","",'Komisyon Tarifeleri'!F138)</f>
        <v/>
      </c>
      <c r="D138" s="10">
        <f>IF($B138="","",IFERROR(VLOOKUP($B138,Maliyetler!$A:$E,3,FALSE),""))</f>
        <v/>
      </c>
      <c r="E138">
        <f>IF($B138="","",IFERROR(VLOOKUP($B138,Maliyetler!$A:$E,4,FALSE),1))</f>
        <v/>
      </c>
      <c r="F138" s="10">
        <f>IF($B138="","",IFERROR(VLOOKUP(MIN(20,MAX(1,ROUND($E138,0))),Kargo!$A:$B,2,FALSE),99.46))</f>
        <v/>
      </c>
      <c r="G138" s="10">
        <f>IF($B138="","",IF(IF(N('Komisyon Tarifeleri'!AA138)&gt;='Komisyon Tarifeleri'!I138,'Komisyon Tarifeleri'!AA138,'Komisyon Tarifeleri'!I138)="","",IF(N('Komisyon Tarifeleri'!AA138)&gt;='Komisyon Tarifeleri'!I138,'Komisyon Tarifeleri'!AA138,'Komisyon Tarifeleri'!I138)))</f>
        <v/>
      </c>
      <c r="H138" s="11">
        <f>IF(G138="","",IF($AM$1=2,'Komisyon Tarifeleri'!U138,'Komisyon Tarifeleri'!P138))</f>
        <v/>
      </c>
      <c r="I138" s="10">
        <f>IF(OR(G138="",$D138=""),"",G138*(1-H138/100)-$D138-IF(G138&lt;=199.99,Kargo!$E$2,IF(G138&lt;=399.99,Kargo!$E$3,$F138)))</f>
        <v/>
      </c>
      <c r="J138" s="12">
        <f>IF(I138="","",I138/G138)</f>
        <v/>
      </c>
      <c r="K138" s="10">
        <f>IF($B138="","",IF('Komisyon Tarifeleri'!J138="","",'Komisyon Tarifeleri'!J138))</f>
        <v/>
      </c>
      <c r="L138" s="11">
        <f>IF(K138="","",IF($AM$1=2,'Komisyon Tarifeleri'!V138,'Komisyon Tarifeleri'!Q138))</f>
        <v/>
      </c>
      <c r="M138" s="10">
        <f>IF(OR(K138="",$D138=""),"",K138*(1-L138/100)-$D138-IF(K138&lt;=199.99,Kargo!$E$2,IF(K138&lt;=399.99,Kargo!$E$3,$F138)))</f>
        <v/>
      </c>
      <c r="N138" s="12">
        <f>IF(M138="","",M138/K138)</f>
        <v/>
      </c>
      <c r="O138" s="10">
        <f>IF($B138="","",IF('Komisyon Tarifeleri'!L138="","",'Komisyon Tarifeleri'!L138))</f>
        <v/>
      </c>
      <c r="P138" s="11">
        <f>IF(O138="","",IF($AM$1=2,'Komisyon Tarifeleri'!W138,'Komisyon Tarifeleri'!R138))</f>
        <v/>
      </c>
      <c r="Q138" s="10">
        <f>IF(OR(O138="",$D138=""),"",O138*(1-P138/100)-$D138-IF(O138&lt;=199.99,Kargo!$E$2,IF(O138&lt;=399.99,Kargo!$E$3,$F138)))</f>
        <v/>
      </c>
      <c r="R138" s="12">
        <f>IF(Q138="","",Q138/O138)</f>
        <v/>
      </c>
      <c r="S138" s="10">
        <f>IF($B138="","",IF('Komisyon Tarifeleri'!N138="","",'Komisyon Tarifeleri'!N138))</f>
        <v/>
      </c>
      <c r="T138" s="11">
        <f>IF(S138="","",IF($AM$1=2,'Komisyon Tarifeleri'!X138,'Komisyon Tarifeleri'!S138))</f>
        <v/>
      </c>
      <c r="U138" s="10">
        <f>IF(OR(S138="",$D138=""),"",S138*(1-T138/100)-$D138-IF(S138&lt;=199.99,Kargo!$E$2,IF(S138&lt;=399.99,Kargo!$E$3,$F138)))</f>
        <v/>
      </c>
      <c r="V138" s="12">
        <f>IF(U138="","",U138/S138)</f>
        <v/>
      </c>
      <c r="W138" s="12">
        <f>IF($B138="","",IFERROR(VLOOKUP($C138,Hedefler!$A:$C,2,FALSE),0.04))</f>
        <v/>
      </c>
      <c r="X138" s="12">
        <f>IF($B138="","",IFERROR(VLOOKUP($C138,Hedefler!$A:$C,3,FALSE),0.1))</f>
        <v/>
      </c>
      <c r="Y138" s="13">
        <f>IF($B138="","",IFERROR(VLOOKUP($B138,Maliyetler!$A:$E,5,FALSE),""))</f>
        <v/>
      </c>
      <c r="Z138" s="13">
        <f>IF(OR(Y138="",Y138=0),"",Y138-1)</f>
        <v/>
      </c>
      <c r="AA138" s="14">
        <f>IF(Z138="","",IF(Z138&gt;='Komisyon Tarifeleri'!I138,IF($AM$1=2,'Komisyon Tarifeleri'!U138,'Komisyon Tarifeleri'!P138),IF(Z138&gt;='Komisyon Tarifeleri'!K138,IF($AM$1=2,'Komisyon Tarifeleri'!V138,'Komisyon Tarifeleri'!Q138),IF(Z138&gt;='Komisyon Tarifeleri'!M138,IF($AM$1=2,'Komisyon Tarifeleri'!W138,'Komisyon Tarifeleri'!R138),IF($AM$1=2,'Komisyon Tarifeleri'!X138,'Komisyon Tarifeleri'!S138)))))</f>
        <v/>
      </c>
      <c r="AB138" s="13">
        <f>IF(OR(AA138="",$D138=""),"",Z138*(1-AA138/100)-$D138-IF(Z138&lt;=199.99,Kargo!$E$2,IF(Z138&lt;=399.99,Kargo!$E$3,$F138)))</f>
        <v/>
      </c>
      <c r="AC138" s="15">
        <f>IF(AB138="","",AB138/Z138)</f>
        <v/>
      </c>
      <c r="AD138" s="10">
        <f>IF(OR($D138="",$B138=""),"",IF(AND((1-T138/100-W138)&gt;0,CEILING(($D138+$F138)/(1-T138/100-W138),1)&lt;='Komisyon Tarifeleri'!N138),CEILING(($D138+$F138)/(1-T138/100-W138),1),IF(AND((1-P138/100-W138)&gt;0,CEILING(MAX('Komisyon Tarifeleri'!M138,($D138+$F138)/(1-P138/100-W138)),1)&lt;='Komisyon Tarifeleri'!L138),CEILING(MAX('Komisyon Tarifeleri'!M138,($D138+$F138)/(1-P138/100-W138)),1),IF(AND((1-L138/100-W138)&gt;0,CEILING(MAX('Komisyon Tarifeleri'!K138,($D138+$F138)/(1-L138/100-W138)),1)&lt;='Komisyon Tarifeleri'!J138),CEILING(MAX('Komisyon Tarifeleri'!K138,($D138+$F138)/(1-L138/100-W138)),1),IF((1-H138/100-W138)&gt;0,CEILING(MAX('Komisyon Tarifeleri'!I138,($D138+$F138)/(1-H138/100-W138)),1),"İMKÂNSIZ")))))</f>
        <v/>
      </c>
      <c r="AE138" s="10">
        <f>IF(OR($D138="",$B138=""),"",IF(AND((1-T138/100-X138)&gt;0,CEILING(($D138+$F138)/(1-T138/100-X138),1)&lt;='Komisyon Tarifeleri'!N138),CEILING(($D138+$F138)/(1-T138/100-X138),1),IF(AND((1-P138/100-X138)&gt;0,CEILING(MAX('Komisyon Tarifeleri'!M138,($D138+$F138)/(1-P138/100-X138)),1)&lt;='Komisyon Tarifeleri'!L138),CEILING(MAX('Komisyon Tarifeleri'!M138,($D138+$F138)/(1-P138/100-X138)),1),IF(AND((1-L138/100-X138)&gt;0,CEILING(MAX('Komisyon Tarifeleri'!K138,($D138+$F138)/(1-L138/100-X138)),1)&lt;='Komisyon Tarifeleri'!J138),CEILING(MAX('Komisyon Tarifeleri'!K138,($D138+$F138)/(1-L138/100-X138)),1),IF((1-H138/100-X138)&gt;0,CEILING(MAX('Komisyon Tarifeleri'!I138,($D138+$F138)/(1-H138/100-X138)),1),"İMKÂNSIZ")))))</f>
        <v/>
      </c>
      <c r="AF138" s="16">
        <f>IF($D138="","",IF(AND(Y138&lt;&gt;"",AC138&lt;&gt;"",AC138&gt;=W138),Z138,IF(Y138&lt;&gt;"",AD138,AE138)))</f>
        <v/>
      </c>
      <c r="AG138" s="16">
        <f>IF(OR(AF138="",AF138="İMKÂNSIZ"),"",AF138*(1-IF(AF138&gt;='Komisyon Tarifeleri'!I138,IF($AM$1=2,'Komisyon Tarifeleri'!U138,'Komisyon Tarifeleri'!P138),IF(AF138&gt;='Komisyon Tarifeleri'!K138,IF($AM$1=2,'Komisyon Tarifeleri'!V138,'Komisyon Tarifeleri'!Q138),IF(AF138&gt;='Komisyon Tarifeleri'!M138,IF($AM$1=2,'Komisyon Tarifeleri'!W138,'Komisyon Tarifeleri'!R138),IF($AM$1=2,'Komisyon Tarifeleri'!X138,'Komisyon Tarifeleri'!S138))))/100)-$D138-IF(AF138&lt;=199.99,Kargo!$E$2,IF(AF138&lt;=399.99,Kargo!$E$3,$F138)))</f>
        <v/>
      </c>
      <c r="AH138" s="17">
        <f>IF(AG138="","",AG138/AF138)</f>
        <v/>
      </c>
      <c r="AI138" s="18">
        <f>IF($D138="","",IF(Y138="","BUYBOX YOK → hedef kârla min fiyat",IF(AC138&gt;=W138,"✓ BUYBOX ALTINA GİR","BUYBOX ALTI KÂRSIZ → min kârlı fiyat")))</f>
        <v/>
      </c>
      <c r="AJ138" s="10">
        <f>IF($B138="","",IFERROR(VLOOKUP($B138,Maliyetler!$A:$G,6,FALSE),""))</f>
        <v/>
      </c>
      <c r="AK138">
        <f>IF($B138="","",IFERROR(VLOOKUP($B138,Maliyetler!$A:$G,7,FALSE),""))</f>
        <v/>
      </c>
      <c r="AO138" s="21">
        <f>IF($B138="","",IFERROR(VLOOKUP($B138&amp;"",'Plus Tarifeleri'!$C:$Q,11,FALSE),""))</f>
        <v/>
      </c>
      <c r="AP138" s="22">
        <f>IF(AO138="","",IFERROR(IF($AM$1=2,VLOOKUP($B138&amp;"",'Plus Tarifeleri'!$C:$Q,15,FALSE),VLOOKUP($B138&amp;"",'Plus Tarifeleri'!$C:$Q,13,FALSE)),""))</f>
        <v/>
      </c>
      <c r="AQ138" s="21">
        <f>IF(OR(AO138="",AP138="",$D138=""),"",AO138*(1-AP138/100)-$D138-IF(AO138&lt;=199.99,Kargo!$E$2,IF(AO138&lt;=399.99,Kargo!$E$3,$F138)))</f>
        <v/>
      </c>
      <c r="AR138" s="23">
        <f>IF(AQ138="","",AQ138/AO138)</f>
        <v/>
      </c>
      <c r="AS138" s="24">
        <f>IF(OR(AQ138="",AG138=""),"",AQ138-AG138)</f>
        <v/>
      </c>
    </row>
    <row r="139">
      <c r="A139">
        <f>IF('Komisyon Tarifeleri'!A139="","",'Komisyon Tarifeleri'!A139)</f>
        <v/>
      </c>
      <c r="B139">
        <f>IF('Komisyon Tarifeleri'!B139="","",'Komisyon Tarifeleri'!B139&amp;"")</f>
        <v/>
      </c>
      <c r="C139">
        <f>IF($B139="","",'Komisyon Tarifeleri'!F139)</f>
        <v/>
      </c>
      <c r="D139" s="10">
        <f>IF($B139="","",IFERROR(VLOOKUP($B139,Maliyetler!$A:$E,3,FALSE),""))</f>
        <v/>
      </c>
      <c r="E139">
        <f>IF($B139="","",IFERROR(VLOOKUP($B139,Maliyetler!$A:$E,4,FALSE),1))</f>
        <v/>
      </c>
      <c r="F139" s="10">
        <f>IF($B139="","",IFERROR(VLOOKUP(MIN(20,MAX(1,ROUND($E139,0))),Kargo!$A:$B,2,FALSE),99.46))</f>
        <v/>
      </c>
      <c r="G139" s="10">
        <f>IF($B139="","",IF(IF(N('Komisyon Tarifeleri'!AA139)&gt;='Komisyon Tarifeleri'!I139,'Komisyon Tarifeleri'!AA139,'Komisyon Tarifeleri'!I139)="","",IF(N('Komisyon Tarifeleri'!AA139)&gt;='Komisyon Tarifeleri'!I139,'Komisyon Tarifeleri'!AA139,'Komisyon Tarifeleri'!I139)))</f>
        <v/>
      </c>
      <c r="H139" s="11">
        <f>IF(G139="","",IF($AM$1=2,'Komisyon Tarifeleri'!U139,'Komisyon Tarifeleri'!P139))</f>
        <v/>
      </c>
      <c r="I139" s="10">
        <f>IF(OR(G139="",$D139=""),"",G139*(1-H139/100)-$D139-IF(G139&lt;=199.99,Kargo!$E$2,IF(G139&lt;=399.99,Kargo!$E$3,$F139)))</f>
        <v/>
      </c>
      <c r="J139" s="12">
        <f>IF(I139="","",I139/G139)</f>
        <v/>
      </c>
      <c r="K139" s="10">
        <f>IF($B139="","",IF('Komisyon Tarifeleri'!J139="","",'Komisyon Tarifeleri'!J139))</f>
        <v/>
      </c>
      <c r="L139" s="11">
        <f>IF(K139="","",IF($AM$1=2,'Komisyon Tarifeleri'!V139,'Komisyon Tarifeleri'!Q139))</f>
        <v/>
      </c>
      <c r="M139" s="10">
        <f>IF(OR(K139="",$D139=""),"",K139*(1-L139/100)-$D139-IF(K139&lt;=199.99,Kargo!$E$2,IF(K139&lt;=399.99,Kargo!$E$3,$F139)))</f>
        <v/>
      </c>
      <c r="N139" s="12">
        <f>IF(M139="","",M139/K139)</f>
        <v/>
      </c>
      <c r="O139" s="10">
        <f>IF($B139="","",IF('Komisyon Tarifeleri'!L139="","",'Komisyon Tarifeleri'!L139))</f>
        <v/>
      </c>
      <c r="P139" s="11">
        <f>IF(O139="","",IF($AM$1=2,'Komisyon Tarifeleri'!W139,'Komisyon Tarifeleri'!R139))</f>
        <v/>
      </c>
      <c r="Q139" s="10">
        <f>IF(OR(O139="",$D139=""),"",O139*(1-P139/100)-$D139-IF(O139&lt;=199.99,Kargo!$E$2,IF(O139&lt;=399.99,Kargo!$E$3,$F139)))</f>
        <v/>
      </c>
      <c r="R139" s="12">
        <f>IF(Q139="","",Q139/O139)</f>
        <v/>
      </c>
      <c r="S139" s="10">
        <f>IF($B139="","",IF('Komisyon Tarifeleri'!N139="","",'Komisyon Tarifeleri'!N139))</f>
        <v/>
      </c>
      <c r="T139" s="11">
        <f>IF(S139="","",IF($AM$1=2,'Komisyon Tarifeleri'!X139,'Komisyon Tarifeleri'!S139))</f>
        <v/>
      </c>
      <c r="U139" s="10">
        <f>IF(OR(S139="",$D139=""),"",S139*(1-T139/100)-$D139-IF(S139&lt;=199.99,Kargo!$E$2,IF(S139&lt;=399.99,Kargo!$E$3,$F139)))</f>
        <v/>
      </c>
      <c r="V139" s="12">
        <f>IF(U139="","",U139/S139)</f>
        <v/>
      </c>
      <c r="W139" s="12">
        <f>IF($B139="","",IFERROR(VLOOKUP($C139,Hedefler!$A:$C,2,FALSE),0.04))</f>
        <v/>
      </c>
      <c r="X139" s="12">
        <f>IF($B139="","",IFERROR(VLOOKUP($C139,Hedefler!$A:$C,3,FALSE),0.1))</f>
        <v/>
      </c>
      <c r="Y139" s="13">
        <f>IF($B139="","",IFERROR(VLOOKUP($B139,Maliyetler!$A:$E,5,FALSE),""))</f>
        <v/>
      </c>
      <c r="Z139" s="13">
        <f>IF(OR(Y139="",Y139=0),"",Y139-1)</f>
        <v/>
      </c>
      <c r="AA139" s="14">
        <f>IF(Z139="","",IF(Z139&gt;='Komisyon Tarifeleri'!I139,IF($AM$1=2,'Komisyon Tarifeleri'!U139,'Komisyon Tarifeleri'!P139),IF(Z139&gt;='Komisyon Tarifeleri'!K139,IF($AM$1=2,'Komisyon Tarifeleri'!V139,'Komisyon Tarifeleri'!Q139),IF(Z139&gt;='Komisyon Tarifeleri'!M139,IF($AM$1=2,'Komisyon Tarifeleri'!W139,'Komisyon Tarifeleri'!R139),IF($AM$1=2,'Komisyon Tarifeleri'!X139,'Komisyon Tarifeleri'!S139)))))</f>
        <v/>
      </c>
      <c r="AB139" s="13">
        <f>IF(OR(AA139="",$D139=""),"",Z139*(1-AA139/100)-$D139-IF(Z139&lt;=199.99,Kargo!$E$2,IF(Z139&lt;=399.99,Kargo!$E$3,$F139)))</f>
        <v/>
      </c>
      <c r="AC139" s="15">
        <f>IF(AB139="","",AB139/Z139)</f>
        <v/>
      </c>
      <c r="AD139" s="10">
        <f>IF(OR($D139="",$B139=""),"",IF(AND((1-T139/100-W139)&gt;0,CEILING(($D139+$F139)/(1-T139/100-W139),1)&lt;='Komisyon Tarifeleri'!N139),CEILING(($D139+$F139)/(1-T139/100-W139),1),IF(AND((1-P139/100-W139)&gt;0,CEILING(MAX('Komisyon Tarifeleri'!M139,($D139+$F139)/(1-P139/100-W139)),1)&lt;='Komisyon Tarifeleri'!L139),CEILING(MAX('Komisyon Tarifeleri'!M139,($D139+$F139)/(1-P139/100-W139)),1),IF(AND((1-L139/100-W139)&gt;0,CEILING(MAX('Komisyon Tarifeleri'!K139,($D139+$F139)/(1-L139/100-W139)),1)&lt;='Komisyon Tarifeleri'!J139),CEILING(MAX('Komisyon Tarifeleri'!K139,($D139+$F139)/(1-L139/100-W139)),1),IF((1-H139/100-W139)&gt;0,CEILING(MAX('Komisyon Tarifeleri'!I139,($D139+$F139)/(1-H139/100-W139)),1),"İMKÂNSIZ")))))</f>
        <v/>
      </c>
      <c r="AE139" s="10">
        <f>IF(OR($D139="",$B139=""),"",IF(AND((1-T139/100-X139)&gt;0,CEILING(($D139+$F139)/(1-T139/100-X139),1)&lt;='Komisyon Tarifeleri'!N139),CEILING(($D139+$F139)/(1-T139/100-X139),1),IF(AND((1-P139/100-X139)&gt;0,CEILING(MAX('Komisyon Tarifeleri'!M139,($D139+$F139)/(1-P139/100-X139)),1)&lt;='Komisyon Tarifeleri'!L139),CEILING(MAX('Komisyon Tarifeleri'!M139,($D139+$F139)/(1-P139/100-X139)),1),IF(AND((1-L139/100-X139)&gt;0,CEILING(MAX('Komisyon Tarifeleri'!K139,($D139+$F139)/(1-L139/100-X139)),1)&lt;='Komisyon Tarifeleri'!J139),CEILING(MAX('Komisyon Tarifeleri'!K139,($D139+$F139)/(1-L139/100-X139)),1),IF((1-H139/100-X139)&gt;0,CEILING(MAX('Komisyon Tarifeleri'!I139,($D139+$F139)/(1-H139/100-X139)),1),"İMKÂNSIZ")))))</f>
        <v/>
      </c>
      <c r="AF139" s="16">
        <f>IF($D139="","",IF(AND(Y139&lt;&gt;"",AC139&lt;&gt;"",AC139&gt;=W139),Z139,IF(Y139&lt;&gt;"",AD139,AE139)))</f>
        <v/>
      </c>
      <c r="AG139" s="16">
        <f>IF(OR(AF139="",AF139="İMKÂNSIZ"),"",AF139*(1-IF(AF139&gt;='Komisyon Tarifeleri'!I139,IF($AM$1=2,'Komisyon Tarifeleri'!U139,'Komisyon Tarifeleri'!P139),IF(AF139&gt;='Komisyon Tarifeleri'!K139,IF($AM$1=2,'Komisyon Tarifeleri'!V139,'Komisyon Tarifeleri'!Q139),IF(AF139&gt;='Komisyon Tarifeleri'!M139,IF($AM$1=2,'Komisyon Tarifeleri'!W139,'Komisyon Tarifeleri'!R139),IF($AM$1=2,'Komisyon Tarifeleri'!X139,'Komisyon Tarifeleri'!S139))))/100)-$D139-IF(AF139&lt;=199.99,Kargo!$E$2,IF(AF139&lt;=399.99,Kargo!$E$3,$F139)))</f>
        <v/>
      </c>
      <c r="AH139" s="17">
        <f>IF(AG139="","",AG139/AF139)</f>
        <v/>
      </c>
      <c r="AI139" s="18">
        <f>IF($D139="","",IF(Y139="","BUYBOX YOK → hedef kârla min fiyat",IF(AC139&gt;=W139,"✓ BUYBOX ALTINA GİR","BUYBOX ALTI KÂRSIZ → min kârlı fiyat")))</f>
        <v/>
      </c>
      <c r="AJ139" s="10">
        <f>IF($B139="","",IFERROR(VLOOKUP($B139,Maliyetler!$A:$G,6,FALSE),""))</f>
        <v/>
      </c>
      <c r="AK139">
        <f>IF($B139="","",IFERROR(VLOOKUP($B139,Maliyetler!$A:$G,7,FALSE),""))</f>
        <v/>
      </c>
      <c r="AO139" s="21">
        <f>IF($B139="","",IFERROR(VLOOKUP($B139&amp;"",'Plus Tarifeleri'!$C:$Q,11,FALSE),""))</f>
        <v/>
      </c>
      <c r="AP139" s="22">
        <f>IF(AO139="","",IFERROR(IF($AM$1=2,VLOOKUP($B139&amp;"",'Plus Tarifeleri'!$C:$Q,15,FALSE),VLOOKUP($B139&amp;"",'Plus Tarifeleri'!$C:$Q,13,FALSE)),""))</f>
        <v/>
      </c>
      <c r="AQ139" s="21">
        <f>IF(OR(AO139="",AP139="",$D139=""),"",AO139*(1-AP139/100)-$D139-IF(AO139&lt;=199.99,Kargo!$E$2,IF(AO139&lt;=399.99,Kargo!$E$3,$F139)))</f>
        <v/>
      </c>
      <c r="AR139" s="23">
        <f>IF(AQ139="","",AQ139/AO139)</f>
        <v/>
      </c>
      <c r="AS139" s="24">
        <f>IF(OR(AQ139="",AG139=""),"",AQ139-AG139)</f>
        <v/>
      </c>
    </row>
    <row r="140">
      <c r="A140">
        <f>IF('Komisyon Tarifeleri'!A140="","",'Komisyon Tarifeleri'!A140)</f>
        <v/>
      </c>
      <c r="B140">
        <f>IF('Komisyon Tarifeleri'!B140="","",'Komisyon Tarifeleri'!B140&amp;"")</f>
        <v/>
      </c>
      <c r="C140">
        <f>IF($B140="","",'Komisyon Tarifeleri'!F140)</f>
        <v/>
      </c>
      <c r="D140" s="10">
        <f>IF($B140="","",IFERROR(VLOOKUP($B140,Maliyetler!$A:$E,3,FALSE),""))</f>
        <v/>
      </c>
      <c r="E140">
        <f>IF($B140="","",IFERROR(VLOOKUP($B140,Maliyetler!$A:$E,4,FALSE),1))</f>
        <v/>
      </c>
      <c r="F140" s="10">
        <f>IF($B140="","",IFERROR(VLOOKUP(MIN(20,MAX(1,ROUND($E140,0))),Kargo!$A:$B,2,FALSE),99.46))</f>
        <v/>
      </c>
      <c r="G140" s="10">
        <f>IF($B140="","",IF(IF(N('Komisyon Tarifeleri'!AA140)&gt;='Komisyon Tarifeleri'!I140,'Komisyon Tarifeleri'!AA140,'Komisyon Tarifeleri'!I140)="","",IF(N('Komisyon Tarifeleri'!AA140)&gt;='Komisyon Tarifeleri'!I140,'Komisyon Tarifeleri'!AA140,'Komisyon Tarifeleri'!I140)))</f>
        <v/>
      </c>
      <c r="H140" s="11">
        <f>IF(G140="","",IF($AM$1=2,'Komisyon Tarifeleri'!U140,'Komisyon Tarifeleri'!P140))</f>
        <v/>
      </c>
      <c r="I140" s="10">
        <f>IF(OR(G140="",$D140=""),"",G140*(1-H140/100)-$D140-IF(G140&lt;=199.99,Kargo!$E$2,IF(G140&lt;=399.99,Kargo!$E$3,$F140)))</f>
        <v/>
      </c>
      <c r="J140" s="12">
        <f>IF(I140="","",I140/G140)</f>
        <v/>
      </c>
      <c r="K140" s="10">
        <f>IF($B140="","",IF('Komisyon Tarifeleri'!J140="","",'Komisyon Tarifeleri'!J140))</f>
        <v/>
      </c>
      <c r="L140" s="11">
        <f>IF(K140="","",IF($AM$1=2,'Komisyon Tarifeleri'!V140,'Komisyon Tarifeleri'!Q140))</f>
        <v/>
      </c>
      <c r="M140" s="10">
        <f>IF(OR(K140="",$D140=""),"",K140*(1-L140/100)-$D140-IF(K140&lt;=199.99,Kargo!$E$2,IF(K140&lt;=399.99,Kargo!$E$3,$F140)))</f>
        <v/>
      </c>
      <c r="N140" s="12">
        <f>IF(M140="","",M140/K140)</f>
        <v/>
      </c>
      <c r="O140" s="10">
        <f>IF($B140="","",IF('Komisyon Tarifeleri'!L140="","",'Komisyon Tarifeleri'!L140))</f>
        <v/>
      </c>
      <c r="P140" s="11">
        <f>IF(O140="","",IF($AM$1=2,'Komisyon Tarifeleri'!W140,'Komisyon Tarifeleri'!R140))</f>
        <v/>
      </c>
      <c r="Q140" s="10">
        <f>IF(OR(O140="",$D140=""),"",O140*(1-P140/100)-$D140-IF(O140&lt;=199.99,Kargo!$E$2,IF(O140&lt;=399.99,Kargo!$E$3,$F140)))</f>
        <v/>
      </c>
      <c r="R140" s="12">
        <f>IF(Q140="","",Q140/O140)</f>
        <v/>
      </c>
      <c r="S140" s="10">
        <f>IF($B140="","",IF('Komisyon Tarifeleri'!N140="","",'Komisyon Tarifeleri'!N140))</f>
        <v/>
      </c>
      <c r="T140" s="11">
        <f>IF(S140="","",IF($AM$1=2,'Komisyon Tarifeleri'!X140,'Komisyon Tarifeleri'!S140))</f>
        <v/>
      </c>
      <c r="U140" s="10">
        <f>IF(OR(S140="",$D140=""),"",S140*(1-T140/100)-$D140-IF(S140&lt;=199.99,Kargo!$E$2,IF(S140&lt;=399.99,Kargo!$E$3,$F140)))</f>
        <v/>
      </c>
      <c r="V140" s="12">
        <f>IF(U140="","",U140/S140)</f>
        <v/>
      </c>
      <c r="W140" s="12">
        <f>IF($B140="","",IFERROR(VLOOKUP($C140,Hedefler!$A:$C,2,FALSE),0.04))</f>
        <v/>
      </c>
      <c r="X140" s="12">
        <f>IF($B140="","",IFERROR(VLOOKUP($C140,Hedefler!$A:$C,3,FALSE),0.1))</f>
        <v/>
      </c>
      <c r="Y140" s="13">
        <f>IF($B140="","",IFERROR(VLOOKUP($B140,Maliyetler!$A:$E,5,FALSE),""))</f>
        <v/>
      </c>
      <c r="Z140" s="13">
        <f>IF(OR(Y140="",Y140=0),"",Y140-1)</f>
        <v/>
      </c>
      <c r="AA140" s="14">
        <f>IF(Z140="","",IF(Z140&gt;='Komisyon Tarifeleri'!I140,IF($AM$1=2,'Komisyon Tarifeleri'!U140,'Komisyon Tarifeleri'!P140),IF(Z140&gt;='Komisyon Tarifeleri'!K140,IF($AM$1=2,'Komisyon Tarifeleri'!V140,'Komisyon Tarifeleri'!Q140),IF(Z140&gt;='Komisyon Tarifeleri'!M140,IF($AM$1=2,'Komisyon Tarifeleri'!W140,'Komisyon Tarifeleri'!R140),IF($AM$1=2,'Komisyon Tarifeleri'!X140,'Komisyon Tarifeleri'!S140)))))</f>
        <v/>
      </c>
      <c r="AB140" s="13">
        <f>IF(OR(AA140="",$D140=""),"",Z140*(1-AA140/100)-$D140-IF(Z140&lt;=199.99,Kargo!$E$2,IF(Z140&lt;=399.99,Kargo!$E$3,$F140)))</f>
        <v/>
      </c>
      <c r="AC140" s="15">
        <f>IF(AB140="","",AB140/Z140)</f>
        <v/>
      </c>
      <c r="AD140" s="10">
        <f>IF(OR($D140="",$B140=""),"",IF(AND((1-T140/100-W140)&gt;0,CEILING(($D140+$F140)/(1-T140/100-W140),1)&lt;='Komisyon Tarifeleri'!N140),CEILING(($D140+$F140)/(1-T140/100-W140),1),IF(AND((1-P140/100-W140)&gt;0,CEILING(MAX('Komisyon Tarifeleri'!M140,($D140+$F140)/(1-P140/100-W140)),1)&lt;='Komisyon Tarifeleri'!L140),CEILING(MAX('Komisyon Tarifeleri'!M140,($D140+$F140)/(1-P140/100-W140)),1),IF(AND((1-L140/100-W140)&gt;0,CEILING(MAX('Komisyon Tarifeleri'!K140,($D140+$F140)/(1-L140/100-W140)),1)&lt;='Komisyon Tarifeleri'!J140),CEILING(MAX('Komisyon Tarifeleri'!K140,($D140+$F140)/(1-L140/100-W140)),1),IF((1-H140/100-W140)&gt;0,CEILING(MAX('Komisyon Tarifeleri'!I140,($D140+$F140)/(1-H140/100-W140)),1),"İMKÂNSIZ")))))</f>
        <v/>
      </c>
      <c r="AE140" s="10">
        <f>IF(OR($D140="",$B140=""),"",IF(AND((1-T140/100-X140)&gt;0,CEILING(($D140+$F140)/(1-T140/100-X140),1)&lt;='Komisyon Tarifeleri'!N140),CEILING(($D140+$F140)/(1-T140/100-X140),1),IF(AND((1-P140/100-X140)&gt;0,CEILING(MAX('Komisyon Tarifeleri'!M140,($D140+$F140)/(1-P140/100-X140)),1)&lt;='Komisyon Tarifeleri'!L140),CEILING(MAX('Komisyon Tarifeleri'!M140,($D140+$F140)/(1-P140/100-X140)),1),IF(AND((1-L140/100-X140)&gt;0,CEILING(MAX('Komisyon Tarifeleri'!K140,($D140+$F140)/(1-L140/100-X140)),1)&lt;='Komisyon Tarifeleri'!J140),CEILING(MAX('Komisyon Tarifeleri'!K140,($D140+$F140)/(1-L140/100-X140)),1),IF((1-H140/100-X140)&gt;0,CEILING(MAX('Komisyon Tarifeleri'!I140,($D140+$F140)/(1-H140/100-X140)),1),"İMKÂNSIZ")))))</f>
        <v/>
      </c>
      <c r="AF140" s="16">
        <f>IF($D140="","",IF(AND(Y140&lt;&gt;"",AC140&lt;&gt;"",AC140&gt;=W140),Z140,IF(Y140&lt;&gt;"",AD140,AE140)))</f>
        <v/>
      </c>
      <c r="AG140" s="16">
        <f>IF(OR(AF140="",AF140="İMKÂNSIZ"),"",AF140*(1-IF(AF140&gt;='Komisyon Tarifeleri'!I140,IF($AM$1=2,'Komisyon Tarifeleri'!U140,'Komisyon Tarifeleri'!P140),IF(AF140&gt;='Komisyon Tarifeleri'!K140,IF($AM$1=2,'Komisyon Tarifeleri'!V140,'Komisyon Tarifeleri'!Q140),IF(AF140&gt;='Komisyon Tarifeleri'!M140,IF($AM$1=2,'Komisyon Tarifeleri'!W140,'Komisyon Tarifeleri'!R140),IF($AM$1=2,'Komisyon Tarifeleri'!X140,'Komisyon Tarifeleri'!S140))))/100)-$D140-IF(AF140&lt;=199.99,Kargo!$E$2,IF(AF140&lt;=399.99,Kargo!$E$3,$F140)))</f>
        <v/>
      </c>
      <c r="AH140" s="17">
        <f>IF(AG140="","",AG140/AF140)</f>
        <v/>
      </c>
      <c r="AI140" s="18">
        <f>IF($D140="","",IF(Y140="","BUYBOX YOK → hedef kârla min fiyat",IF(AC140&gt;=W140,"✓ BUYBOX ALTINA GİR","BUYBOX ALTI KÂRSIZ → min kârlı fiyat")))</f>
        <v/>
      </c>
      <c r="AJ140" s="10">
        <f>IF($B140="","",IFERROR(VLOOKUP($B140,Maliyetler!$A:$G,6,FALSE),""))</f>
        <v/>
      </c>
      <c r="AK140">
        <f>IF($B140="","",IFERROR(VLOOKUP($B140,Maliyetler!$A:$G,7,FALSE),""))</f>
        <v/>
      </c>
      <c r="AO140" s="21">
        <f>IF($B140="","",IFERROR(VLOOKUP($B140&amp;"",'Plus Tarifeleri'!$C:$Q,11,FALSE),""))</f>
        <v/>
      </c>
      <c r="AP140" s="22">
        <f>IF(AO140="","",IFERROR(IF($AM$1=2,VLOOKUP($B140&amp;"",'Plus Tarifeleri'!$C:$Q,15,FALSE),VLOOKUP($B140&amp;"",'Plus Tarifeleri'!$C:$Q,13,FALSE)),""))</f>
        <v/>
      </c>
      <c r="AQ140" s="21">
        <f>IF(OR(AO140="",AP140="",$D140=""),"",AO140*(1-AP140/100)-$D140-IF(AO140&lt;=199.99,Kargo!$E$2,IF(AO140&lt;=399.99,Kargo!$E$3,$F140)))</f>
        <v/>
      </c>
      <c r="AR140" s="23">
        <f>IF(AQ140="","",AQ140/AO140)</f>
        <v/>
      </c>
      <c r="AS140" s="24">
        <f>IF(OR(AQ140="",AG140=""),"",AQ140-AG140)</f>
        <v/>
      </c>
    </row>
    <row r="141">
      <c r="A141">
        <f>IF('Komisyon Tarifeleri'!A141="","",'Komisyon Tarifeleri'!A141)</f>
        <v/>
      </c>
      <c r="B141">
        <f>IF('Komisyon Tarifeleri'!B141="","",'Komisyon Tarifeleri'!B141&amp;"")</f>
        <v/>
      </c>
      <c r="C141">
        <f>IF($B141="","",'Komisyon Tarifeleri'!F141)</f>
        <v/>
      </c>
      <c r="D141" s="10">
        <f>IF($B141="","",IFERROR(VLOOKUP($B141,Maliyetler!$A:$E,3,FALSE),""))</f>
        <v/>
      </c>
      <c r="E141">
        <f>IF($B141="","",IFERROR(VLOOKUP($B141,Maliyetler!$A:$E,4,FALSE),1))</f>
        <v/>
      </c>
      <c r="F141" s="10">
        <f>IF($B141="","",IFERROR(VLOOKUP(MIN(20,MAX(1,ROUND($E141,0))),Kargo!$A:$B,2,FALSE),99.46))</f>
        <v/>
      </c>
      <c r="G141" s="10">
        <f>IF($B141="","",IF(IF(N('Komisyon Tarifeleri'!AA141)&gt;='Komisyon Tarifeleri'!I141,'Komisyon Tarifeleri'!AA141,'Komisyon Tarifeleri'!I141)="","",IF(N('Komisyon Tarifeleri'!AA141)&gt;='Komisyon Tarifeleri'!I141,'Komisyon Tarifeleri'!AA141,'Komisyon Tarifeleri'!I141)))</f>
        <v/>
      </c>
      <c r="H141" s="11">
        <f>IF(G141="","",IF($AM$1=2,'Komisyon Tarifeleri'!U141,'Komisyon Tarifeleri'!P141))</f>
        <v/>
      </c>
      <c r="I141" s="10">
        <f>IF(OR(G141="",$D141=""),"",G141*(1-H141/100)-$D141-IF(G141&lt;=199.99,Kargo!$E$2,IF(G141&lt;=399.99,Kargo!$E$3,$F141)))</f>
        <v/>
      </c>
      <c r="J141" s="12">
        <f>IF(I141="","",I141/G141)</f>
        <v/>
      </c>
      <c r="K141" s="10">
        <f>IF($B141="","",IF('Komisyon Tarifeleri'!J141="","",'Komisyon Tarifeleri'!J141))</f>
        <v/>
      </c>
      <c r="L141" s="11">
        <f>IF(K141="","",IF($AM$1=2,'Komisyon Tarifeleri'!V141,'Komisyon Tarifeleri'!Q141))</f>
        <v/>
      </c>
      <c r="M141" s="10">
        <f>IF(OR(K141="",$D141=""),"",K141*(1-L141/100)-$D141-IF(K141&lt;=199.99,Kargo!$E$2,IF(K141&lt;=399.99,Kargo!$E$3,$F141)))</f>
        <v/>
      </c>
      <c r="N141" s="12">
        <f>IF(M141="","",M141/K141)</f>
        <v/>
      </c>
      <c r="O141" s="10">
        <f>IF($B141="","",IF('Komisyon Tarifeleri'!L141="","",'Komisyon Tarifeleri'!L141))</f>
        <v/>
      </c>
      <c r="P141" s="11">
        <f>IF(O141="","",IF($AM$1=2,'Komisyon Tarifeleri'!W141,'Komisyon Tarifeleri'!R141))</f>
        <v/>
      </c>
      <c r="Q141" s="10">
        <f>IF(OR(O141="",$D141=""),"",O141*(1-P141/100)-$D141-IF(O141&lt;=199.99,Kargo!$E$2,IF(O141&lt;=399.99,Kargo!$E$3,$F141)))</f>
        <v/>
      </c>
      <c r="R141" s="12">
        <f>IF(Q141="","",Q141/O141)</f>
        <v/>
      </c>
      <c r="S141" s="10">
        <f>IF($B141="","",IF('Komisyon Tarifeleri'!N141="","",'Komisyon Tarifeleri'!N141))</f>
        <v/>
      </c>
      <c r="T141" s="11">
        <f>IF(S141="","",IF($AM$1=2,'Komisyon Tarifeleri'!X141,'Komisyon Tarifeleri'!S141))</f>
        <v/>
      </c>
      <c r="U141" s="10">
        <f>IF(OR(S141="",$D141=""),"",S141*(1-T141/100)-$D141-IF(S141&lt;=199.99,Kargo!$E$2,IF(S141&lt;=399.99,Kargo!$E$3,$F141)))</f>
        <v/>
      </c>
      <c r="V141" s="12">
        <f>IF(U141="","",U141/S141)</f>
        <v/>
      </c>
      <c r="W141" s="12">
        <f>IF($B141="","",IFERROR(VLOOKUP($C141,Hedefler!$A:$C,2,FALSE),0.04))</f>
        <v/>
      </c>
      <c r="X141" s="12">
        <f>IF($B141="","",IFERROR(VLOOKUP($C141,Hedefler!$A:$C,3,FALSE),0.1))</f>
        <v/>
      </c>
      <c r="Y141" s="13">
        <f>IF($B141="","",IFERROR(VLOOKUP($B141,Maliyetler!$A:$E,5,FALSE),""))</f>
        <v/>
      </c>
      <c r="Z141" s="13">
        <f>IF(OR(Y141="",Y141=0),"",Y141-1)</f>
        <v/>
      </c>
      <c r="AA141" s="14">
        <f>IF(Z141="","",IF(Z141&gt;='Komisyon Tarifeleri'!I141,IF($AM$1=2,'Komisyon Tarifeleri'!U141,'Komisyon Tarifeleri'!P141),IF(Z141&gt;='Komisyon Tarifeleri'!K141,IF($AM$1=2,'Komisyon Tarifeleri'!V141,'Komisyon Tarifeleri'!Q141),IF(Z141&gt;='Komisyon Tarifeleri'!M141,IF($AM$1=2,'Komisyon Tarifeleri'!W141,'Komisyon Tarifeleri'!R141),IF($AM$1=2,'Komisyon Tarifeleri'!X141,'Komisyon Tarifeleri'!S141)))))</f>
        <v/>
      </c>
      <c r="AB141" s="13">
        <f>IF(OR(AA141="",$D141=""),"",Z141*(1-AA141/100)-$D141-IF(Z141&lt;=199.99,Kargo!$E$2,IF(Z141&lt;=399.99,Kargo!$E$3,$F141)))</f>
        <v/>
      </c>
      <c r="AC141" s="15">
        <f>IF(AB141="","",AB141/Z141)</f>
        <v/>
      </c>
      <c r="AD141" s="10">
        <f>IF(OR($D141="",$B141=""),"",IF(AND((1-T141/100-W141)&gt;0,CEILING(($D141+$F141)/(1-T141/100-W141),1)&lt;='Komisyon Tarifeleri'!N141),CEILING(($D141+$F141)/(1-T141/100-W141),1),IF(AND((1-P141/100-W141)&gt;0,CEILING(MAX('Komisyon Tarifeleri'!M141,($D141+$F141)/(1-P141/100-W141)),1)&lt;='Komisyon Tarifeleri'!L141),CEILING(MAX('Komisyon Tarifeleri'!M141,($D141+$F141)/(1-P141/100-W141)),1),IF(AND((1-L141/100-W141)&gt;0,CEILING(MAX('Komisyon Tarifeleri'!K141,($D141+$F141)/(1-L141/100-W141)),1)&lt;='Komisyon Tarifeleri'!J141),CEILING(MAX('Komisyon Tarifeleri'!K141,($D141+$F141)/(1-L141/100-W141)),1),IF((1-H141/100-W141)&gt;0,CEILING(MAX('Komisyon Tarifeleri'!I141,($D141+$F141)/(1-H141/100-W141)),1),"İMKÂNSIZ")))))</f>
        <v/>
      </c>
      <c r="AE141" s="10">
        <f>IF(OR($D141="",$B141=""),"",IF(AND((1-T141/100-X141)&gt;0,CEILING(($D141+$F141)/(1-T141/100-X141),1)&lt;='Komisyon Tarifeleri'!N141),CEILING(($D141+$F141)/(1-T141/100-X141),1),IF(AND((1-P141/100-X141)&gt;0,CEILING(MAX('Komisyon Tarifeleri'!M141,($D141+$F141)/(1-P141/100-X141)),1)&lt;='Komisyon Tarifeleri'!L141),CEILING(MAX('Komisyon Tarifeleri'!M141,($D141+$F141)/(1-P141/100-X141)),1),IF(AND((1-L141/100-X141)&gt;0,CEILING(MAX('Komisyon Tarifeleri'!K141,($D141+$F141)/(1-L141/100-X141)),1)&lt;='Komisyon Tarifeleri'!J141),CEILING(MAX('Komisyon Tarifeleri'!K141,($D141+$F141)/(1-L141/100-X141)),1),IF((1-H141/100-X141)&gt;0,CEILING(MAX('Komisyon Tarifeleri'!I141,($D141+$F141)/(1-H141/100-X141)),1),"İMKÂNSIZ")))))</f>
        <v/>
      </c>
      <c r="AF141" s="16">
        <f>IF($D141="","",IF(AND(Y141&lt;&gt;"",AC141&lt;&gt;"",AC141&gt;=W141),Z141,IF(Y141&lt;&gt;"",AD141,AE141)))</f>
        <v/>
      </c>
      <c r="AG141" s="16">
        <f>IF(OR(AF141="",AF141="İMKÂNSIZ"),"",AF141*(1-IF(AF141&gt;='Komisyon Tarifeleri'!I141,IF($AM$1=2,'Komisyon Tarifeleri'!U141,'Komisyon Tarifeleri'!P141),IF(AF141&gt;='Komisyon Tarifeleri'!K141,IF($AM$1=2,'Komisyon Tarifeleri'!V141,'Komisyon Tarifeleri'!Q141),IF(AF141&gt;='Komisyon Tarifeleri'!M141,IF($AM$1=2,'Komisyon Tarifeleri'!W141,'Komisyon Tarifeleri'!R141),IF($AM$1=2,'Komisyon Tarifeleri'!X141,'Komisyon Tarifeleri'!S141))))/100)-$D141-IF(AF141&lt;=199.99,Kargo!$E$2,IF(AF141&lt;=399.99,Kargo!$E$3,$F141)))</f>
        <v/>
      </c>
      <c r="AH141" s="17">
        <f>IF(AG141="","",AG141/AF141)</f>
        <v/>
      </c>
      <c r="AI141" s="18">
        <f>IF($D141="","",IF(Y141="","BUYBOX YOK → hedef kârla min fiyat",IF(AC141&gt;=W141,"✓ BUYBOX ALTINA GİR","BUYBOX ALTI KÂRSIZ → min kârlı fiyat")))</f>
        <v/>
      </c>
      <c r="AJ141" s="10">
        <f>IF($B141="","",IFERROR(VLOOKUP($B141,Maliyetler!$A:$G,6,FALSE),""))</f>
        <v/>
      </c>
      <c r="AK141">
        <f>IF($B141="","",IFERROR(VLOOKUP($B141,Maliyetler!$A:$G,7,FALSE),""))</f>
        <v/>
      </c>
      <c r="AO141" s="21">
        <f>IF($B141="","",IFERROR(VLOOKUP($B141&amp;"",'Plus Tarifeleri'!$C:$Q,11,FALSE),""))</f>
        <v/>
      </c>
      <c r="AP141" s="22">
        <f>IF(AO141="","",IFERROR(IF($AM$1=2,VLOOKUP($B141&amp;"",'Plus Tarifeleri'!$C:$Q,15,FALSE),VLOOKUP($B141&amp;"",'Plus Tarifeleri'!$C:$Q,13,FALSE)),""))</f>
        <v/>
      </c>
      <c r="AQ141" s="21">
        <f>IF(OR(AO141="",AP141="",$D141=""),"",AO141*(1-AP141/100)-$D141-IF(AO141&lt;=199.99,Kargo!$E$2,IF(AO141&lt;=399.99,Kargo!$E$3,$F141)))</f>
        <v/>
      </c>
      <c r="AR141" s="23">
        <f>IF(AQ141="","",AQ141/AO141)</f>
        <v/>
      </c>
      <c r="AS141" s="24">
        <f>IF(OR(AQ141="",AG141=""),"",AQ141-AG141)</f>
        <v/>
      </c>
    </row>
    <row r="142">
      <c r="A142">
        <f>IF('Komisyon Tarifeleri'!A142="","",'Komisyon Tarifeleri'!A142)</f>
        <v/>
      </c>
      <c r="B142">
        <f>IF('Komisyon Tarifeleri'!B142="","",'Komisyon Tarifeleri'!B142&amp;"")</f>
        <v/>
      </c>
      <c r="C142">
        <f>IF($B142="","",'Komisyon Tarifeleri'!F142)</f>
        <v/>
      </c>
      <c r="D142" s="10">
        <f>IF($B142="","",IFERROR(VLOOKUP($B142,Maliyetler!$A:$E,3,FALSE),""))</f>
        <v/>
      </c>
      <c r="E142">
        <f>IF($B142="","",IFERROR(VLOOKUP($B142,Maliyetler!$A:$E,4,FALSE),1))</f>
        <v/>
      </c>
      <c r="F142" s="10">
        <f>IF($B142="","",IFERROR(VLOOKUP(MIN(20,MAX(1,ROUND($E142,0))),Kargo!$A:$B,2,FALSE),99.46))</f>
        <v/>
      </c>
      <c r="G142" s="10">
        <f>IF($B142="","",IF(IF(N('Komisyon Tarifeleri'!AA142)&gt;='Komisyon Tarifeleri'!I142,'Komisyon Tarifeleri'!AA142,'Komisyon Tarifeleri'!I142)="","",IF(N('Komisyon Tarifeleri'!AA142)&gt;='Komisyon Tarifeleri'!I142,'Komisyon Tarifeleri'!AA142,'Komisyon Tarifeleri'!I142)))</f>
        <v/>
      </c>
      <c r="H142" s="11">
        <f>IF(G142="","",IF($AM$1=2,'Komisyon Tarifeleri'!U142,'Komisyon Tarifeleri'!P142))</f>
        <v/>
      </c>
      <c r="I142" s="10">
        <f>IF(OR(G142="",$D142=""),"",G142*(1-H142/100)-$D142-IF(G142&lt;=199.99,Kargo!$E$2,IF(G142&lt;=399.99,Kargo!$E$3,$F142)))</f>
        <v/>
      </c>
      <c r="J142" s="12">
        <f>IF(I142="","",I142/G142)</f>
        <v/>
      </c>
      <c r="K142" s="10">
        <f>IF($B142="","",IF('Komisyon Tarifeleri'!J142="","",'Komisyon Tarifeleri'!J142))</f>
        <v/>
      </c>
      <c r="L142" s="11">
        <f>IF(K142="","",IF($AM$1=2,'Komisyon Tarifeleri'!V142,'Komisyon Tarifeleri'!Q142))</f>
        <v/>
      </c>
      <c r="M142" s="10">
        <f>IF(OR(K142="",$D142=""),"",K142*(1-L142/100)-$D142-IF(K142&lt;=199.99,Kargo!$E$2,IF(K142&lt;=399.99,Kargo!$E$3,$F142)))</f>
        <v/>
      </c>
      <c r="N142" s="12">
        <f>IF(M142="","",M142/K142)</f>
        <v/>
      </c>
      <c r="O142" s="10">
        <f>IF($B142="","",IF('Komisyon Tarifeleri'!L142="","",'Komisyon Tarifeleri'!L142))</f>
        <v/>
      </c>
      <c r="P142" s="11">
        <f>IF(O142="","",IF($AM$1=2,'Komisyon Tarifeleri'!W142,'Komisyon Tarifeleri'!R142))</f>
        <v/>
      </c>
      <c r="Q142" s="10">
        <f>IF(OR(O142="",$D142=""),"",O142*(1-P142/100)-$D142-IF(O142&lt;=199.99,Kargo!$E$2,IF(O142&lt;=399.99,Kargo!$E$3,$F142)))</f>
        <v/>
      </c>
      <c r="R142" s="12">
        <f>IF(Q142="","",Q142/O142)</f>
        <v/>
      </c>
      <c r="S142" s="10">
        <f>IF($B142="","",IF('Komisyon Tarifeleri'!N142="","",'Komisyon Tarifeleri'!N142))</f>
        <v/>
      </c>
      <c r="T142" s="11">
        <f>IF(S142="","",IF($AM$1=2,'Komisyon Tarifeleri'!X142,'Komisyon Tarifeleri'!S142))</f>
        <v/>
      </c>
      <c r="U142" s="10">
        <f>IF(OR(S142="",$D142=""),"",S142*(1-T142/100)-$D142-IF(S142&lt;=199.99,Kargo!$E$2,IF(S142&lt;=399.99,Kargo!$E$3,$F142)))</f>
        <v/>
      </c>
      <c r="V142" s="12">
        <f>IF(U142="","",U142/S142)</f>
        <v/>
      </c>
      <c r="W142" s="12">
        <f>IF($B142="","",IFERROR(VLOOKUP($C142,Hedefler!$A:$C,2,FALSE),0.04))</f>
        <v/>
      </c>
      <c r="X142" s="12">
        <f>IF($B142="","",IFERROR(VLOOKUP($C142,Hedefler!$A:$C,3,FALSE),0.1))</f>
        <v/>
      </c>
      <c r="Y142" s="13">
        <f>IF($B142="","",IFERROR(VLOOKUP($B142,Maliyetler!$A:$E,5,FALSE),""))</f>
        <v/>
      </c>
      <c r="Z142" s="13">
        <f>IF(OR(Y142="",Y142=0),"",Y142-1)</f>
        <v/>
      </c>
      <c r="AA142" s="14">
        <f>IF(Z142="","",IF(Z142&gt;='Komisyon Tarifeleri'!I142,IF($AM$1=2,'Komisyon Tarifeleri'!U142,'Komisyon Tarifeleri'!P142),IF(Z142&gt;='Komisyon Tarifeleri'!K142,IF($AM$1=2,'Komisyon Tarifeleri'!V142,'Komisyon Tarifeleri'!Q142),IF(Z142&gt;='Komisyon Tarifeleri'!M142,IF($AM$1=2,'Komisyon Tarifeleri'!W142,'Komisyon Tarifeleri'!R142),IF($AM$1=2,'Komisyon Tarifeleri'!X142,'Komisyon Tarifeleri'!S142)))))</f>
        <v/>
      </c>
      <c r="AB142" s="13">
        <f>IF(OR(AA142="",$D142=""),"",Z142*(1-AA142/100)-$D142-IF(Z142&lt;=199.99,Kargo!$E$2,IF(Z142&lt;=399.99,Kargo!$E$3,$F142)))</f>
        <v/>
      </c>
      <c r="AC142" s="15">
        <f>IF(AB142="","",AB142/Z142)</f>
        <v/>
      </c>
      <c r="AD142" s="10">
        <f>IF(OR($D142="",$B142=""),"",IF(AND((1-T142/100-W142)&gt;0,CEILING(($D142+$F142)/(1-T142/100-W142),1)&lt;='Komisyon Tarifeleri'!N142),CEILING(($D142+$F142)/(1-T142/100-W142),1),IF(AND((1-P142/100-W142)&gt;0,CEILING(MAX('Komisyon Tarifeleri'!M142,($D142+$F142)/(1-P142/100-W142)),1)&lt;='Komisyon Tarifeleri'!L142),CEILING(MAX('Komisyon Tarifeleri'!M142,($D142+$F142)/(1-P142/100-W142)),1),IF(AND((1-L142/100-W142)&gt;0,CEILING(MAX('Komisyon Tarifeleri'!K142,($D142+$F142)/(1-L142/100-W142)),1)&lt;='Komisyon Tarifeleri'!J142),CEILING(MAX('Komisyon Tarifeleri'!K142,($D142+$F142)/(1-L142/100-W142)),1),IF((1-H142/100-W142)&gt;0,CEILING(MAX('Komisyon Tarifeleri'!I142,($D142+$F142)/(1-H142/100-W142)),1),"İMKÂNSIZ")))))</f>
        <v/>
      </c>
      <c r="AE142" s="10">
        <f>IF(OR($D142="",$B142=""),"",IF(AND((1-T142/100-X142)&gt;0,CEILING(($D142+$F142)/(1-T142/100-X142),1)&lt;='Komisyon Tarifeleri'!N142),CEILING(($D142+$F142)/(1-T142/100-X142),1),IF(AND((1-P142/100-X142)&gt;0,CEILING(MAX('Komisyon Tarifeleri'!M142,($D142+$F142)/(1-P142/100-X142)),1)&lt;='Komisyon Tarifeleri'!L142),CEILING(MAX('Komisyon Tarifeleri'!M142,($D142+$F142)/(1-P142/100-X142)),1),IF(AND((1-L142/100-X142)&gt;0,CEILING(MAX('Komisyon Tarifeleri'!K142,($D142+$F142)/(1-L142/100-X142)),1)&lt;='Komisyon Tarifeleri'!J142),CEILING(MAX('Komisyon Tarifeleri'!K142,($D142+$F142)/(1-L142/100-X142)),1),IF((1-H142/100-X142)&gt;0,CEILING(MAX('Komisyon Tarifeleri'!I142,($D142+$F142)/(1-H142/100-X142)),1),"İMKÂNSIZ")))))</f>
        <v/>
      </c>
      <c r="AF142" s="16">
        <f>IF($D142="","",IF(AND(Y142&lt;&gt;"",AC142&lt;&gt;"",AC142&gt;=W142),Z142,IF(Y142&lt;&gt;"",AD142,AE142)))</f>
        <v/>
      </c>
      <c r="AG142" s="16">
        <f>IF(OR(AF142="",AF142="İMKÂNSIZ"),"",AF142*(1-IF(AF142&gt;='Komisyon Tarifeleri'!I142,IF($AM$1=2,'Komisyon Tarifeleri'!U142,'Komisyon Tarifeleri'!P142),IF(AF142&gt;='Komisyon Tarifeleri'!K142,IF($AM$1=2,'Komisyon Tarifeleri'!V142,'Komisyon Tarifeleri'!Q142),IF(AF142&gt;='Komisyon Tarifeleri'!M142,IF($AM$1=2,'Komisyon Tarifeleri'!W142,'Komisyon Tarifeleri'!R142),IF($AM$1=2,'Komisyon Tarifeleri'!X142,'Komisyon Tarifeleri'!S142))))/100)-$D142-IF(AF142&lt;=199.99,Kargo!$E$2,IF(AF142&lt;=399.99,Kargo!$E$3,$F142)))</f>
        <v/>
      </c>
      <c r="AH142" s="17">
        <f>IF(AG142="","",AG142/AF142)</f>
        <v/>
      </c>
      <c r="AI142" s="18">
        <f>IF($D142="","",IF(Y142="","BUYBOX YOK → hedef kârla min fiyat",IF(AC142&gt;=W142,"✓ BUYBOX ALTINA GİR","BUYBOX ALTI KÂRSIZ → min kârlı fiyat")))</f>
        <v/>
      </c>
      <c r="AJ142" s="10">
        <f>IF($B142="","",IFERROR(VLOOKUP($B142,Maliyetler!$A:$G,6,FALSE),""))</f>
        <v/>
      </c>
      <c r="AK142">
        <f>IF($B142="","",IFERROR(VLOOKUP($B142,Maliyetler!$A:$G,7,FALSE),""))</f>
        <v/>
      </c>
      <c r="AO142" s="21">
        <f>IF($B142="","",IFERROR(VLOOKUP($B142&amp;"",'Plus Tarifeleri'!$C:$Q,11,FALSE),""))</f>
        <v/>
      </c>
      <c r="AP142" s="22">
        <f>IF(AO142="","",IFERROR(IF($AM$1=2,VLOOKUP($B142&amp;"",'Plus Tarifeleri'!$C:$Q,15,FALSE),VLOOKUP($B142&amp;"",'Plus Tarifeleri'!$C:$Q,13,FALSE)),""))</f>
        <v/>
      </c>
      <c r="AQ142" s="21">
        <f>IF(OR(AO142="",AP142="",$D142=""),"",AO142*(1-AP142/100)-$D142-IF(AO142&lt;=199.99,Kargo!$E$2,IF(AO142&lt;=399.99,Kargo!$E$3,$F142)))</f>
        <v/>
      </c>
      <c r="AR142" s="23">
        <f>IF(AQ142="","",AQ142/AO142)</f>
        <v/>
      </c>
      <c r="AS142" s="24">
        <f>IF(OR(AQ142="",AG142=""),"",AQ142-AG142)</f>
        <v/>
      </c>
    </row>
    <row r="143">
      <c r="A143">
        <f>IF('Komisyon Tarifeleri'!A143="","",'Komisyon Tarifeleri'!A143)</f>
        <v/>
      </c>
      <c r="B143">
        <f>IF('Komisyon Tarifeleri'!B143="","",'Komisyon Tarifeleri'!B143&amp;"")</f>
        <v/>
      </c>
      <c r="C143">
        <f>IF($B143="","",'Komisyon Tarifeleri'!F143)</f>
        <v/>
      </c>
      <c r="D143" s="10">
        <f>IF($B143="","",IFERROR(VLOOKUP($B143,Maliyetler!$A:$E,3,FALSE),""))</f>
        <v/>
      </c>
      <c r="E143">
        <f>IF($B143="","",IFERROR(VLOOKUP($B143,Maliyetler!$A:$E,4,FALSE),1))</f>
        <v/>
      </c>
      <c r="F143" s="10">
        <f>IF($B143="","",IFERROR(VLOOKUP(MIN(20,MAX(1,ROUND($E143,0))),Kargo!$A:$B,2,FALSE),99.46))</f>
        <v/>
      </c>
      <c r="G143" s="10">
        <f>IF($B143="","",IF(IF(N('Komisyon Tarifeleri'!AA143)&gt;='Komisyon Tarifeleri'!I143,'Komisyon Tarifeleri'!AA143,'Komisyon Tarifeleri'!I143)="","",IF(N('Komisyon Tarifeleri'!AA143)&gt;='Komisyon Tarifeleri'!I143,'Komisyon Tarifeleri'!AA143,'Komisyon Tarifeleri'!I143)))</f>
        <v/>
      </c>
      <c r="H143" s="11">
        <f>IF(G143="","",IF($AM$1=2,'Komisyon Tarifeleri'!U143,'Komisyon Tarifeleri'!P143))</f>
        <v/>
      </c>
      <c r="I143" s="10">
        <f>IF(OR(G143="",$D143=""),"",G143*(1-H143/100)-$D143-IF(G143&lt;=199.99,Kargo!$E$2,IF(G143&lt;=399.99,Kargo!$E$3,$F143)))</f>
        <v/>
      </c>
      <c r="J143" s="12">
        <f>IF(I143="","",I143/G143)</f>
        <v/>
      </c>
      <c r="K143" s="10">
        <f>IF($B143="","",IF('Komisyon Tarifeleri'!J143="","",'Komisyon Tarifeleri'!J143))</f>
        <v/>
      </c>
      <c r="L143" s="11">
        <f>IF(K143="","",IF($AM$1=2,'Komisyon Tarifeleri'!V143,'Komisyon Tarifeleri'!Q143))</f>
        <v/>
      </c>
      <c r="M143" s="10">
        <f>IF(OR(K143="",$D143=""),"",K143*(1-L143/100)-$D143-IF(K143&lt;=199.99,Kargo!$E$2,IF(K143&lt;=399.99,Kargo!$E$3,$F143)))</f>
        <v/>
      </c>
      <c r="N143" s="12">
        <f>IF(M143="","",M143/K143)</f>
        <v/>
      </c>
      <c r="O143" s="10">
        <f>IF($B143="","",IF('Komisyon Tarifeleri'!L143="","",'Komisyon Tarifeleri'!L143))</f>
        <v/>
      </c>
      <c r="P143" s="11">
        <f>IF(O143="","",IF($AM$1=2,'Komisyon Tarifeleri'!W143,'Komisyon Tarifeleri'!R143))</f>
        <v/>
      </c>
      <c r="Q143" s="10">
        <f>IF(OR(O143="",$D143=""),"",O143*(1-P143/100)-$D143-IF(O143&lt;=199.99,Kargo!$E$2,IF(O143&lt;=399.99,Kargo!$E$3,$F143)))</f>
        <v/>
      </c>
      <c r="R143" s="12">
        <f>IF(Q143="","",Q143/O143)</f>
        <v/>
      </c>
      <c r="S143" s="10">
        <f>IF($B143="","",IF('Komisyon Tarifeleri'!N143="","",'Komisyon Tarifeleri'!N143))</f>
        <v/>
      </c>
      <c r="T143" s="11">
        <f>IF(S143="","",IF($AM$1=2,'Komisyon Tarifeleri'!X143,'Komisyon Tarifeleri'!S143))</f>
        <v/>
      </c>
      <c r="U143" s="10">
        <f>IF(OR(S143="",$D143=""),"",S143*(1-T143/100)-$D143-IF(S143&lt;=199.99,Kargo!$E$2,IF(S143&lt;=399.99,Kargo!$E$3,$F143)))</f>
        <v/>
      </c>
      <c r="V143" s="12">
        <f>IF(U143="","",U143/S143)</f>
        <v/>
      </c>
      <c r="W143" s="12">
        <f>IF($B143="","",IFERROR(VLOOKUP($C143,Hedefler!$A:$C,2,FALSE),0.04))</f>
        <v/>
      </c>
      <c r="X143" s="12">
        <f>IF($B143="","",IFERROR(VLOOKUP($C143,Hedefler!$A:$C,3,FALSE),0.1))</f>
        <v/>
      </c>
      <c r="Y143" s="13">
        <f>IF($B143="","",IFERROR(VLOOKUP($B143,Maliyetler!$A:$E,5,FALSE),""))</f>
        <v/>
      </c>
      <c r="Z143" s="13">
        <f>IF(OR(Y143="",Y143=0),"",Y143-1)</f>
        <v/>
      </c>
      <c r="AA143" s="14">
        <f>IF(Z143="","",IF(Z143&gt;='Komisyon Tarifeleri'!I143,IF($AM$1=2,'Komisyon Tarifeleri'!U143,'Komisyon Tarifeleri'!P143),IF(Z143&gt;='Komisyon Tarifeleri'!K143,IF($AM$1=2,'Komisyon Tarifeleri'!V143,'Komisyon Tarifeleri'!Q143),IF(Z143&gt;='Komisyon Tarifeleri'!M143,IF($AM$1=2,'Komisyon Tarifeleri'!W143,'Komisyon Tarifeleri'!R143),IF($AM$1=2,'Komisyon Tarifeleri'!X143,'Komisyon Tarifeleri'!S143)))))</f>
        <v/>
      </c>
      <c r="AB143" s="13">
        <f>IF(OR(AA143="",$D143=""),"",Z143*(1-AA143/100)-$D143-IF(Z143&lt;=199.99,Kargo!$E$2,IF(Z143&lt;=399.99,Kargo!$E$3,$F143)))</f>
        <v/>
      </c>
      <c r="AC143" s="15">
        <f>IF(AB143="","",AB143/Z143)</f>
        <v/>
      </c>
      <c r="AD143" s="10">
        <f>IF(OR($D143="",$B143=""),"",IF(AND((1-T143/100-W143)&gt;0,CEILING(($D143+$F143)/(1-T143/100-W143),1)&lt;='Komisyon Tarifeleri'!N143),CEILING(($D143+$F143)/(1-T143/100-W143),1),IF(AND((1-P143/100-W143)&gt;0,CEILING(MAX('Komisyon Tarifeleri'!M143,($D143+$F143)/(1-P143/100-W143)),1)&lt;='Komisyon Tarifeleri'!L143),CEILING(MAX('Komisyon Tarifeleri'!M143,($D143+$F143)/(1-P143/100-W143)),1),IF(AND((1-L143/100-W143)&gt;0,CEILING(MAX('Komisyon Tarifeleri'!K143,($D143+$F143)/(1-L143/100-W143)),1)&lt;='Komisyon Tarifeleri'!J143),CEILING(MAX('Komisyon Tarifeleri'!K143,($D143+$F143)/(1-L143/100-W143)),1),IF((1-H143/100-W143)&gt;0,CEILING(MAX('Komisyon Tarifeleri'!I143,($D143+$F143)/(1-H143/100-W143)),1),"İMKÂNSIZ")))))</f>
        <v/>
      </c>
      <c r="AE143" s="10">
        <f>IF(OR($D143="",$B143=""),"",IF(AND((1-T143/100-X143)&gt;0,CEILING(($D143+$F143)/(1-T143/100-X143),1)&lt;='Komisyon Tarifeleri'!N143),CEILING(($D143+$F143)/(1-T143/100-X143),1),IF(AND((1-P143/100-X143)&gt;0,CEILING(MAX('Komisyon Tarifeleri'!M143,($D143+$F143)/(1-P143/100-X143)),1)&lt;='Komisyon Tarifeleri'!L143),CEILING(MAX('Komisyon Tarifeleri'!M143,($D143+$F143)/(1-P143/100-X143)),1),IF(AND((1-L143/100-X143)&gt;0,CEILING(MAX('Komisyon Tarifeleri'!K143,($D143+$F143)/(1-L143/100-X143)),1)&lt;='Komisyon Tarifeleri'!J143),CEILING(MAX('Komisyon Tarifeleri'!K143,($D143+$F143)/(1-L143/100-X143)),1),IF((1-H143/100-X143)&gt;0,CEILING(MAX('Komisyon Tarifeleri'!I143,($D143+$F143)/(1-H143/100-X143)),1),"İMKÂNSIZ")))))</f>
        <v/>
      </c>
      <c r="AF143" s="16">
        <f>IF($D143="","",IF(AND(Y143&lt;&gt;"",AC143&lt;&gt;"",AC143&gt;=W143),Z143,IF(Y143&lt;&gt;"",AD143,AE143)))</f>
        <v/>
      </c>
      <c r="AG143" s="16">
        <f>IF(OR(AF143="",AF143="İMKÂNSIZ"),"",AF143*(1-IF(AF143&gt;='Komisyon Tarifeleri'!I143,IF($AM$1=2,'Komisyon Tarifeleri'!U143,'Komisyon Tarifeleri'!P143),IF(AF143&gt;='Komisyon Tarifeleri'!K143,IF($AM$1=2,'Komisyon Tarifeleri'!V143,'Komisyon Tarifeleri'!Q143),IF(AF143&gt;='Komisyon Tarifeleri'!M143,IF($AM$1=2,'Komisyon Tarifeleri'!W143,'Komisyon Tarifeleri'!R143),IF($AM$1=2,'Komisyon Tarifeleri'!X143,'Komisyon Tarifeleri'!S143))))/100)-$D143-IF(AF143&lt;=199.99,Kargo!$E$2,IF(AF143&lt;=399.99,Kargo!$E$3,$F143)))</f>
        <v/>
      </c>
      <c r="AH143" s="17">
        <f>IF(AG143="","",AG143/AF143)</f>
        <v/>
      </c>
      <c r="AI143" s="18">
        <f>IF($D143="","",IF(Y143="","BUYBOX YOK → hedef kârla min fiyat",IF(AC143&gt;=W143,"✓ BUYBOX ALTINA GİR","BUYBOX ALTI KÂRSIZ → min kârlı fiyat")))</f>
        <v/>
      </c>
      <c r="AJ143" s="10">
        <f>IF($B143="","",IFERROR(VLOOKUP($B143,Maliyetler!$A:$G,6,FALSE),""))</f>
        <v/>
      </c>
      <c r="AK143">
        <f>IF($B143="","",IFERROR(VLOOKUP($B143,Maliyetler!$A:$G,7,FALSE),""))</f>
        <v/>
      </c>
      <c r="AO143" s="21">
        <f>IF($B143="","",IFERROR(VLOOKUP($B143&amp;"",'Plus Tarifeleri'!$C:$Q,11,FALSE),""))</f>
        <v/>
      </c>
      <c r="AP143" s="22">
        <f>IF(AO143="","",IFERROR(IF($AM$1=2,VLOOKUP($B143&amp;"",'Plus Tarifeleri'!$C:$Q,15,FALSE),VLOOKUP($B143&amp;"",'Plus Tarifeleri'!$C:$Q,13,FALSE)),""))</f>
        <v/>
      </c>
      <c r="AQ143" s="21">
        <f>IF(OR(AO143="",AP143="",$D143=""),"",AO143*(1-AP143/100)-$D143-IF(AO143&lt;=199.99,Kargo!$E$2,IF(AO143&lt;=399.99,Kargo!$E$3,$F143)))</f>
        <v/>
      </c>
      <c r="AR143" s="23">
        <f>IF(AQ143="","",AQ143/AO143)</f>
        <v/>
      </c>
      <c r="AS143" s="24">
        <f>IF(OR(AQ143="",AG143=""),"",AQ143-AG143)</f>
        <v/>
      </c>
    </row>
    <row r="144">
      <c r="A144">
        <f>IF('Komisyon Tarifeleri'!A144="","",'Komisyon Tarifeleri'!A144)</f>
        <v/>
      </c>
      <c r="B144">
        <f>IF('Komisyon Tarifeleri'!B144="","",'Komisyon Tarifeleri'!B144&amp;"")</f>
        <v/>
      </c>
      <c r="C144">
        <f>IF($B144="","",'Komisyon Tarifeleri'!F144)</f>
        <v/>
      </c>
      <c r="D144" s="10">
        <f>IF($B144="","",IFERROR(VLOOKUP($B144,Maliyetler!$A:$E,3,FALSE),""))</f>
        <v/>
      </c>
      <c r="E144">
        <f>IF($B144="","",IFERROR(VLOOKUP($B144,Maliyetler!$A:$E,4,FALSE),1))</f>
        <v/>
      </c>
      <c r="F144" s="10">
        <f>IF($B144="","",IFERROR(VLOOKUP(MIN(20,MAX(1,ROUND($E144,0))),Kargo!$A:$B,2,FALSE),99.46))</f>
        <v/>
      </c>
      <c r="G144" s="10">
        <f>IF($B144="","",IF(IF(N('Komisyon Tarifeleri'!AA144)&gt;='Komisyon Tarifeleri'!I144,'Komisyon Tarifeleri'!AA144,'Komisyon Tarifeleri'!I144)="","",IF(N('Komisyon Tarifeleri'!AA144)&gt;='Komisyon Tarifeleri'!I144,'Komisyon Tarifeleri'!AA144,'Komisyon Tarifeleri'!I144)))</f>
        <v/>
      </c>
      <c r="H144" s="11">
        <f>IF(G144="","",IF($AM$1=2,'Komisyon Tarifeleri'!U144,'Komisyon Tarifeleri'!P144))</f>
        <v/>
      </c>
      <c r="I144" s="10">
        <f>IF(OR(G144="",$D144=""),"",G144*(1-H144/100)-$D144-IF(G144&lt;=199.99,Kargo!$E$2,IF(G144&lt;=399.99,Kargo!$E$3,$F144)))</f>
        <v/>
      </c>
      <c r="J144" s="12">
        <f>IF(I144="","",I144/G144)</f>
        <v/>
      </c>
      <c r="K144" s="10">
        <f>IF($B144="","",IF('Komisyon Tarifeleri'!J144="","",'Komisyon Tarifeleri'!J144))</f>
        <v/>
      </c>
      <c r="L144" s="11">
        <f>IF(K144="","",IF($AM$1=2,'Komisyon Tarifeleri'!V144,'Komisyon Tarifeleri'!Q144))</f>
        <v/>
      </c>
      <c r="M144" s="10">
        <f>IF(OR(K144="",$D144=""),"",K144*(1-L144/100)-$D144-IF(K144&lt;=199.99,Kargo!$E$2,IF(K144&lt;=399.99,Kargo!$E$3,$F144)))</f>
        <v/>
      </c>
      <c r="N144" s="12">
        <f>IF(M144="","",M144/K144)</f>
        <v/>
      </c>
      <c r="O144" s="10">
        <f>IF($B144="","",IF('Komisyon Tarifeleri'!L144="","",'Komisyon Tarifeleri'!L144))</f>
        <v/>
      </c>
      <c r="P144" s="11">
        <f>IF(O144="","",IF($AM$1=2,'Komisyon Tarifeleri'!W144,'Komisyon Tarifeleri'!R144))</f>
        <v/>
      </c>
      <c r="Q144" s="10">
        <f>IF(OR(O144="",$D144=""),"",O144*(1-P144/100)-$D144-IF(O144&lt;=199.99,Kargo!$E$2,IF(O144&lt;=399.99,Kargo!$E$3,$F144)))</f>
        <v/>
      </c>
      <c r="R144" s="12">
        <f>IF(Q144="","",Q144/O144)</f>
        <v/>
      </c>
      <c r="S144" s="10">
        <f>IF($B144="","",IF('Komisyon Tarifeleri'!N144="","",'Komisyon Tarifeleri'!N144))</f>
        <v/>
      </c>
      <c r="T144" s="11">
        <f>IF(S144="","",IF($AM$1=2,'Komisyon Tarifeleri'!X144,'Komisyon Tarifeleri'!S144))</f>
        <v/>
      </c>
      <c r="U144" s="10">
        <f>IF(OR(S144="",$D144=""),"",S144*(1-T144/100)-$D144-IF(S144&lt;=199.99,Kargo!$E$2,IF(S144&lt;=399.99,Kargo!$E$3,$F144)))</f>
        <v/>
      </c>
      <c r="V144" s="12">
        <f>IF(U144="","",U144/S144)</f>
        <v/>
      </c>
      <c r="W144" s="12">
        <f>IF($B144="","",IFERROR(VLOOKUP($C144,Hedefler!$A:$C,2,FALSE),0.04))</f>
        <v/>
      </c>
      <c r="X144" s="12">
        <f>IF($B144="","",IFERROR(VLOOKUP($C144,Hedefler!$A:$C,3,FALSE),0.1))</f>
        <v/>
      </c>
      <c r="Y144" s="13">
        <f>IF($B144="","",IFERROR(VLOOKUP($B144,Maliyetler!$A:$E,5,FALSE),""))</f>
        <v/>
      </c>
      <c r="Z144" s="13">
        <f>IF(OR(Y144="",Y144=0),"",Y144-1)</f>
        <v/>
      </c>
      <c r="AA144" s="14">
        <f>IF(Z144="","",IF(Z144&gt;='Komisyon Tarifeleri'!I144,IF($AM$1=2,'Komisyon Tarifeleri'!U144,'Komisyon Tarifeleri'!P144),IF(Z144&gt;='Komisyon Tarifeleri'!K144,IF($AM$1=2,'Komisyon Tarifeleri'!V144,'Komisyon Tarifeleri'!Q144),IF(Z144&gt;='Komisyon Tarifeleri'!M144,IF($AM$1=2,'Komisyon Tarifeleri'!W144,'Komisyon Tarifeleri'!R144),IF($AM$1=2,'Komisyon Tarifeleri'!X144,'Komisyon Tarifeleri'!S144)))))</f>
        <v/>
      </c>
      <c r="AB144" s="13">
        <f>IF(OR(AA144="",$D144=""),"",Z144*(1-AA144/100)-$D144-IF(Z144&lt;=199.99,Kargo!$E$2,IF(Z144&lt;=399.99,Kargo!$E$3,$F144)))</f>
        <v/>
      </c>
      <c r="AC144" s="15">
        <f>IF(AB144="","",AB144/Z144)</f>
        <v/>
      </c>
      <c r="AD144" s="10">
        <f>IF(OR($D144="",$B144=""),"",IF(AND((1-T144/100-W144)&gt;0,CEILING(($D144+$F144)/(1-T144/100-W144),1)&lt;='Komisyon Tarifeleri'!N144),CEILING(($D144+$F144)/(1-T144/100-W144),1),IF(AND((1-P144/100-W144)&gt;0,CEILING(MAX('Komisyon Tarifeleri'!M144,($D144+$F144)/(1-P144/100-W144)),1)&lt;='Komisyon Tarifeleri'!L144),CEILING(MAX('Komisyon Tarifeleri'!M144,($D144+$F144)/(1-P144/100-W144)),1),IF(AND((1-L144/100-W144)&gt;0,CEILING(MAX('Komisyon Tarifeleri'!K144,($D144+$F144)/(1-L144/100-W144)),1)&lt;='Komisyon Tarifeleri'!J144),CEILING(MAX('Komisyon Tarifeleri'!K144,($D144+$F144)/(1-L144/100-W144)),1),IF((1-H144/100-W144)&gt;0,CEILING(MAX('Komisyon Tarifeleri'!I144,($D144+$F144)/(1-H144/100-W144)),1),"İMKÂNSIZ")))))</f>
        <v/>
      </c>
      <c r="AE144" s="10">
        <f>IF(OR($D144="",$B144=""),"",IF(AND((1-T144/100-X144)&gt;0,CEILING(($D144+$F144)/(1-T144/100-X144),1)&lt;='Komisyon Tarifeleri'!N144),CEILING(($D144+$F144)/(1-T144/100-X144),1),IF(AND((1-P144/100-X144)&gt;0,CEILING(MAX('Komisyon Tarifeleri'!M144,($D144+$F144)/(1-P144/100-X144)),1)&lt;='Komisyon Tarifeleri'!L144),CEILING(MAX('Komisyon Tarifeleri'!M144,($D144+$F144)/(1-P144/100-X144)),1),IF(AND((1-L144/100-X144)&gt;0,CEILING(MAX('Komisyon Tarifeleri'!K144,($D144+$F144)/(1-L144/100-X144)),1)&lt;='Komisyon Tarifeleri'!J144),CEILING(MAX('Komisyon Tarifeleri'!K144,($D144+$F144)/(1-L144/100-X144)),1),IF((1-H144/100-X144)&gt;0,CEILING(MAX('Komisyon Tarifeleri'!I144,($D144+$F144)/(1-H144/100-X144)),1),"İMKÂNSIZ")))))</f>
        <v/>
      </c>
      <c r="AF144" s="16">
        <f>IF($D144="","",IF(AND(Y144&lt;&gt;"",AC144&lt;&gt;"",AC144&gt;=W144),Z144,IF(Y144&lt;&gt;"",AD144,AE144)))</f>
        <v/>
      </c>
      <c r="AG144" s="16">
        <f>IF(OR(AF144="",AF144="İMKÂNSIZ"),"",AF144*(1-IF(AF144&gt;='Komisyon Tarifeleri'!I144,IF($AM$1=2,'Komisyon Tarifeleri'!U144,'Komisyon Tarifeleri'!P144),IF(AF144&gt;='Komisyon Tarifeleri'!K144,IF($AM$1=2,'Komisyon Tarifeleri'!V144,'Komisyon Tarifeleri'!Q144),IF(AF144&gt;='Komisyon Tarifeleri'!M144,IF($AM$1=2,'Komisyon Tarifeleri'!W144,'Komisyon Tarifeleri'!R144),IF($AM$1=2,'Komisyon Tarifeleri'!X144,'Komisyon Tarifeleri'!S144))))/100)-$D144-IF(AF144&lt;=199.99,Kargo!$E$2,IF(AF144&lt;=399.99,Kargo!$E$3,$F144)))</f>
        <v/>
      </c>
      <c r="AH144" s="17">
        <f>IF(AG144="","",AG144/AF144)</f>
        <v/>
      </c>
      <c r="AI144" s="18">
        <f>IF($D144="","",IF(Y144="","BUYBOX YOK → hedef kârla min fiyat",IF(AC144&gt;=W144,"✓ BUYBOX ALTINA GİR","BUYBOX ALTI KÂRSIZ → min kârlı fiyat")))</f>
        <v/>
      </c>
      <c r="AJ144" s="10">
        <f>IF($B144="","",IFERROR(VLOOKUP($B144,Maliyetler!$A:$G,6,FALSE),""))</f>
        <v/>
      </c>
      <c r="AK144">
        <f>IF($B144="","",IFERROR(VLOOKUP($B144,Maliyetler!$A:$G,7,FALSE),""))</f>
        <v/>
      </c>
      <c r="AO144" s="21">
        <f>IF($B144="","",IFERROR(VLOOKUP($B144&amp;"",'Plus Tarifeleri'!$C:$Q,11,FALSE),""))</f>
        <v/>
      </c>
      <c r="AP144" s="22">
        <f>IF(AO144="","",IFERROR(IF($AM$1=2,VLOOKUP($B144&amp;"",'Plus Tarifeleri'!$C:$Q,15,FALSE),VLOOKUP($B144&amp;"",'Plus Tarifeleri'!$C:$Q,13,FALSE)),""))</f>
        <v/>
      </c>
      <c r="AQ144" s="21">
        <f>IF(OR(AO144="",AP144="",$D144=""),"",AO144*(1-AP144/100)-$D144-IF(AO144&lt;=199.99,Kargo!$E$2,IF(AO144&lt;=399.99,Kargo!$E$3,$F144)))</f>
        <v/>
      </c>
      <c r="AR144" s="23">
        <f>IF(AQ144="","",AQ144/AO144)</f>
        <v/>
      </c>
      <c r="AS144" s="24">
        <f>IF(OR(AQ144="",AG144=""),"",AQ144-AG144)</f>
        <v/>
      </c>
    </row>
    <row r="145">
      <c r="A145">
        <f>IF('Komisyon Tarifeleri'!A145="","",'Komisyon Tarifeleri'!A145)</f>
        <v/>
      </c>
      <c r="B145">
        <f>IF('Komisyon Tarifeleri'!B145="","",'Komisyon Tarifeleri'!B145&amp;"")</f>
        <v/>
      </c>
      <c r="C145">
        <f>IF($B145="","",'Komisyon Tarifeleri'!F145)</f>
        <v/>
      </c>
      <c r="D145" s="10">
        <f>IF($B145="","",IFERROR(VLOOKUP($B145,Maliyetler!$A:$E,3,FALSE),""))</f>
        <v/>
      </c>
      <c r="E145">
        <f>IF($B145="","",IFERROR(VLOOKUP($B145,Maliyetler!$A:$E,4,FALSE),1))</f>
        <v/>
      </c>
      <c r="F145" s="10">
        <f>IF($B145="","",IFERROR(VLOOKUP(MIN(20,MAX(1,ROUND($E145,0))),Kargo!$A:$B,2,FALSE),99.46))</f>
        <v/>
      </c>
      <c r="G145" s="10">
        <f>IF($B145="","",IF(IF(N('Komisyon Tarifeleri'!AA145)&gt;='Komisyon Tarifeleri'!I145,'Komisyon Tarifeleri'!AA145,'Komisyon Tarifeleri'!I145)="","",IF(N('Komisyon Tarifeleri'!AA145)&gt;='Komisyon Tarifeleri'!I145,'Komisyon Tarifeleri'!AA145,'Komisyon Tarifeleri'!I145)))</f>
        <v/>
      </c>
      <c r="H145" s="11">
        <f>IF(G145="","",IF($AM$1=2,'Komisyon Tarifeleri'!U145,'Komisyon Tarifeleri'!P145))</f>
        <v/>
      </c>
      <c r="I145" s="10">
        <f>IF(OR(G145="",$D145=""),"",G145*(1-H145/100)-$D145-IF(G145&lt;=199.99,Kargo!$E$2,IF(G145&lt;=399.99,Kargo!$E$3,$F145)))</f>
        <v/>
      </c>
      <c r="J145" s="12">
        <f>IF(I145="","",I145/G145)</f>
        <v/>
      </c>
      <c r="K145" s="10">
        <f>IF($B145="","",IF('Komisyon Tarifeleri'!J145="","",'Komisyon Tarifeleri'!J145))</f>
        <v/>
      </c>
      <c r="L145" s="11">
        <f>IF(K145="","",IF($AM$1=2,'Komisyon Tarifeleri'!V145,'Komisyon Tarifeleri'!Q145))</f>
        <v/>
      </c>
      <c r="M145" s="10">
        <f>IF(OR(K145="",$D145=""),"",K145*(1-L145/100)-$D145-IF(K145&lt;=199.99,Kargo!$E$2,IF(K145&lt;=399.99,Kargo!$E$3,$F145)))</f>
        <v/>
      </c>
      <c r="N145" s="12">
        <f>IF(M145="","",M145/K145)</f>
        <v/>
      </c>
      <c r="O145" s="10">
        <f>IF($B145="","",IF('Komisyon Tarifeleri'!L145="","",'Komisyon Tarifeleri'!L145))</f>
        <v/>
      </c>
      <c r="P145" s="11">
        <f>IF(O145="","",IF($AM$1=2,'Komisyon Tarifeleri'!W145,'Komisyon Tarifeleri'!R145))</f>
        <v/>
      </c>
      <c r="Q145" s="10">
        <f>IF(OR(O145="",$D145=""),"",O145*(1-P145/100)-$D145-IF(O145&lt;=199.99,Kargo!$E$2,IF(O145&lt;=399.99,Kargo!$E$3,$F145)))</f>
        <v/>
      </c>
      <c r="R145" s="12">
        <f>IF(Q145="","",Q145/O145)</f>
        <v/>
      </c>
      <c r="S145" s="10">
        <f>IF($B145="","",IF('Komisyon Tarifeleri'!N145="","",'Komisyon Tarifeleri'!N145))</f>
        <v/>
      </c>
      <c r="T145" s="11">
        <f>IF(S145="","",IF($AM$1=2,'Komisyon Tarifeleri'!X145,'Komisyon Tarifeleri'!S145))</f>
        <v/>
      </c>
      <c r="U145" s="10">
        <f>IF(OR(S145="",$D145=""),"",S145*(1-T145/100)-$D145-IF(S145&lt;=199.99,Kargo!$E$2,IF(S145&lt;=399.99,Kargo!$E$3,$F145)))</f>
        <v/>
      </c>
      <c r="V145" s="12">
        <f>IF(U145="","",U145/S145)</f>
        <v/>
      </c>
      <c r="W145" s="12">
        <f>IF($B145="","",IFERROR(VLOOKUP($C145,Hedefler!$A:$C,2,FALSE),0.04))</f>
        <v/>
      </c>
      <c r="X145" s="12">
        <f>IF($B145="","",IFERROR(VLOOKUP($C145,Hedefler!$A:$C,3,FALSE),0.1))</f>
        <v/>
      </c>
      <c r="Y145" s="13">
        <f>IF($B145="","",IFERROR(VLOOKUP($B145,Maliyetler!$A:$E,5,FALSE),""))</f>
        <v/>
      </c>
      <c r="Z145" s="13">
        <f>IF(OR(Y145="",Y145=0),"",Y145-1)</f>
        <v/>
      </c>
      <c r="AA145" s="14">
        <f>IF(Z145="","",IF(Z145&gt;='Komisyon Tarifeleri'!I145,IF($AM$1=2,'Komisyon Tarifeleri'!U145,'Komisyon Tarifeleri'!P145),IF(Z145&gt;='Komisyon Tarifeleri'!K145,IF($AM$1=2,'Komisyon Tarifeleri'!V145,'Komisyon Tarifeleri'!Q145),IF(Z145&gt;='Komisyon Tarifeleri'!M145,IF($AM$1=2,'Komisyon Tarifeleri'!W145,'Komisyon Tarifeleri'!R145),IF($AM$1=2,'Komisyon Tarifeleri'!X145,'Komisyon Tarifeleri'!S145)))))</f>
        <v/>
      </c>
      <c r="AB145" s="13">
        <f>IF(OR(AA145="",$D145=""),"",Z145*(1-AA145/100)-$D145-IF(Z145&lt;=199.99,Kargo!$E$2,IF(Z145&lt;=399.99,Kargo!$E$3,$F145)))</f>
        <v/>
      </c>
      <c r="AC145" s="15">
        <f>IF(AB145="","",AB145/Z145)</f>
        <v/>
      </c>
      <c r="AD145" s="10">
        <f>IF(OR($D145="",$B145=""),"",IF(AND((1-T145/100-W145)&gt;0,CEILING(($D145+$F145)/(1-T145/100-W145),1)&lt;='Komisyon Tarifeleri'!N145),CEILING(($D145+$F145)/(1-T145/100-W145),1),IF(AND((1-P145/100-W145)&gt;0,CEILING(MAX('Komisyon Tarifeleri'!M145,($D145+$F145)/(1-P145/100-W145)),1)&lt;='Komisyon Tarifeleri'!L145),CEILING(MAX('Komisyon Tarifeleri'!M145,($D145+$F145)/(1-P145/100-W145)),1),IF(AND((1-L145/100-W145)&gt;0,CEILING(MAX('Komisyon Tarifeleri'!K145,($D145+$F145)/(1-L145/100-W145)),1)&lt;='Komisyon Tarifeleri'!J145),CEILING(MAX('Komisyon Tarifeleri'!K145,($D145+$F145)/(1-L145/100-W145)),1),IF((1-H145/100-W145)&gt;0,CEILING(MAX('Komisyon Tarifeleri'!I145,($D145+$F145)/(1-H145/100-W145)),1),"İMKÂNSIZ")))))</f>
        <v/>
      </c>
      <c r="AE145" s="10">
        <f>IF(OR($D145="",$B145=""),"",IF(AND((1-T145/100-X145)&gt;0,CEILING(($D145+$F145)/(1-T145/100-X145),1)&lt;='Komisyon Tarifeleri'!N145),CEILING(($D145+$F145)/(1-T145/100-X145),1),IF(AND((1-P145/100-X145)&gt;0,CEILING(MAX('Komisyon Tarifeleri'!M145,($D145+$F145)/(1-P145/100-X145)),1)&lt;='Komisyon Tarifeleri'!L145),CEILING(MAX('Komisyon Tarifeleri'!M145,($D145+$F145)/(1-P145/100-X145)),1),IF(AND((1-L145/100-X145)&gt;0,CEILING(MAX('Komisyon Tarifeleri'!K145,($D145+$F145)/(1-L145/100-X145)),1)&lt;='Komisyon Tarifeleri'!J145),CEILING(MAX('Komisyon Tarifeleri'!K145,($D145+$F145)/(1-L145/100-X145)),1),IF((1-H145/100-X145)&gt;0,CEILING(MAX('Komisyon Tarifeleri'!I145,($D145+$F145)/(1-H145/100-X145)),1),"İMKÂNSIZ")))))</f>
        <v/>
      </c>
      <c r="AF145" s="16">
        <f>IF($D145="","",IF(AND(Y145&lt;&gt;"",AC145&lt;&gt;"",AC145&gt;=W145),Z145,IF(Y145&lt;&gt;"",AD145,AE145)))</f>
        <v/>
      </c>
      <c r="AG145" s="16">
        <f>IF(OR(AF145="",AF145="İMKÂNSIZ"),"",AF145*(1-IF(AF145&gt;='Komisyon Tarifeleri'!I145,IF($AM$1=2,'Komisyon Tarifeleri'!U145,'Komisyon Tarifeleri'!P145),IF(AF145&gt;='Komisyon Tarifeleri'!K145,IF($AM$1=2,'Komisyon Tarifeleri'!V145,'Komisyon Tarifeleri'!Q145),IF(AF145&gt;='Komisyon Tarifeleri'!M145,IF($AM$1=2,'Komisyon Tarifeleri'!W145,'Komisyon Tarifeleri'!R145),IF($AM$1=2,'Komisyon Tarifeleri'!X145,'Komisyon Tarifeleri'!S145))))/100)-$D145-IF(AF145&lt;=199.99,Kargo!$E$2,IF(AF145&lt;=399.99,Kargo!$E$3,$F145)))</f>
        <v/>
      </c>
      <c r="AH145" s="17">
        <f>IF(AG145="","",AG145/AF145)</f>
        <v/>
      </c>
      <c r="AI145" s="18">
        <f>IF($D145="","",IF(Y145="","BUYBOX YOK → hedef kârla min fiyat",IF(AC145&gt;=W145,"✓ BUYBOX ALTINA GİR","BUYBOX ALTI KÂRSIZ → min kârlı fiyat")))</f>
        <v/>
      </c>
      <c r="AJ145" s="10">
        <f>IF($B145="","",IFERROR(VLOOKUP($B145,Maliyetler!$A:$G,6,FALSE),""))</f>
        <v/>
      </c>
      <c r="AK145">
        <f>IF($B145="","",IFERROR(VLOOKUP($B145,Maliyetler!$A:$G,7,FALSE),""))</f>
        <v/>
      </c>
      <c r="AO145" s="21">
        <f>IF($B145="","",IFERROR(VLOOKUP($B145&amp;"",'Plus Tarifeleri'!$C:$Q,11,FALSE),""))</f>
        <v/>
      </c>
      <c r="AP145" s="22">
        <f>IF(AO145="","",IFERROR(IF($AM$1=2,VLOOKUP($B145&amp;"",'Plus Tarifeleri'!$C:$Q,15,FALSE),VLOOKUP($B145&amp;"",'Plus Tarifeleri'!$C:$Q,13,FALSE)),""))</f>
        <v/>
      </c>
      <c r="AQ145" s="21">
        <f>IF(OR(AO145="",AP145="",$D145=""),"",AO145*(1-AP145/100)-$D145-IF(AO145&lt;=199.99,Kargo!$E$2,IF(AO145&lt;=399.99,Kargo!$E$3,$F145)))</f>
        <v/>
      </c>
      <c r="AR145" s="23">
        <f>IF(AQ145="","",AQ145/AO145)</f>
        <v/>
      </c>
      <c r="AS145" s="24">
        <f>IF(OR(AQ145="",AG145=""),"",AQ145-AG145)</f>
        <v/>
      </c>
    </row>
    <row r="146">
      <c r="A146">
        <f>IF('Komisyon Tarifeleri'!A146="","",'Komisyon Tarifeleri'!A146)</f>
        <v/>
      </c>
      <c r="B146">
        <f>IF('Komisyon Tarifeleri'!B146="","",'Komisyon Tarifeleri'!B146&amp;"")</f>
        <v/>
      </c>
      <c r="C146">
        <f>IF($B146="","",'Komisyon Tarifeleri'!F146)</f>
        <v/>
      </c>
      <c r="D146" s="10">
        <f>IF($B146="","",IFERROR(VLOOKUP($B146,Maliyetler!$A:$E,3,FALSE),""))</f>
        <v/>
      </c>
      <c r="E146">
        <f>IF($B146="","",IFERROR(VLOOKUP($B146,Maliyetler!$A:$E,4,FALSE),1))</f>
        <v/>
      </c>
      <c r="F146" s="10">
        <f>IF($B146="","",IFERROR(VLOOKUP(MIN(20,MAX(1,ROUND($E146,0))),Kargo!$A:$B,2,FALSE),99.46))</f>
        <v/>
      </c>
      <c r="G146" s="10">
        <f>IF($B146="","",IF(IF(N('Komisyon Tarifeleri'!AA146)&gt;='Komisyon Tarifeleri'!I146,'Komisyon Tarifeleri'!AA146,'Komisyon Tarifeleri'!I146)="","",IF(N('Komisyon Tarifeleri'!AA146)&gt;='Komisyon Tarifeleri'!I146,'Komisyon Tarifeleri'!AA146,'Komisyon Tarifeleri'!I146)))</f>
        <v/>
      </c>
      <c r="H146" s="11">
        <f>IF(G146="","",IF($AM$1=2,'Komisyon Tarifeleri'!U146,'Komisyon Tarifeleri'!P146))</f>
        <v/>
      </c>
      <c r="I146" s="10">
        <f>IF(OR(G146="",$D146=""),"",G146*(1-H146/100)-$D146-IF(G146&lt;=199.99,Kargo!$E$2,IF(G146&lt;=399.99,Kargo!$E$3,$F146)))</f>
        <v/>
      </c>
      <c r="J146" s="12">
        <f>IF(I146="","",I146/G146)</f>
        <v/>
      </c>
      <c r="K146" s="10">
        <f>IF($B146="","",IF('Komisyon Tarifeleri'!J146="","",'Komisyon Tarifeleri'!J146))</f>
        <v/>
      </c>
      <c r="L146" s="11">
        <f>IF(K146="","",IF($AM$1=2,'Komisyon Tarifeleri'!V146,'Komisyon Tarifeleri'!Q146))</f>
        <v/>
      </c>
      <c r="M146" s="10">
        <f>IF(OR(K146="",$D146=""),"",K146*(1-L146/100)-$D146-IF(K146&lt;=199.99,Kargo!$E$2,IF(K146&lt;=399.99,Kargo!$E$3,$F146)))</f>
        <v/>
      </c>
      <c r="N146" s="12">
        <f>IF(M146="","",M146/K146)</f>
        <v/>
      </c>
      <c r="O146" s="10">
        <f>IF($B146="","",IF('Komisyon Tarifeleri'!L146="","",'Komisyon Tarifeleri'!L146))</f>
        <v/>
      </c>
      <c r="P146" s="11">
        <f>IF(O146="","",IF($AM$1=2,'Komisyon Tarifeleri'!W146,'Komisyon Tarifeleri'!R146))</f>
        <v/>
      </c>
      <c r="Q146" s="10">
        <f>IF(OR(O146="",$D146=""),"",O146*(1-P146/100)-$D146-IF(O146&lt;=199.99,Kargo!$E$2,IF(O146&lt;=399.99,Kargo!$E$3,$F146)))</f>
        <v/>
      </c>
      <c r="R146" s="12">
        <f>IF(Q146="","",Q146/O146)</f>
        <v/>
      </c>
      <c r="S146" s="10">
        <f>IF($B146="","",IF('Komisyon Tarifeleri'!N146="","",'Komisyon Tarifeleri'!N146))</f>
        <v/>
      </c>
      <c r="T146" s="11">
        <f>IF(S146="","",IF($AM$1=2,'Komisyon Tarifeleri'!X146,'Komisyon Tarifeleri'!S146))</f>
        <v/>
      </c>
      <c r="U146" s="10">
        <f>IF(OR(S146="",$D146=""),"",S146*(1-T146/100)-$D146-IF(S146&lt;=199.99,Kargo!$E$2,IF(S146&lt;=399.99,Kargo!$E$3,$F146)))</f>
        <v/>
      </c>
      <c r="V146" s="12">
        <f>IF(U146="","",U146/S146)</f>
        <v/>
      </c>
      <c r="W146" s="12">
        <f>IF($B146="","",IFERROR(VLOOKUP($C146,Hedefler!$A:$C,2,FALSE),0.04))</f>
        <v/>
      </c>
      <c r="X146" s="12">
        <f>IF($B146="","",IFERROR(VLOOKUP($C146,Hedefler!$A:$C,3,FALSE),0.1))</f>
        <v/>
      </c>
      <c r="Y146" s="13">
        <f>IF($B146="","",IFERROR(VLOOKUP($B146,Maliyetler!$A:$E,5,FALSE),""))</f>
        <v/>
      </c>
      <c r="Z146" s="13">
        <f>IF(OR(Y146="",Y146=0),"",Y146-1)</f>
        <v/>
      </c>
      <c r="AA146" s="14">
        <f>IF(Z146="","",IF(Z146&gt;='Komisyon Tarifeleri'!I146,IF($AM$1=2,'Komisyon Tarifeleri'!U146,'Komisyon Tarifeleri'!P146),IF(Z146&gt;='Komisyon Tarifeleri'!K146,IF($AM$1=2,'Komisyon Tarifeleri'!V146,'Komisyon Tarifeleri'!Q146),IF(Z146&gt;='Komisyon Tarifeleri'!M146,IF($AM$1=2,'Komisyon Tarifeleri'!W146,'Komisyon Tarifeleri'!R146),IF($AM$1=2,'Komisyon Tarifeleri'!X146,'Komisyon Tarifeleri'!S146)))))</f>
        <v/>
      </c>
      <c r="AB146" s="13">
        <f>IF(OR(AA146="",$D146=""),"",Z146*(1-AA146/100)-$D146-IF(Z146&lt;=199.99,Kargo!$E$2,IF(Z146&lt;=399.99,Kargo!$E$3,$F146)))</f>
        <v/>
      </c>
      <c r="AC146" s="15">
        <f>IF(AB146="","",AB146/Z146)</f>
        <v/>
      </c>
      <c r="AD146" s="10">
        <f>IF(OR($D146="",$B146=""),"",IF(AND((1-T146/100-W146)&gt;0,CEILING(($D146+$F146)/(1-T146/100-W146),1)&lt;='Komisyon Tarifeleri'!N146),CEILING(($D146+$F146)/(1-T146/100-W146),1),IF(AND((1-P146/100-W146)&gt;0,CEILING(MAX('Komisyon Tarifeleri'!M146,($D146+$F146)/(1-P146/100-W146)),1)&lt;='Komisyon Tarifeleri'!L146),CEILING(MAX('Komisyon Tarifeleri'!M146,($D146+$F146)/(1-P146/100-W146)),1),IF(AND((1-L146/100-W146)&gt;0,CEILING(MAX('Komisyon Tarifeleri'!K146,($D146+$F146)/(1-L146/100-W146)),1)&lt;='Komisyon Tarifeleri'!J146),CEILING(MAX('Komisyon Tarifeleri'!K146,($D146+$F146)/(1-L146/100-W146)),1),IF((1-H146/100-W146)&gt;0,CEILING(MAX('Komisyon Tarifeleri'!I146,($D146+$F146)/(1-H146/100-W146)),1),"İMKÂNSIZ")))))</f>
        <v/>
      </c>
      <c r="AE146" s="10">
        <f>IF(OR($D146="",$B146=""),"",IF(AND((1-T146/100-X146)&gt;0,CEILING(($D146+$F146)/(1-T146/100-X146),1)&lt;='Komisyon Tarifeleri'!N146),CEILING(($D146+$F146)/(1-T146/100-X146),1),IF(AND((1-P146/100-X146)&gt;0,CEILING(MAX('Komisyon Tarifeleri'!M146,($D146+$F146)/(1-P146/100-X146)),1)&lt;='Komisyon Tarifeleri'!L146),CEILING(MAX('Komisyon Tarifeleri'!M146,($D146+$F146)/(1-P146/100-X146)),1),IF(AND((1-L146/100-X146)&gt;0,CEILING(MAX('Komisyon Tarifeleri'!K146,($D146+$F146)/(1-L146/100-X146)),1)&lt;='Komisyon Tarifeleri'!J146),CEILING(MAX('Komisyon Tarifeleri'!K146,($D146+$F146)/(1-L146/100-X146)),1),IF((1-H146/100-X146)&gt;0,CEILING(MAX('Komisyon Tarifeleri'!I146,($D146+$F146)/(1-H146/100-X146)),1),"İMKÂNSIZ")))))</f>
        <v/>
      </c>
      <c r="AF146" s="16">
        <f>IF($D146="","",IF(AND(Y146&lt;&gt;"",AC146&lt;&gt;"",AC146&gt;=W146),Z146,IF(Y146&lt;&gt;"",AD146,AE146)))</f>
        <v/>
      </c>
      <c r="AG146" s="16">
        <f>IF(OR(AF146="",AF146="İMKÂNSIZ"),"",AF146*(1-IF(AF146&gt;='Komisyon Tarifeleri'!I146,IF($AM$1=2,'Komisyon Tarifeleri'!U146,'Komisyon Tarifeleri'!P146),IF(AF146&gt;='Komisyon Tarifeleri'!K146,IF($AM$1=2,'Komisyon Tarifeleri'!V146,'Komisyon Tarifeleri'!Q146),IF(AF146&gt;='Komisyon Tarifeleri'!M146,IF($AM$1=2,'Komisyon Tarifeleri'!W146,'Komisyon Tarifeleri'!R146),IF($AM$1=2,'Komisyon Tarifeleri'!X146,'Komisyon Tarifeleri'!S146))))/100)-$D146-IF(AF146&lt;=199.99,Kargo!$E$2,IF(AF146&lt;=399.99,Kargo!$E$3,$F146)))</f>
        <v/>
      </c>
      <c r="AH146" s="17">
        <f>IF(AG146="","",AG146/AF146)</f>
        <v/>
      </c>
      <c r="AI146" s="18">
        <f>IF($D146="","",IF(Y146="","BUYBOX YOK → hedef kârla min fiyat",IF(AC146&gt;=W146,"✓ BUYBOX ALTINA GİR","BUYBOX ALTI KÂRSIZ → min kârlı fiyat")))</f>
        <v/>
      </c>
      <c r="AJ146" s="10">
        <f>IF($B146="","",IFERROR(VLOOKUP($B146,Maliyetler!$A:$G,6,FALSE),""))</f>
        <v/>
      </c>
      <c r="AK146">
        <f>IF($B146="","",IFERROR(VLOOKUP($B146,Maliyetler!$A:$G,7,FALSE),""))</f>
        <v/>
      </c>
      <c r="AO146" s="21">
        <f>IF($B146="","",IFERROR(VLOOKUP($B146&amp;"",'Plus Tarifeleri'!$C:$Q,11,FALSE),""))</f>
        <v/>
      </c>
      <c r="AP146" s="22">
        <f>IF(AO146="","",IFERROR(IF($AM$1=2,VLOOKUP($B146&amp;"",'Plus Tarifeleri'!$C:$Q,15,FALSE),VLOOKUP($B146&amp;"",'Plus Tarifeleri'!$C:$Q,13,FALSE)),""))</f>
        <v/>
      </c>
      <c r="AQ146" s="21">
        <f>IF(OR(AO146="",AP146="",$D146=""),"",AO146*(1-AP146/100)-$D146-IF(AO146&lt;=199.99,Kargo!$E$2,IF(AO146&lt;=399.99,Kargo!$E$3,$F146)))</f>
        <v/>
      </c>
      <c r="AR146" s="23">
        <f>IF(AQ146="","",AQ146/AO146)</f>
        <v/>
      </c>
      <c r="AS146" s="24">
        <f>IF(OR(AQ146="",AG146=""),"",AQ146-AG146)</f>
        <v/>
      </c>
    </row>
    <row r="147">
      <c r="A147">
        <f>IF('Komisyon Tarifeleri'!A147="","",'Komisyon Tarifeleri'!A147)</f>
        <v/>
      </c>
      <c r="B147">
        <f>IF('Komisyon Tarifeleri'!B147="","",'Komisyon Tarifeleri'!B147&amp;"")</f>
        <v/>
      </c>
      <c r="C147">
        <f>IF($B147="","",'Komisyon Tarifeleri'!F147)</f>
        <v/>
      </c>
      <c r="D147" s="10">
        <f>IF($B147="","",IFERROR(VLOOKUP($B147,Maliyetler!$A:$E,3,FALSE),""))</f>
        <v/>
      </c>
      <c r="E147">
        <f>IF($B147="","",IFERROR(VLOOKUP($B147,Maliyetler!$A:$E,4,FALSE),1))</f>
        <v/>
      </c>
      <c r="F147" s="10">
        <f>IF($B147="","",IFERROR(VLOOKUP(MIN(20,MAX(1,ROUND($E147,0))),Kargo!$A:$B,2,FALSE),99.46))</f>
        <v/>
      </c>
      <c r="G147" s="10">
        <f>IF($B147="","",IF(IF(N('Komisyon Tarifeleri'!AA147)&gt;='Komisyon Tarifeleri'!I147,'Komisyon Tarifeleri'!AA147,'Komisyon Tarifeleri'!I147)="","",IF(N('Komisyon Tarifeleri'!AA147)&gt;='Komisyon Tarifeleri'!I147,'Komisyon Tarifeleri'!AA147,'Komisyon Tarifeleri'!I147)))</f>
        <v/>
      </c>
      <c r="H147" s="11">
        <f>IF(G147="","",IF($AM$1=2,'Komisyon Tarifeleri'!U147,'Komisyon Tarifeleri'!P147))</f>
        <v/>
      </c>
      <c r="I147" s="10">
        <f>IF(OR(G147="",$D147=""),"",G147*(1-H147/100)-$D147-IF(G147&lt;=199.99,Kargo!$E$2,IF(G147&lt;=399.99,Kargo!$E$3,$F147)))</f>
        <v/>
      </c>
      <c r="J147" s="12">
        <f>IF(I147="","",I147/G147)</f>
        <v/>
      </c>
      <c r="K147" s="10">
        <f>IF($B147="","",IF('Komisyon Tarifeleri'!J147="","",'Komisyon Tarifeleri'!J147))</f>
        <v/>
      </c>
      <c r="L147" s="11">
        <f>IF(K147="","",IF($AM$1=2,'Komisyon Tarifeleri'!V147,'Komisyon Tarifeleri'!Q147))</f>
        <v/>
      </c>
      <c r="M147" s="10">
        <f>IF(OR(K147="",$D147=""),"",K147*(1-L147/100)-$D147-IF(K147&lt;=199.99,Kargo!$E$2,IF(K147&lt;=399.99,Kargo!$E$3,$F147)))</f>
        <v/>
      </c>
      <c r="N147" s="12">
        <f>IF(M147="","",M147/K147)</f>
        <v/>
      </c>
      <c r="O147" s="10">
        <f>IF($B147="","",IF('Komisyon Tarifeleri'!L147="","",'Komisyon Tarifeleri'!L147))</f>
        <v/>
      </c>
      <c r="P147" s="11">
        <f>IF(O147="","",IF($AM$1=2,'Komisyon Tarifeleri'!W147,'Komisyon Tarifeleri'!R147))</f>
        <v/>
      </c>
      <c r="Q147" s="10">
        <f>IF(OR(O147="",$D147=""),"",O147*(1-P147/100)-$D147-IF(O147&lt;=199.99,Kargo!$E$2,IF(O147&lt;=399.99,Kargo!$E$3,$F147)))</f>
        <v/>
      </c>
      <c r="R147" s="12">
        <f>IF(Q147="","",Q147/O147)</f>
        <v/>
      </c>
      <c r="S147" s="10">
        <f>IF($B147="","",IF('Komisyon Tarifeleri'!N147="","",'Komisyon Tarifeleri'!N147))</f>
        <v/>
      </c>
      <c r="T147" s="11">
        <f>IF(S147="","",IF($AM$1=2,'Komisyon Tarifeleri'!X147,'Komisyon Tarifeleri'!S147))</f>
        <v/>
      </c>
      <c r="U147" s="10">
        <f>IF(OR(S147="",$D147=""),"",S147*(1-T147/100)-$D147-IF(S147&lt;=199.99,Kargo!$E$2,IF(S147&lt;=399.99,Kargo!$E$3,$F147)))</f>
        <v/>
      </c>
      <c r="V147" s="12">
        <f>IF(U147="","",U147/S147)</f>
        <v/>
      </c>
      <c r="W147" s="12">
        <f>IF($B147="","",IFERROR(VLOOKUP($C147,Hedefler!$A:$C,2,FALSE),0.04))</f>
        <v/>
      </c>
      <c r="X147" s="12">
        <f>IF($B147="","",IFERROR(VLOOKUP($C147,Hedefler!$A:$C,3,FALSE),0.1))</f>
        <v/>
      </c>
      <c r="Y147" s="13">
        <f>IF($B147="","",IFERROR(VLOOKUP($B147,Maliyetler!$A:$E,5,FALSE),""))</f>
        <v/>
      </c>
      <c r="Z147" s="13">
        <f>IF(OR(Y147="",Y147=0),"",Y147-1)</f>
        <v/>
      </c>
      <c r="AA147" s="14">
        <f>IF(Z147="","",IF(Z147&gt;='Komisyon Tarifeleri'!I147,IF($AM$1=2,'Komisyon Tarifeleri'!U147,'Komisyon Tarifeleri'!P147),IF(Z147&gt;='Komisyon Tarifeleri'!K147,IF($AM$1=2,'Komisyon Tarifeleri'!V147,'Komisyon Tarifeleri'!Q147),IF(Z147&gt;='Komisyon Tarifeleri'!M147,IF($AM$1=2,'Komisyon Tarifeleri'!W147,'Komisyon Tarifeleri'!R147),IF($AM$1=2,'Komisyon Tarifeleri'!X147,'Komisyon Tarifeleri'!S147)))))</f>
        <v/>
      </c>
      <c r="AB147" s="13">
        <f>IF(OR(AA147="",$D147=""),"",Z147*(1-AA147/100)-$D147-IF(Z147&lt;=199.99,Kargo!$E$2,IF(Z147&lt;=399.99,Kargo!$E$3,$F147)))</f>
        <v/>
      </c>
      <c r="AC147" s="15">
        <f>IF(AB147="","",AB147/Z147)</f>
        <v/>
      </c>
      <c r="AD147" s="10">
        <f>IF(OR($D147="",$B147=""),"",IF(AND((1-T147/100-W147)&gt;0,CEILING(($D147+$F147)/(1-T147/100-W147),1)&lt;='Komisyon Tarifeleri'!N147),CEILING(($D147+$F147)/(1-T147/100-W147),1),IF(AND((1-P147/100-W147)&gt;0,CEILING(MAX('Komisyon Tarifeleri'!M147,($D147+$F147)/(1-P147/100-W147)),1)&lt;='Komisyon Tarifeleri'!L147),CEILING(MAX('Komisyon Tarifeleri'!M147,($D147+$F147)/(1-P147/100-W147)),1),IF(AND((1-L147/100-W147)&gt;0,CEILING(MAX('Komisyon Tarifeleri'!K147,($D147+$F147)/(1-L147/100-W147)),1)&lt;='Komisyon Tarifeleri'!J147),CEILING(MAX('Komisyon Tarifeleri'!K147,($D147+$F147)/(1-L147/100-W147)),1),IF((1-H147/100-W147)&gt;0,CEILING(MAX('Komisyon Tarifeleri'!I147,($D147+$F147)/(1-H147/100-W147)),1),"İMKÂNSIZ")))))</f>
        <v/>
      </c>
      <c r="AE147" s="10">
        <f>IF(OR($D147="",$B147=""),"",IF(AND((1-T147/100-X147)&gt;0,CEILING(($D147+$F147)/(1-T147/100-X147),1)&lt;='Komisyon Tarifeleri'!N147),CEILING(($D147+$F147)/(1-T147/100-X147),1),IF(AND((1-P147/100-X147)&gt;0,CEILING(MAX('Komisyon Tarifeleri'!M147,($D147+$F147)/(1-P147/100-X147)),1)&lt;='Komisyon Tarifeleri'!L147),CEILING(MAX('Komisyon Tarifeleri'!M147,($D147+$F147)/(1-P147/100-X147)),1),IF(AND((1-L147/100-X147)&gt;0,CEILING(MAX('Komisyon Tarifeleri'!K147,($D147+$F147)/(1-L147/100-X147)),1)&lt;='Komisyon Tarifeleri'!J147),CEILING(MAX('Komisyon Tarifeleri'!K147,($D147+$F147)/(1-L147/100-X147)),1),IF((1-H147/100-X147)&gt;0,CEILING(MAX('Komisyon Tarifeleri'!I147,($D147+$F147)/(1-H147/100-X147)),1),"İMKÂNSIZ")))))</f>
        <v/>
      </c>
      <c r="AF147" s="16">
        <f>IF($D147="","",IF(AND(Y147&lt;&gt;"",AC147&lt;&gt;"",AC147&gt;=W147),Z147,IF(Y147&lt;&gt;"",AD147,AE147)))</f>
        <v/>
      </c>
      <c r="AG147" s="16">
        <f>IF(OR(AF147="",AF147="İMKÂNSIZ"),"",AF147*(1-IF(AF147&gt;='Komisyon Tarifeleri'!I147,IF($AM$1=2,'Komisyon Tarifeleri'!U147,'Komisyon Tarifeleri'!P147),IF(AF147&gt;='Komisyon Tarifeleri'!K147,IF($AM$1=2,'Komisyon Tarifeleri'!V147,'Komisyon Tarifeleri'!Q147),IF(AF147&gt;='Komisyon Tarifeleri'!M147,IF($AM$1=2,'Komisyon Tarifeleri'!W147,'Komisyon Tarifeleri'!R147),IF($AM$1=2,'Komisyon Tarifeleri'!X147,'Komisyon Tarifeleri'!S147))))/100)-$D147-IF(AF147&lt;=199.99,Kargo!$E$2,IF(AF147&lt;=399.99,Kargo!$E$3,$F147)))</f>
        <v/>
      </c>
      <c r="AH147" s="17">
        <f>IF(AG147="","",AG147/AF147)</f>
        <v/>
      </c>
      <c r="AI147" s="18">
        <f>IF($D147="","",IF(Y147="","BUYBOX YOK → hedef kârla min fiyat",IF(AC147&gt;=W147,"✓ BUYBOX ALTINA GİR","BUYBOX ALTI KÂRSIZ → min kârlı fiyat")))</f>
        <v/>
      </c>
      <c r="AJ147" s="10">
        <f>IF($B147="","",IFERROR(VLOOKUP($B147,Maliyetler!$A:$G,6,FALSE),""))</f>
        <v/>
      </c>
      <c r="AK147">
        <f>IF($B147="","",IFERROR(VLOOKUP($B147,Maliyetler!$A:$G,7,FALSE),""))</f>
        <v/>
      </c>
      <c r="AO147" s="21">
        <f>IF($B147="","",IFERROR(VLOOKUP($B147&amp;"",'Plus Tarifeleri'!$C:$Q,11,FALSE),""))</f>
        <v/>
      </c>
      <c r="AP147" s="22">
        <f>IF(AO147="","",IFERROR(IF($AM$1=2,VLOOKUP($B147&amp;"",'Plus Tarifeleri'!$C:$Q,15,FALSE),VLOOKUP($B147&amp;"",'Plus Tarifeleri'!$C:$Q,13,FALSE)),""))</f>
        <v/>
      </c>
      <c r="AQ147" s="21">
        <f>IF(OR(AO147="",AP147="",$D147=""),"",AO147*(1-AP147/100)-$D147-IF(AO147&lt;=199.99,Kargo!$E$2,IF(AO147&lt;=399.99,Kargo!$E$3,$F147)))</f>
        <v/>
      </c>
      <c r="AR147" s="23">
        <f>IF(AQ147="","",AQ147/AO147)</f>
        <v/>
      </c>
      <c r="AS147" s="24">
        <f>IF(OR(AQ147="",AG147=""),"",AQ147-AG147)</f>
        <v/>
      </c>
    </row>
    <row r="148">
      <c r="A148">
        <f>IF('Komisyon Tarifeleri'!A148="","",'Komisyon Tarifeleri'!A148)</f>
        <v/>
      </c>
      <c r="B148">
        <f>IF('Komisyon Tarifeleri'!B148="","",'Komisyon Tarifeleri'!B148&amp;"")</f>
        <v/>
      </c>
      <c r="C148">
        <f>IF($B148="","",'Komisyon Tarifeleri'!F148)</f>
        <v/>
      </c>
      <c r="D148" s="10">
        <f>IF($B148="","",IFERROR(VLOOKUP($B148,Maliyetler!$A:$E,3,FALSE),""))</f>
        <v/>
      </c>
      <c r="E148">
        <f>IF($B148="","",IFERROR(VLOOKUP($B148,Maliyetler!$A:$E,4,FALSE),1))</f>
        <v/>
      </c>
      <c r="F148" s="10">
        <f>IF($B148="","",IFERROR(VLOOKUP(MIN(20,MAX(1,ROUND($E148,0))),Kargo!$A:$B,2,FALSE),99.46))</f>
        <v/>
      </c>
      <c r="G148" s="10">
        <f>IF($B148="","",IF(IF(N('Komisyon Tarifeleri'!AA148)&gt;='Komisyon Tarifeleri'!I148,'Komisyon Tarifeleri'!AA148,'Komisyon Tarifeleri'!I148)="","",IF(N('Komisyon Tarifeleri'!AA148)&gt;='Komisyon Tarifeleri'!I148,'Komisyon Tarifeleri'!AA148,'Komisyon Tarifeleri'!I148)))</f>
        <v/>
      </c>
      <c r="H148" s="11">
        <f>IF(G148="","",IF($AM$1=2,'Komisyon Tarifeleri'!U148,'Komisyon Tarifeleri'!P148))</f>
        <v/>
      </c>
      <c r="I148" s="10">
        <f>IF(OR(G148="",$D148=""),"",G148*(1-H148/100)-$D148-IF(G148&lt;=199.99,Kargo!$E$2,IF(G148&lt;=399.99,Kargo!$E$3,$F148)))</f>
        <v/>
      </c>
      <c r="J148" s="12">
        <f>IF(I148="","",I148/G148)</f>
        <v/>
      </c>
      <c r="K148" s="10">
        <f>IF($B148="","",IF('Komisyon Tarifeleri'!J148="","",'Komisyon Tarifeleri'!J148))</f>
        <v/>
      </c>
      <c r="L148" s="11">
        <f>IF(K148="","",IF($AM$1=2,'Komisyon Tarifeleri'!V148,'Komisyon Tarifeleri'!Q148))</f>
        <v/>
      </c>
      <c r="M148" s="10">
        <f>IF(OR(K148="",$D148=""),"",K148*(1-L148/100)-$D148-IF(K148&lt;=199.99,Kargo!$E$2,IF(K148&lt;=399.99,Kargo!$E$3,$F148)))</f>
        <v/>
      </c>
      <c r="N148" s="12">
        <f>IF(M148="","",M148/K148)</f>
        <v/>
      </c>
      <c r="O148" s="10">
        <f>IF($B148="","",IF('Komisyon Tarifeleri'!L148="","",'Komisyon Tarifeleri'!L148))</f>
        <v/>
      </c>
      <c r="P148" s="11">
        <f>IF(O148="","",IF($AM$1=2,'Komisyon Tarifeleri'!W148,'Komisyon Tarifeleri'!R148))</f>
        <v/>
      </c>
      <c r="Q148" s="10">
        <f>IF(OR(O148="",$D148=""),"",O148*(1-P148/100)-$D148-IF(O148&lt;=199.99,Kargo!$E$2,IF(O148&lt;=399.99,Kargo!$E$3,$F148)))</f>
        <v/>
      </c>
      <c r="R148" s="12">
        <f>IF(Q148="","",Q148/O148)</f>
        <v/>
      </c>
      <c r="S148" s="10">
        <f>IF($B148="","",IF('Komisyon Tarifeleri'!N148="","",'Komisyon Tarifeleri'!N148))</f>
        <v/>
      </c>
      <c r="T148" s="11">
        <f>IF(S148="","",IF($AM$1=2,'Komisyon Tarifeleri'!X148,'Komisyon Tarifeleri'!S148))</f>
        <v/>
      </c>
      <c r="U148" s="10">
        <f>IF(OR(S148="",$D148=""),"",S148*(1-T148/100)-$D148-IF(S148&lt;=199.99,Kargo!$E$2,IF(S148&lt;=399.99,Kargo!$E$3,$F148)))</f>
        <v/>
      </c>
      <c r="V148" s="12">
        <f>IF(U148="","",U148/S148)</f>
        <v/>
      </c>
      <c r="W148" s="12">
        <f>IF($B148="","",IFERROR(VLOOKUP($C148,Hedefler!$A:$C,2,FALSE),0.04))</f>
        <v/>
      </c>
      <c r="X148" s="12">
        <f>IF($B148="","",IFERROR(VLOOKUP($C148,Hedefler!$A:$C,3,FALSE),0.1))</f>
        <v/>
      </c>
      <c r="Y148" s="13">
        <f>IF($B148="","",IFERROR(VLOOKUP($B148,Maliyetler!$A:$E,5,FALSE),""))</f>
        <v/>
      </c>
      <c r="Z148" s="13">
        <f>IF(OR(Y148="",Y148=0),"",Y148-1)</f>
        <v/>
      </c>
      <c r="AA148" s="14">
        <f>IF(Z148="","",IF(Z148&gt;='Komisyon Tarifeleri'!I148,IF($AM$1=2,'Komisyon Tarifeleri'!U148,'Komisyon Tarifeleri'!P148),IF(Z148&gt;='Komisyon Tarifeleri'!K148,IF($AM$1=2,'Komisyon Tarifeleri'!V148,'Komisyon Tarifeleri'!Q148),IF(Z148&gt;='Komisyon Tarifeleri'!M148,IF($AM$1=2,'Komisyon Tarifeleri'!W148,'Komisyon Tarifeleri'!R148),IF($AM$1=2,'Komisyon Tarifeleri'!X148,'Komisyon Tarifeleri'!S148)))))</f>
        <v/>
      </c>
      <c r="AB148" s="13">
        <f>IF(OR(AA148="",$D148=""),"",Z148*(1-AA148/100)-$D148-IF(Z148&lt;=199.99,Kargo!$E$2,IF(Z148&lt;=399.99,Kargo!$E$3,$F148)))</f>
        <v/>
      </c>
      <c r="AC148" s="15">
        <f>IF(AB148="","",AB148/Z148)</f>
        <v/>
      </c>
      <c r="AD148" s="10">
        <f>IF(OR($D148="",$B148=""),"",IF(AND((1-T148/100-W148)&gt;0,CEILING(($D148+$F148)/(1-T148/100-W148),1)&lt;='Komisyon Tarifeleri'!N148),CEILING(($D148+$F148)/(1-T148/100-W148),1),IF(AND((1-P148/100-W148)&gt;0,CEILING(MAX('Komisyon Tarifeleri'!M148,($D148+$F148)/(1-P148/100-W148)),1)&lt;='Komisyon Tarifeleri'!L148),CEILING(MAX('Komisyon Tarifeleri'!M148,($D148+$F148)/(1-P148/100-W148)),1),IF(AND((1-L148/100-W148)&gt;0,CEILING(MAX('Komisyon Tarifeleri'!K148,($D148+$F148)/(1-L148/100-W148)),1)&lt;='Komisyon Tarifeleri'!J148),CEILING(MAX('Komisyon Tarifeleri'!K148,($D148+$F148)/(1-L148/100-W148)),1),IF((1-H148/100-W148)&gt;0,CEILING(MAX('Komisyon Tarifeleri'!I148,($D148+$F148)/(1-H148/100-W148)),1),"İMKÂNSIZ")))))</f>
        <v/>
      </c>
      <c r="AE148" s="10">
        <f>IF(OR($D148="",$B148=""),"",IF(AND((1-T148/100-X148)&gt;0,CEILING(($D148+$F148)/(1-T148/100-X148),1)&lt;='Komisyon Tarifeleri'!N148),CEILING(($D148+$F148)/(1-T148/100-X148),1),IF(AND((1-P148/100-X148)&gt;0,CEILING(MAX('Komisyon Tarifeleri'!M148,($D148+$F148)/(1-P148/100-X148)),1)&lt;='Komisyon Tarifeleri'!L148),CEILING(MAX('Komisyon Tarifeleri'!M148,($D148+$F148)/(1-P148/100-X148)),1),IF(AND((1-L148/100-X148)&gt;0,CEILING(MAX('Komisyon Tarifeleri'!K148,($D148+$F148)/(1-L148/100-X148)),1)&lt;='Komisyon Tarifeleri'!J148),CEILING(MAX('Komisyon Tarifeleri'!K148,($D148+$F148)/(1-L148/100-X148)),1),IF((1-H148/100-X148)&gt;0,CEILING(MAX('Komisyon Tarifeleri'!I148,($D148+$F148)/(1-H148/100-X148)),1),"İMKÂNSIZ")))))</f>
        <v/>
      </c>
      <c r="AF148" s="16">
        <f>IF($D148="","",IF(AND(Y148&lt;&gt;"",AC148&lt;&gt;"",AC148&gt;=W148),Z148,IF(Y148&lt;&gt;"",AD148,AE148)))</f>
        <v/>
      </c>
      <c r="AG148" s="16">
        <f>IF(OR(AF148="",AF148="İMKÂNSIZ"),"",AF148*(1-IF(AF148&gt;='Komisyon Tarifeleri'!I148,IF($AM$1=2,'Komisyon Tarifeleri'!U148,'Komisyon Tarifeleri'!P148),IF(AF148&gt;='Komisyon Tarifeleri'!K148,IF($AM$1=2,'Komisyon Tarifeleri'!V148,'Komisyon Tarifeleri'!Q148),IF(AF148&gt;='Komisyon Tarifeleri'!M148,IF($AM$1=2,'Komisyon Tarifeleri'!W148,'Komisyon Tarifeleri'!R148),IF($AM$1=2,'Komisyon Tarifeleri'!X148,'Komisyon Tarifeleri'!S148))))/100)-$D148-IF(AF148&lt;=199.99,Kargo!$E$2,IF(AF148&lt;=399.99,Kargo!$E$3,$F148)))</f>
        <v/>
      </c>
      <c r="AH148" s="17">
        <f>IF(AG148="","",AG148/AF148)</f>
        <v/>
      </c>
      <c r="AI148" s="18">
        <f>IF($D148="","",IF(Y148="","BUYBOX YOK → hedef kârla min fiyat",IF(AC148&gt;=W148,"✓ BUYBOX ALTINA GİR","BUYBOX ALTI KÂRSIZ → min kârlı fiyat")))</f>
        <v/>
      </c>
      <c r="AJ148" s="10">
        <f>IF($B148="","",IFERROR(VLOOKUP($B148,Maliyetler!$A:$G,6,FALSE),""))</f>
        <v/>
      </c>
      <c r="AK148">
        <f>IF($B148="","",IFERROR(VLOOKUP($B148,Maliyetler!$A:$G,7,FALSE),""))</f>
        <v/>
      </c>
      <c r="AO148" s="21">
        <f>IF($B148="","",IFERROR(VLOOKUP($B148&amp;"",'Plus Tarifeleri'!$C:$Q,11,FALSE),""))</f>
        <v/>
      </c>
      <c r="AP148" s="22">
        <f>IF(AO148="","",IFERROR(IF($AM$1=2,VLOOKUP($B148&amp;"",'Plus Tarifeleri'!$C:$Q,15,FALSE),VLOOKUP($B148&amp;"",'Plus Tarifeleri'!$C:$Q,13,FALSE)),""))</f>
        <v/>
      </c>
      <c r="AQ148" s="21">
        <f>IF(OR(AO148="",AP148="",$D148=""),"",AO148*(1-AP148/100)-$D148-IF(AO148&lt;=199.99,Kargo!$E$2,IF(AO148&lt;=399.99,Kargo!$E$3,$F148)))</f>
        <v/>
      </c>
      <c r="AR148" s="23">
        <f>IF(AQ148="","",AQ148/AO148)</f>
        <v/>
      </c>
      <c r="AS148" s="24">
        <f>IF(OR(AQ148="",AG148=""),"",AQ148-AG148)</f>
        <v/>
      </c>
    </row>
    <row r="149">
      <c r="A149">
        <f>IF('Komisyon Tarifeleri'!A149="","",'Komisyon Tarifeleri'!A149)</f>
        <v/>
      </c>
      <c r="B149">
        <f>IF('Komisyon Tarifeleri'!B149="","",'Komisyon Tarifeleri'!B149&amp;"")</f>
        <v/>
      </c>
      <c r="C149">
        <f>IF($B149="","",'Komisyon Tarifeleri'!F149)</f>
        <v/>
      </c>
      <c r="D149" s="10">
        <f>IF($B149="","",IFERROR(VLOOKUP($B149,Maliyetler!$A:$E,3,FALSE),""))</f>
        <v/>
      </c>
      <c r="E149">
        <f>IF($B149="","",IFERROR(VLOOKUP($B149,Maliyetler!$A:$E,4,FALSE),1))</f>
        <v/>
      </c>
      <c r="F149" s="10">
        <f>IF($B149="","",IFERROR(VLOOKUP(MIN(20,MAX(1,ROUND($E149,0))),Kargo!$A:$B,2,FALSE),99.46))</f>
        <v/>
      </c>
      <c r="G149" s="10">
        <f>IF($B149="","",IF(IF(N('Komisyon Tarifeleri'!AA149)&gt;='Komisyon Tarifeleri'!I149,'Komisyon Tarifeleri'!AA149,'Komisyon Tarifeleri'!I149)="","",IF(N('Komisyon Tarifeleri'!AA149)&gt;='Komisyon Tarifeleri'!I149,'Komisyon Tarifeleri'!AA149,'Komisyon Tarifeleri'!I149)))</f>
        <v/>
      </c>
      <c r="H149" s="11">
        <f>IF(G149="","",IF($AM$1=2,'Komisyon Tarifeleri'!U149,'Komisyon Tarifeleri'!P149))</f>
        <v/>
      </c>
      <c r="I149" s="10">
        <f>IF(OR(G149="",$D149=""),"",G149*(1-H149/100)-$D149-IF(G149&lt;=199.99,Kargo!$E$2,IF(G149&lt;=399.99,Kargo!$E$3,$F149)))</f>
        <v/>
      </c>
      <c r="J149" s="12">
        <f>IF(I149="","",I149/G149)</f>
        <v/>
      </c>
      <c r="K149" s="10">
        <f>IF($B149="","",IF('Komisyon Tarifeleri'!J149="","",'Komisyon Tarifeleri'!J149))</f>
        <v/>
      </c>
      <c r="L149" s="11">
        <f>IF(K149="","",IF($AM$1=2,'Komisyon Tarifeleri'!V149,'Komisyon Tarifeleri'!Q149))</f>
        <v/>
      </c>
      <c r="M149" s="10">
        <f>IF(OR(K149="",$D149=""),"",K149*(1-L149/100)-$D149-IF(K149&lt;=199.99,Kargo!$E$2,IF(K149&lt;=399.99,Kargo!$E$3,$F149)))</f>
        <v/>
      </c>
      <c r="N149" s="12">
        <f>IF(M149="","",M149/K149)</f>
        <v/>
      </c>
      <c r="O149" s="10">
        <f>IF($B149="","",IF('Komisyon Tarifeleri'!L149="","",'Komisyon Tarifeleri'!L149))</f>
        <v/>
      </c>
      <c r="P149" s="11">
        <f>IF(O149="","",IF($AM$1=2,'Komisyon Tarifeleri'!W149,'Komisyon Tarifeleri'!R149))</f>
        <v/>
      </c>
      <c r="Q149" s="10">
        <f>IF(OR(O149="",$D149=""),"",O149*(1-P149/100)-$D149-IF(O149&lt;=199.99,Kargo!$E$2,IF(O149&lt;=399.99,Kargo!$E$3,$F149)))</f>
        <v/>
      </c>
      <c r="R149" s="12">
        <f>IF(Q149="","",Q149/O149)</f>
        <v/>
      </c>
      <c r="S149" s="10">
        <f>IF($B149="","",IF('Komisyon Tarifeleri'!N149="","",'Komisyon Tarifeleri'!N149))</f>
        <v/>
      </c>
      <c r="T149" s="11">
        <f>IF(S149="","",IF($AM$1=2,'Komisyon Tarifeleri'!X149,'Komisyon Tarifeleri'!S149))</f>
        <v/>
      </c>
      <c r="U149" s="10">
        <f>IF(OR(S149="",$D149=""),"",S149*(1-T149/100)-$D149-IF(S149&lt;=199.99,Kargo!$E$2,IF(S149&lt;=399.99,Kargo!$E$3,$F149)))</f>
        <v/>
      </c>
      <c r="V149" s="12">
        <f>IF(U149="","",U149/S149)</f>
        <v/>
      </c>
      <c r="W149" s="12">
        <f>IF($B149="","",IFERROR(VLOOKUP($C149,Hedefler!$A:$C,2,FALSE),0.04))</f>
        <v/>
      </c>
      <c r="X149" s="12">
        <f>IF($B149="","",IFERROR(VLOOKUP($C149,Hedefler!$A:$C,3,FALSE),0.1))</f>
        <v/>
      </c>
      <c r="Y149" s="13">
        <f>IF($B149="","",IFERROR(VLOOKUP($B149,Maliyetler!$A:$E,5,FALSE),""))</f>
        <v/>
      </c>
      <c r="Z149" s="13">
        <f>IF(OR(Y149="",Y149=0),"",Y149-1)</f>
        <v/>
      </c>
      <c r="AA149" s="14">
        <f>IF(Z149="","",IF(Z149&gt;='Komisyon Tarifeleri'!I149,IF($AM$1=2,'Komisyon Tarifeleri'!U149,'Komisyon Tarifeleri'!P149),IF(Z149&gt;='Komisyon Tarifeleri'!K149,IF($AM$1=2,'Komisyon Tarifeleri'!V149,'Komisyon Tarifeleri'!Q149),IF(Z149&gt;='Komisyon Tarifeleri'!M149,IF($AM$1=2,'Komisyon Tarifeleri'!W149,'Komisyon Tarifeleri'!R149),IF($AM$1=2,'Komisyon Tarifeleri'!X149,'Komisyon Tarifeleri'!S149)))))</f>
        <v/>
      </c>
      <c r="AB149" s="13">
        <f>IF(OR(AA149="",$D149=""),"",Z149*(1-AA149/100)-$D149-IF(Z149&lt;=199.99,Kargo!$E$2,IF(Z149&lt;=399.99,Kargo!$E$3,$F149)))</f>
        <v/>
      </c>
      <c r="AC149" s="15">
        <f>IF(AB149="","",AB149/Z149)</f>
        <v/>
      </c>
      <c r="AD149" s="10">
        <f>IF(OR($D149="",$B149=""),"",IF(AND((1-T149/100-W149)&gt;0,CEILING(($D149+$F149)/(1-T149/100-W149),1)&lt;='Komisyon Tarifeleri'!N149),CEILING(($D149+$F149)/(1-T149/100-W149),1),IF(AND((1-P149/100-W149)&gt;0,CEILING(MAX('Komisyon Tarifeleri'!M149,($D149+$F149)/(1-P149/100-W149)),1)&lt;='Komisyon Tarifeleri'!L149),CEILING(MAX('Komisyon Tarifeleri'!M149,($D149+$F149)/(1-P149/100-W149)),1),IF(AND((1-L149/100-W149)&gt;0,CEILING(MAX('Komisyon Tarifeleri'!K149,($D149+$F149)/(1-L149/100-W149)),1)&lt;='Komisyon Tarifeleri'!J149),CEILING(MAX('Komisyon Tarifeleri'!K149,($D149+$F149)/(1-L149/100-W149)),1),IF((1-H149/100-W149)&gt;0,CEILING(MAX('Komisyon Tarifeleri'!I149,($D149+$F149)/(1-H149/100-W149)),1),"İMKÂNSIZ")))))</f>
        <v/>
      </c>
      <c r="AE149" s="10">
        <f>IF(OR($D149="",$B149=""),"",IF(AND((1-T149/100-X149)&gt;0,CEILING(($D149+$F149)/(1-T149/100-X149),1)&lt;='Komisyon Tarifeleri'!N149),CEILING(($D149+$F149)/(1-T149/100-X149),1),IF(AND((1-P149/100-X149)&gt;0,CEILING(MAX('Komisyon Tarifeleri'!M149,($D149+$F149)/(1-P149/100-X149)),1)&lt;='Komisyon Tarifeleri'!L149),CEILING(MAX('Komisyon Tarifeleri'!M149,($D149+$F149)/(1-P149/100-X149)),1),IF(AND((1-L149/100-X149)&gt;0,CEILING(MAX('Komisyon Tarifeleri'!K149,($D149+$F149)/(1-L149/100-X149)),1)&lt;='Komisyon Tarifeleri'!J149),CEILING(MAX('Komisyon Tarifeleri'!K149,($D149+$F149)/(1-L149/100-X149)),1),IF((1-H149/100-X149)&gt;0,CEILING(MAX('Komisyon Tarifeleri'!I149,($D149+$F149)/(1-H149/100-X149)),1),"İMKÂNSIZ")))))</f>
        <v/>
      </c>
      <c r="AF149" s="16">
        <f>IF($D149="","",IF(AND(Y149&lt;&gt;"",AC149&lt;&gt;"",AC149&gt;=W149),Z149,IF(Y149&lt;&gt;"",AD149,AE149)))</f>
        <v/>
      </c>
      <c r="AG149" s="16">
        <f>IF(OR(AF149="",AF149="İMKÂNSIZ"),"",AF149*(1-IF(AF149&gt;='Komisyon Tarifeleri'!I149,IF($AM$1=2,'Komisyon Tarifeleri'!U149,'Komisyon Tarifeleri'!P149),IF(AF149&gt;='Komisyon Tarifeleri'!K149,IF($AM$1=2,'Komisyon Tarifeleri'!V149,'Komisyon Tarifeleri'!Q149),IF(AF149&gt;='Komisyon Tarifeleri'!M149,IF($AM$1=2,'Komisyon Tarifeleri'!W149,'Komisyon Tarifeleri'!R149),IF($AM$1=2,'Komisyon Tarifeleri'!X149,'Komisyon Tarifeleri'!S149))))/100)-$D149-IF(AF149&lt;=199.99,Kargo!$E$2,IF(AF149&lt;=399.99,Kargo!$E$3,$F149)))</f>
        <v/>
      </c>
      <c r="AH149" s="17">
        <f>IF(AG149="","",AG149/AF149)</f>
        <v/>
      </c>
      <c r="AI149" s="18">
        <f>IF($D149="","",IF(Y149="","BUYBOX YOK → hedef kârla min fiyat",IF(AC149&gt;=W149,"✓ BUYBOX ALTINA GİR","BUYBOX ALTI KÂRSIZ → min kârlı fiyat")))</f>
        <v/>
      </c>
      <c r="AJ149" s="10">
        <f>IF($B149="","",IFERROR(VLOOKUP($B149,Maliyetler!$A:$G,6,FALSE),""))</f>
        <v/>
      </c>
      <c r="AK149">
        <f>IF($B149="","",IFERROR(VLOOKUP($B149,Maliyetler!$A:$G,7,FALSE),""))</f>
        <v/>
      </c>
      <c r="AO149" s="21">
        <f>IF($B149="","",IFERROR(VLOOKUP($B149&amp;"",'Plus Tarifeleri'!$C:$Q,11,FALSE),""))</f>
        <v/>
      </c>
      <c r="AP149" s="22">
        <f>IF(AO149="","",IFERROR(IF($AM$1=2,VLOOKUP($B149&amp;"",'Plus Tarifeleri'!$C:$Q,15,FALSE),VLOOKUP($B149&amp;"",'Plus Tarifeleri'!$C:$Q,13,FALSE)),""))</f>
        <v/>
      </c>
      <c r="AQ149" s="21">
        <f>IF(OR(AO149="",AP149="",$D149=""),"",AO149*(1-AP149/100)-$D149-IF(AO149&lt;=199.99,Kargo!$E$2,IF(AO149&lt;=399.99,Kargo!$E$3,$F149)))</f>
        <v/>
      </c>
      <c r="AR149" s="23">
        <f>IF(AQ149="","",AQ149/AO149)</f>
        <v/>
      </c>
      <c r="AS149" s="24">
        <f>IF(OR(AQ149="",AG149=""),"",AQ149-AG149)</f>
        <v/>
      </c>
    </row>
    <row r="150">
      <c r="A150">
        <f>IF('Komisyon Tarifeleri'!A150="","",'Komisyon Tarifeleri'!A150)</f>
        <v/>
      </c>
      <c r="B150">
        <f>IF('Komisyon Tarifeleri'!B150="","",'Komisyon Tarifeleri'!B150&amp;"")</f>
        <v/>
      </c>
      <c r="C150">
        <f>IF($B150="","",'Komisyon Tarifeleri'!F150)</f>
        <v/>
      </c>
      <c r="D150" s="10">
        <f>IF($B150="","",IFERROR(VLOOKUP($B150,Maliyetler!$A:$E,3,FALSE),""))</f>
        <v/>
      </c>
      <c r="E150">
        <f>IF($B150="","",IFERROR(VLOOKUP($B150,Maliyetler!$A:$E,4,FALSE),1))</f>
        <v/>
      </c>
      <c r="F150" s="10">
        <f>IF($B150="","",IFERROR(VLOOKUP(MIN(20,MAX(1,ROUND($E150,0))),Kargo!$A:$B,2,FALSE),99.46))</f>
        <v/>
      </c>
      <c r="G150" s="10">
        <f>IF($B150="","",IF(IF(N('Komisyon Tarifeleri'!AA150)&gt;='Komisyon Tarifeleri'!I150,'Komisyon Tarifeleri'!AA150,'Komisyon Tarifeleri'!I150)="","",IF(N('Komisyon Tarifeleri'!AA150)&gt;='Komisyon Tarifeleri'!I150,'Komisyon Tarifeleri'!AA150,'Komisyon Tarifeleri'!I150)))</f>
        <v/>
      </c>
      <c r="H150" s="11">
        <f>IF(G150="","",IF($AM$1=2,'Komisyon Tarifeleri'!U150,'Komisyon Tarifeleri'!P150))</f>
        <v/>
      </c>
      <c r="I150" s="10">
        <f>IF(OR(G150="",$D150=""),"",G150*(1-H150/100)-$D150-IF(G150&lt;=199.99,Kargo!$E$2,IF(G150&lt;=399.99,Kargo!$E$3,$F150)))</f>
        <v/>
      </c>
      <c r="J150" s="12">
        <f>IF(I150="","",I150/G150)</f>
        <v/>
      </c>
      <c r="K150" s="10">
        <f>IF($B150="","",IF('Komisyon Tarifeleri'!J150="","",'Komisyon Tarifeleri'!J150))</f>
        <v/>
      </c>
      <c r="L150" s="11">
        <f>IF(K150="","",IF($AM$1=2,'Komisyon Tarifeleri'!V150,'Komisyon Tarifeleri'!Q150))</f>
        <v/>
      </c>
      <c r="M150" s="10">
        <f>IF(OR(K150="",$D150=""),"",K150*(1-L150/100)-$D150-IF(K150&lt;=199.99,Kargo!$E$2,IF(K150&lt;=399.99,Kargo!$E$3,$F150)))</f>
        <v/>
      </c>
      <c r="N150" s="12">
        <f>IF(M150="","",M150/K150)</f>
        <v/>
      </c>
      <c r="O150" s="10">
        <f>IF($B150="","",IF('Komisyon Tarifeleri'!L150="","",'Komisyon Tarifeleri'!L150))</f>
        <v/>
      </c>
      <c r="P150" s="11">
        <f>IF(O150="","",IF($AM$1=2,'Komisyon Tarifeleri'!W150,'Komisyon Tarifeleri'!R150))</f>
        <v/>
      </c>
      <c r="Q150" s="10">
        <f>IF(OR(O150="",$D150=""),"",O150*(1-P150/100)-$D150-IF(O150&lt;=199.99,Kargo!$E$2,IF(O150&lt;=399.99,Kargo!$E$3,$F150)))</f>
        <v/>
      </c>
      <c r="R150" s="12">
        <f>IF(Q150="","",Q150/O150)</f>
        <v/>
      </c>
      <c r="S150" s="10">
        <f>IF($B150="","",IF('Komisyon Tarifeleri'!N150="","",'Komisyon Tarifeleri'!N150))</f>
        <v/>
      </c>
      <c r="T150" s="11">
        <f>IF(S150="","",IF($AM$1=2,'Komisyon Tarifeleri'!X150,'Komisyon Tarifeleri'!S150))</f>
        <v/>
      </c>
      <c r="U150" s="10">
        <f>IF(OR(S150="",$D150=""),"",S150*(1-T150/100)-$D150-IF(S150&lt;=199.99,Kargo!$E$2,IF(S150&lt;=399.99,Kargo!$E$3,$F150)))</f>
        <v/>
      </c>
      <c r="V150" s="12">
        <f>IF(U150="","",U150/S150)</f>
        <v/>
      </c>
      <c r="W150" s="12">
        <f>IF($B150="","",IFERROR(VLOOKUP($C150,Hedefler!$A:$C,2,FALSE),0.04))</f>
        <v/>
      </c>
      <c r="X150" s="12">
        <f>IF($B150="","",IFERROR(VLOOKUP($C150,Hedefler!$A:$C,3,FALSE),0.1))</f>
        <v/>
      </c>
      <c r="Y150" s="13">
        <f>IF($B150="","",IFERROR(VLOOKUP($B150,Maliyetler!$A:$E,5,FALSE),""))</f>
        <v/>
      </c>
      <c r="Z150" s="13">
        <f>IF(OR(Y150="",Y150=0),"",Y150-1)</f>
        <v/>
      </c>
      <c r="AA150" s="14">
        <f>IF(Z150="","",IF(Z150&gt;='Komisyon Tarifeleri'!I150,IF($AM$1=2,'Komisyon Tarifeleri'!U150,'Komisyon Tarifeleri'!P150),IF(Z150&gt;='Komisyon Tarifeleri'!K150,IF($AM$1=2,'Komisyon Tarifeleri'!V150,'Komisyon Tarifeleri'!Q150),IF(Z150&gt;='Komisyon Tarifeleri'!M150,IF($AM$1=2,'Komisyon Tarifeleri'!W150,'Komisyon Tarifeleri'!R150),IF($AM$1=2,'Komisyon Tarifeleri'!X150,'Komisyon Tarifeleri'!S150)))))</f>
        <v/>
      </c>
      <c r="AB150" s="13">
        <f>IF(OR(AA150="",$D150=""),"",Z150*(1-AA150/100)-$D150-IF(Z150&lt;=199.99,Kargo!$E$2,IF(Z150&lt;=399.99,Kargo!$E$3,$F150)))</f>
        <v/>
      </c>
      <c r="AC150" s="15">
        <f>IF(AB150="","",AB150/Z150)</f>
        <v/>
      </c>
      <c r="AD150" s="10">
        <f>IF(OR($D150="",$B150=""),"",IF(AND((1-T150/100-W150)&gt;0,CEILING(($D150+$F150)/(1-T150/100-W150),1)&lt;='Komisyon Tarifeleri'!N150),CEILING(($D150+$F150)/(1-T150/100-W150),1),IF(AND((1-P150/100-W150)&gt;0,CEILING(MAX('Komisyon Tarifeleri'!M150,($D150+$F150)/(1-P150/100-W150)),1)&lt;='Komisyon Tarifeleri'!L150),CEILING(MAX('Komisyon Tarifeleri'!M150,($D150+$F150)/(1-P150/100-W150)),1),IF(AND((1-L150/100-W150)&gt;0,CEILING(MAX('Komisyon Tarifeleri'!K150,($D150+$F150)/(1-L150/100-W150)),1)&lt;='Komisyon Tarifeleri'!J150),CEILING(MAX('Komisyon Tarifeleri'!K150,($D150+$F150)/(1-L150/100-W150)),1),IF((1-H150/100-W150)&gt;0,CEILING(MAX('Komisyon Tarifeleri'!I150,($D150+$F150)/(1-H150/100-W150)),1),"İMKÂNSIZ")))))</f>
        <v/>
      </c>
      <c r="AE150" s="10">
        <f>IF(OR($D150="",$B150=""),"",IF(AND((1-T150/100-X150)&gt;0,CEILING(($D150+$F150)/(1-T150/100-X150),1)&lt;='Komisyon Tarifeleri'!N150),CEILING(($D150+$F150)/(1-T150/100-X150),1),IF(AND((1-P150/100-X150)&gt;0,CEILING(MAX('Komisyon Tarifeleri'!M150,($D150+$F150)/(1-P150/100-X150)),1)&lt;='Komisyon Tarifeleri'!L150),CEILING(MAX('Komisyon Tarifeleri'!M150,($D150+$F150)/(1-P150/100-X150)),1),IF(AND((1-L150/100-X150)&gt;0,CEILING(MAX('Komisyon Tarifeleri'!K150,($D150+$F150)/(1-L150/100-X150)),1)&lt;='Komisyon Tarifeleri'!J150),CEILING(MAX('Komisyon Tarifeleri'!K150,($D150+$F150)/(1-L150/100-X150)),1),IF((1-H150/100-X150)&gt;0,CEILING(MAX('Komisyon Tarifeleri'!I150,($D150+$F150)/(1-H150/100-X150)),1),"İMKÂNSIZ")))))</f>
        <v/>
      </c>
      <c r="AF150" s="16">
        <f>IF($D150="","",IF(AND(Y150&lt;&gt;"",AC150&lt;&gt;"",AC150&gt;=W150),Z150,IF(Y150&lt;&gt;"",AD150,AE150)))</f>
        <v/>
      </c>
      <c r="AG150" s="16">
        <f>IF(OR(AF150="",AF150="İMKÂNSIZ"),"",AF150*(1-IF(AF150&gt;='Komisyon Tarifeleri'!I150,IF($AM$1=2,'Komisyon Tarifeleri'!U150,'Komisyon Tarifeleri'!P150),IF(AF150&gt;='Komisyon Tarifeleri'!K150,IF($AM$1=2,'Komisyon Tarifeleri'!V150,'Komisyon Tarifeleri'!Q150),IF(AF150&gt;='Komisyon Tarifeleri'!M150,IF($AM$1=2,'Komisyon Tarifeleri'!W150,'Komisyon Tarifeleri'!R150),IF($AM$1=2,'Komisyon Tarifeleri'!X150,'Komisyon Tarifeleri'!S150))))/100)-$D150-IF(AF150&lt;=199.99,Kargo!$E$2,IF(AF150&lt;=399.99,Kargo!$E$3,$F150)))</f>
        <v/>
      </c>
      <c r="AH150" s="17">
        <f>IF(AG150="","",AG150/AF150)</f>
        <v/>
      </c>
      <c r="AI150" s="18">
        <f>IF($D150="","",IF(Y150="","BUYBOX YOK → hedef kârla min fiyat",IF(AC150&gt;=W150,"✓ BUYBOX ALTINA GİR","BUYBOX ALTI KÂRSIZ → min kârlı fiyat")))</f>
        <v/>
      </c>
      <c r="AJ150" s="10">
        <f>IF($B150="","",IFERROR(VLOOKUP($B150,Maliyetler!$A:$G,6,FALSE),""))</f>
        <v/>
      </c>
      <c r="AK150">
        <f>IF($B150="","",IFERROR(VLOOKUP($B150,Maliyetler!$A:$G,7,FALSE),""))</f>
        <v/>
      </c>
      <c r="AO150" s="21">
        <f>IF($B150="","",IFERROR(VLOOKUP($B150&amp;"",'Plus Tarifeleri'!$C:$Q,11,FALSE),""))</f>
        <v/>
      </c>
      <c r="AP150" s="22">
        <f>IF(AO150="","",IFERROR(IF($AM$1=2,VLOOKUP($B150&amp;"",'Plus Tarifeleri'!$C:$Q,15,FALSE),VLOOKUP($B150&amp;"",'Plus Tarifeleri'!$C:$Q,13,FALSE)),""))</f>
        <v/>
      </c>
      <c r="AQ150" s="21">
        <f>IF(OR(AO150="",AP150="",$D150=""),"",AO150*(1-AP150/100)-$D150-IF(AO150&lt;=199.99,Kargo!$E$2,IF(AO150&lt;=399.99,Kargo!$E$3,$F150)))</f>
        <v/>
      </c>
      <c r="AR150" s="23">
        <f>IF(AQ150="","",AQ150/AO150)</f>
        <v/>
      </c>
      <c r="AS150" s="24">
        <f>IF(OR(AQ150="",AG150=""),"",AQ150-AG150)</f>
        <v/>
      </c>
    </row>
    <row r="151">
      <c r="A151">
        <f>IF('Komisyon Tarifeleri'!A151="","",'Komisyon Tarifeleri'!A151)</f>
        <v/>
      </c>
      <c r="B151">
        <f>IF('Komisyon Tarifeleri'!B151="","",'Komisyon Tarifeleri'!B151&amp;"")</f>
        <v/>
      </c>
      <c r="C151">
        <f>IF($B151="","",'Komisyon Tarifeleri'!F151)</f>
        <v/>
      </c>
      <c r="D151" s="10">
        <f>IF($B151="","",IFERROR(VLOOKUP($B151,Maliyetler!$A:$E,3,FALSE),""))</f>
        <v/>
      </c>
      <c r="E151">
        <f>IF($B151="","",IFERROR(VLOOKUP($B151,Maliyetler!$A:$E,4,FALSE),1))</f>
        <v/>
      </c>
      <c r="F151" s="10">
        <f>IF($B151="","",IFERROR(VLOOKUP(MIN(20,MAX(1,ROUND($E151,0))),Kargo!$A:$B,2,FALSE),99.46))</f>
        <v/>
      </c>
      <c r="G151" s="10">
        <f>IF($B151="","",IF(IF(N('Komisyon Tarifeleri'!AA151)&gt;='Komisyon Tarifeleri'!I151,'Komisyon Tarifeleri'!AA151,'Komisyon Tarifeleri'!I151)="","",IF(N('Komisyon Tarifeleri'!AA151)&gt;='Komisyon Tarifeleri'!I151,'Komisyon Tarifeleri'!AA151,'Komisyon Tarifeleri'!I151)))</f>
        <v/>
      </c>
      <c r="H151" s="11">
        <f>IF(G151="","",IF($AM$1=2,'Komisyon Tarifeleri'!U151,'Komisyon Tarifeleri'!P151))</f>
        <v/>
      </c>
      <c r="I151" s="10">
        <f>IF(OR(G151="",$D151=""),"",G151*(1-H151/100)-$D151-IF(G151&lt;=199.99,Kargo!$E$2,IF(G151&lt;=399.99,Kargo!$E$3,$F151)))</f>
        <v/>
      </c>
      <c r="J151" s="12">
        <f>IF(I151="","",I151/G151)</f>
        <v/>
      </c>
      <c r="K151" s="10">
        <f>IF($B151="","",IF('Komisyon Tarifeleri'!J151="","",'Komisyon Tarifeleri'!J151))</f>
        <v/>
      </c>
      <c r="L151" s="11">
        <f>IF(K151="","",IF($AM$1=2,'Komisyon Tarifeleri'!V151,'Komisyon Tarifeleri'!Q151))</f>
        <v/>
      </c>
      <c r="M151" s="10">
        <f>IF(OR(K151="",$D151=""),"",K151*(1-L151/100)-$D151-IF(K151&lt;=199.99,Kargo!$E$2,IF(K151&lt;=399.99,Kargo!$E$3,$F151)))</f>
        <v/>
      </c>
      <c r="N151" s="12">
        <f>IF(M151="","",M151/K151)</f>
        <v/>
      </c>
      <c r="O151" s="10">
        <f>IF($B151="","",IF('Komisyon Tarifeleri'!L151="","",'Komisyon Tarifeleri'!L151))</f>
        <v/>
      </c>
      <c r="P151" s="11">
        <f>IF(O151="","",IF($AM$1=2,'Komisyon Tarifeleri'!W151,'Komisyon Tarifeleri'!R151))</f>
        <v/>
      </c>
      <c r="Q151" s="10">
        <f>IF(OR(O151="",$D151=""),"",O151*(1-P151/100)-$D151-IF(O151&lt;=199.99,Kargo!$E$2,IF(O151&lt;=399.99,Kargo!$E$3,$F151)))</f>
        <v/>
      </c>
      <c r="R151" s="12">
        <f>IF(Q151="","",Q151/O151)</f>
        <v/>
      </c>
      <c r="S151" s="10">
        <f>IF($B151="","",IF('Komisyon Tarifeleri'!N151="","",'Komisyon Tarifeleri'!N151))</f>
        <v/>
      </c>
      <c r="T151" s="11">
        <f>IF(S151="","",IF($AM$1=2,'Komisyon Tarifeleri'!X151,'Komisyon Tarifeleri'!S151))</f>
        <v/>
      </c>
      <c r="U151" s="10">
        <f>IF(OR(S151="",$D151=""),"",S151*(1-T151/100)-$D151-IF(S151&lt;=199.99,Kargo!$E$2,IF(S151&lt;=399.99,Kargo!$E$3,$F151)))</f>
        <v/>
      </c>
      <c r="V151" s="12">
        <f>IF(U151="","",U151/S151)</f>
        <v/>
      </c>
      <c r="W151" s="12">
        <f>IF($B151="","",IFERROR(VLOOKUP($C151,Hedefler!$A:$C,2,FALSE),0.04))</f>
        <v/>
      </c>
      <c r="X151" s="12">
        <f>IF($B151="","",IFERROR(VLOOKUP($C151,Hedefler!$A:$C,3,FALSE),0.1))</f>
        <v/>
      </c>
      <c r="Y151" s="13">
        <f>IF($B151="","",IFERROR(VLOOKUP($B151,Maliyetler!$A:$E,5,FALSE),""))</f>
        <v/>
      </c>
      <c r="Z151" s="13">
        <f>IF(OR(Y151="",Y151=0),"",Y151-1)</f>
        <v/>
      </c>
      <c r="AA151" s="14">
        <f>IF(Z151="","",IF(Z151&gt;='Komisyon Tarifeleri'!I151,IF($AM$1=2,'Komisyon Tarifeleri'!U151,'Komisyon Tarifeleri'!P151),IF(Z151&gt;='Komisyon Tarifeleri'!K151,IF($AM$1=2,'Komisyon Tarifeleri'!V151,'Komisyon Tarifeleri'!Q151),IF(Z151&gt;='Komisyon Tarifeleri'!M151,IF($AM$1=2,'Komisyon Tarifeleri'!W151,'Komisyon Tarifeleri'!R151),IF($AM$1=2,'Komisyon Tarifeleri'!X151,'Komisyon Tarifeleri'!S151)))))</f>
        <v/>
      </c>
      <c r="AB151" s="13">
        <f>IF(OR(AA151="",$D151=""),"",Z151*(1-AA151/100)-$D151-IF(Z151&lt;=199.99,Kargo!$E$2,IF(Z151&lt;=399.99,Kargo!$E$3,$F151)))</f>
        <v/>
      </c>
      <c r="AC151" s="15">
        <f>IF(AB151="","",AB151/Z151)</f>
        <v/>
      </c>
      <c r="AD151" s="10">
        <f>IF(OR($D151="",$B151=""),"",IF(AND((1-T151/100-W151)&gt;0,CEILING(($D151+$F151)/(1-T151/100-W151),1)&lt;='Komisyon Tarifeleri'!N151),CEILING(($D151+$F151)/(1-T151/100-W151),1),IF(AND((1-P151/100-W151)&gt;0,CEILING(MAX('Komisyon Tarifeleri'!M151,($D151+$F151)/(1-P151/100-W151)),1)&lt;='Komisyon Tarifeleri'!L151),CEILING(MAX('Komisyon Tarifeleri'!M151,($D151+$F151)/(1-P151/100-W151)),1),IF(AND((1-L151/100-W151)&gt;0,CEILING(MAX('Komisyon Tarifeleri'!K151,($D151+$F151)/(1-L151/100-W151)),1)&lt;='Komisyon Tarifeleri'!J151),CEILING(MAX('Komisyon Tarifeleri'!K151,($D151+$F151)/(1-L151/100-W151)),1),IF((1-H151/100-W151)&gt;0,CEILING(MAX('Komisyon Tarifeleri'!I151,($D151+$F151)/(1-H151/100-W151)),1),"İMKÂNSIZ")))))</f>
        <v/>
      </c>
      <c r="AE151" s="10">
        <f>IF(OR($D151="",$B151=""),"",IF(AND((1-T151/100-X151)&gt;0,CEILING(($D151+$F151)/(1-T151/100-X151),1)&lt;='Komisyon Tarifeleri'!N151),CEILING(($D151+$F151)/(1-T151/100-X151),1),IF(AND((1-P151/100-X151)&gt;0,CEILING(MAX('Komisyon Tarifeleri'!M151,($D151+$F151)/(1-P151/100-X151)),1)&lt;='Komisyon Tarifeleri'!L151),CEILING(MAX('Komisyon Tarifeleri'!M151,($D151+$F151)/(1-P151/100-X151)),1),IF(AND((1-L151/100-X151)&gt;0,CEILING(MAX('Komisyon Tarifeleri'!K151,($D151+$F151)/(1-L151/100-X151)),1)&lt;='Komisyon Tarifeleri'!J151),CEILING(MAX('Komisyon Tarifeleri'!K151,($D151+$F151)/(1-L151/100-X151)),1),IF((1-H151/100-X151)&gt;0,CEILING(MAX('Komisyon Tarifeleri'!I151,($D151+$F151)/(1-H151/100-X151)),1),"İMKÂNSIZ")))))</f>
        <v/>
      </c>
      <c r="AF151" s="16">
        <f>IF($D151="","",IF(AND(Y151&lt;&gt;"",AC151&lt;&gt;"",AC151&gt;=W151),Z151,IF(Y151&lt;&gt;"",AD151,AE151)))</f>
        <v/>
      </c>
      <c r="AG151" s="16">
        <f>IF(OR(AF151="",AF151="İMKÂNSIZ"),"",AF151*(1-IF(AF151&gt;='Komisyon Tarifeleri'!I151,IF($AM$1=2,'Komisyon Tarifeleri'!U151,'Komisyon Tarifeleri'!P151),IF(AF151&gt;='Komisyon Tarifeleri'!K151,IF($AM$1=2,'Komisyon Tarifeleri'!V151,'Komisyon Tarifeleri'!Q151),IF(AF151&gt;='Komisyon Tarifeleri'!M151,IF($AM$1=2,'Komisyon Tarifeleri'!W151,'Komisyon Tarifeleri'!R151),IF($AM$1=2,'Komisyon Tarifeleri'!X151,'Komisyon Tarifeleri'!S151))))/100)-$D151-IF(AF151&lt;=199.99,Kargo!$E$2,IF(AF151&lt;=399.99,Kargo!$E$3,$F151)))</f>
        <v/>
      </c>
      <c r="AH151" s="17">
        <f>IF(AG151="","",AG151/AF151)</f>
        <v/>
      </c>
      <c r="AI151" s="18">
        <f>IF($D151="","",IF(Y151="","BUYBOX YOK → hedef kârla min fiyat",IF(AC151&gt;=W151,"✓ BUYBOX ALTINA GİR","BUYBOX ALTI KÂRSIZ → min kârlı fiyat")))</f>
        <v/>
      </c>
      <c r="AJ151" s="10">
        <f>IF($B151="","",IFERROR(VLOOKUP($B151,Maliyetler!$A:$G,6,FALSE),""))</f>
        <v/>
      </c>
      <c r="AK151">
        <f>IF($B151="","",IFERROR(VLOOKUP($B151,Maliyetler!$A:$G,7,FALSE),""))</f>
        <v/>
      </c>
      <c r="AO151" s="21">
        <f>IF($B151="","",IFERROR(VLOOKUP($B151&amp;"",'Plus Tarifeleri'!$C:$Q,11,FALSE),""))</f>
        <v/>
      </c>
      <c r="AP151" s="22">
        <f>IF(AO151="","",IFERROR(IF($AM$1=2,VLOOKUP($B151&amp;"",'Plus Tarifeleri'!$C:$Q,15,FALSE),VLOOKUP($B151&amp;"",'Plus Tarifeleri'!$C:$Q,13,FALSE)),""))</f>
        <v/>
      </c>
      <c r="AQ151" s="21">
        <f>IF(OR(AO151="",AP151="",$D151=""),"",AO151*(1-AP151/100)-$D151-IF(AO151&lt;=199.99,Kargo!$E$2,IF(AO151&lt;=399.99,Kargo!$E$3,$F151)))</f>
        <v/>
      </c>
      <c r="AR151" s="23">
        <f>IF(AQ151="","",AQ151/AO151)</f>
        <v/>
      </c>
      <c r="AS151" s="24">
        <f>IF(OR(AQ151="",AG151=""),"",AQ151-AG151)</f>
        <v/>
      </c>
    </row>
    <row r="152">
      <c r="A152">
        <f>IF('Komisyon Tarifeleri'!A152="","",'Komisyon Tarifeleri'!A152)</f>
        <v/>
      </c>
      <c r="B152">
        <f>IF('Komisyon Tarifeleri'!B152="","",'Komisyon Tarifeleri'!B152&amp;"")</f>
        <v/>
      </c>
      <c r="C152">
        <f>IF($B152="","",'Komisyon Tarifeleri'!F152)</f>
        <v/>
      </c>
      <c r="D152" s="10">
        <f>IF($B152="","",IFERROR(VLOOKUP($B152,Maliyetler!$A:$E,3,FALSE),""))</f>
        <v/>
      </c>
      <c r="E152">
        <f>IF($B152="","",IFERROR(VLOOKUP($B152,Maliyetler!$A:$E,4,FALSE),1))</f>
        <v/>
      </c>
      <c r="F152" s="10">
        <f>IF($B152="","",IFERROR(VLOOKUP(MIN(20,MAX(1,ROUND($E152,0))),Kargo!$A:$B,2,FALSE),99.46))</f>
        <v/>
      </c>
      <c r="G152" s="10">
        <f>IF($B152="","",IF(IF(N('Komisyon Tarifeleri'!AA152)&gt;='Komisyon Tarifeleri'!I152,'Komisyon Tarifeleri'!AA152,'Komisyon Tarifeleri'!I152)="","",IF(N('Komisyon Tarifeleri'!AA152)&gt;='Komisyon Tarifeleri'!I152,'Komisyon Tarifeleri'!AA152,'Komisyon Tarifeleri'!I152)))</f>
        <v/>
      </c>
      <c r="H152" s="11">
        <f>IF(G152="","",IF($AM$1=2,'Komisyon Tarifeleri'!U152,'Komisyon Tarifeleri'!P152))</f>
        <v/>
      </c>
      <c r="I152" s="10">
        <f>IF(OR(G152="",$D152=""),"",G152*(1-H152/100)-$D152-IF(G152&lt;=199.99,Kargo!$E$2,IF(G152&lt;=399.99,Kargo!$E$3,$F152)))</f>
        <v/>
      </c>
      <c r="J152" s="12">
        <f>IF(I152="","",I152/G152)</f>
        <v/>
      </c>
      <c r="K152" s="10">
        <f>IF($B152="","",IF('Komisyon Tarifeleri'!J152="","",'Komisyon Tarifeleri'!J152))</f>
        <v/>
      </c>
      <c r="L152" s="11">
        <f>IF(K152="","",IF($AM$1=2,'Komisyon Tarifeleri'!V152,'Komisyon Tarifeleri'!Q152))</f>
        <v/>
      </c>
      <c r="M152" s="10">
        <f>IF(OR(K152="",$D152=""),"",K152*(1-L152/100)-$D152-IF(K152&lt;=199.99,Kargo!$E$2,IF(K152&lt;=399.99,Kargo!$E$3,$F152)))</f>
        <v/>
      </c>
      <c r="N152" s="12">
        <f>IF(M152="","",M152/K152)</f>
        <v/>
      </c>
      <c r="O152" s="10">
        <f>IF($B152="","",IF('Komisyon Tarifeleri'!L152="","",'Komisyon Tarifeleri'!L152))</f>
        <v/>
      </c>
      <c r="P152" s="11">
        <f>IF(O152="","",IF($AM$1=2,'Komisyon Tarifeleri'!W152,'Komisyon Tarifeleri'!R152))</f>
        <v/>
      </c>
      <c r="Q152" s="10">
        <f>IF(OR(O152="",$D152=""),"",O152*(1-P152/100)-$D152-IF(O152&lt;=199.99,Kargo!$E$2,IF(O152&lt;=399.99,Kargo!$E$3,$F152)))</f>
        <v/>
      </c>
      <c r="R152" s="12">
        <f>IF(Q152="","",Q152/O152)</f>
        <v/>
      </c>
      <c r="S152" s="10">
        <f>IF($B152="","",IF('Komisyon Tarifeleri'!N152="","",'Komisyon Tarifeleri'!N152))</f>
        <v/>
      </c>
      <c r="T152" s="11">
        <f>IF(S152="","",IF($AM$1=2,'Komisyon Tarifeleri'!X152,'Komisyon Tarifeleri'!S152))</f>
        <v/>
      </c>
      <c r="U152" s="10">
        <f>IF(OR(S152="",$D152=""),"",S152*(1-T152/100)-$D152-IF(S152&lt;=199.99,Kargo!$E$2,IF(S152&lt;=399.99,Kargo!$E$3,$F152)))</f>
        <v/>
      </c>
      <c r="V152" s="12">
        <f>IF(U152="","",U152/S152)</f>
        <v/>
      </c>
      <c r="W152" s="12">
        <f>IF($B152="","",IFERROR(VLOOKUP($C152,Hedefler!$A:$C,2,FALSE),0.04))</f>
        <v/>
      </c>
      <c r="X152" s="12">
        <f>IF($B152="","",IFERROR(VLOOKUP($C152,Hedefler!$A:$C,3,FALSE),0.1))</f>
        <v/>
      </c>
      <c r="Y152" s="13">
        <f>IF($B152="","",IFERROR(VLOOKUP($B152,Maliyetler!$A:$E,5,FALSE),""))</f>
        <v/>
      </c>
      <c r="Z152" s="13">
        <f>IF(OR(Y152="",Y152=0),"",Y152-1)</f>
        <v/>
      </c>
      <c r="AA152" s="14">
        <f>IF(Z152="","",IF(Z152&gt;='Komisyon Tarifeleri'!I152,IF($AM$1=2,'Komisyon Tarifeleri'!U152,'Komisyon Tarifeleri'!P152),IF(Z152&gt;='Komisyon Tarifeleri'!K152,IF($AM$1=2,'Komisyon Tarifeleri'!V152,'Komisyon Tarifeleri'!Q152),IF(Z152&gt;='Komisyon Tarifeleri'!M152,IF($AM$1=2,'Komisyon Tarifeleri'!W152,'Komisyon Tarifeleri'!R152),IF($AM$1=2,'Komisyon Tarifeleri'!X152,'Komisyon Tarifeleri'!S152)))))</f>
        <v/>
      </c>
      <c r="AB152" s="13">
        <f>IF(OR(AA152="",$D152=""),"",Z152*(1-AA152/100)-$D152-IF(Z152&lt;=199.99,Kargo!$E$2,IF(Z152&lt;=399.99,Kargo!$E$3,$F152)))</f>
        <v/>
      </c>
      <c r="AC152" s="15">
        <f>IF(AB152="","",AB152/Z152)</f>
        <v/>
      </c>
      <c r="AD152" s="10">
        <f>IF(OR($D152="",$B152=""),"",IF(AND((1-T152/100-W152)&gt;0,CEILING(($D152+$F152)/(1-T152/100-W152),1)&lt;='Komisyon Tarifeleri'!N152),CEILING(($D152+$F152)/(1-T152/100-W152),1),IF(AND((1-P152/100-W152)&gt;0,CEILING(MAX('Komisyon Tarifeleri'!M152,($D152+$F152)/(1-P152/100-W152)),1)&lt;='Komisyon Tarifeleri'!L152),CEILING(MAX('Komisyon Tarifeleri'!M152,($D152+$F152)/(1-P152/100-W152)),1),IF(AND((1-L152/100-W152)&gt;0,CEILING(MAX('Komisyon Tarifeleri'!K152,($D152+$F152)/(1-L152/100-W152)),1)&lt;='Komisyon Tarifeleri'!J152),CEILING(MAX('Komisyon Tarifeleri'!K152,($D152+$F152)/(1-L152/100-W152)),1),IF((1-H152/100-W152)&gt;0,CEILING(MAX('Komisyon Tarifeleri'!I152,($D152+$F152)/(1-H152/100-W152)),1),"İMKÂNSIZ")))))</f>
        <v/>
      </c>
      <c r="AE152" s="10">
        <f>IF(OR($D152="",$B152=""),"",IF(AND((1-T152/100-X152)&gt;0,CEILING(($D152+$F152)/(1-T152/100-X152),1)&lt;='Komisyon Tarifeleri'!N152),CEILING(($D152+$F152)/(1-T152/100-X152),1),IF(AND((1-P152/100-X152)&gt;0,CEILING(MAX('Komisyon Tarifeleri'!M152,($D152+$F152)/(1-P152/100-X152)),1)&lt;='Komisyon Tarifeleri'!L152),CEILING(MAX('Komisyon Tarifeleri'!M152,($D152+$F152)/(1-P152/100-X152)),1),IF(AND((1-L152/100-X152)&gt;0,CEILING(MAX('Komisyon Tarifeleri'!K152,($D152+$F152)/(1-L152/100-X152)),1)&lt;='Komisyon Tarifeleri'!J152),CEILING(MAX('Komisyon Tarifeleri'!K152,($D152+$F152)/(1-L152/100-X152)),1),IF((1-H152/100-X152)&gt;0,CEILING(MAX('Komisyon Tarifeleri'!I152,($D152+$F152)/(1-H152/100-X152)),1),"İMKÂNSIZ")))))</f>
        <v/>
      </c>
      <c r="AF152" s="16">
        <f>IF($D152="","",IF(AND(Y152&lt;&gt;"",AC152&lt;&gt;"",AC152&gt;=W152),Z152,IF(Y152&lt;&gt;"",AD152,AE152)))</f>
        <v/>
      </c>
      <c r="AG152" s="16">
        <f>IF(OR(AF152="",AF152="İMKÂNSIZ"),"",AF152*(1-IF(AF152&gt;='Komisyon Tarifeleri'!I152,IF($AM$1=2,'Komisyon Tarifeleri'!U152,'Komisyon Tarifeleri'!P152),IF(AF152&gt;='Komisyon Tarifeleri'!K152,IF($AM$1=2,'Komisyon Tarifeleri'!V152,'Komisyon Tarifeleri'!Q152),IF(AF152&gt;='Komisyon Tarifeleri'!M152,IF($AM$1=2,'Komisyon Tarifeleri'!W152,'Komisyon Tarifeleri'!R152),IF($AM$1=2,'Komisyon Tarifeleri'!X152,'Komisyon Tarifeleri'!S152))))/100)-$D152-IF(AF152&lt;=199.99,Kargo!$E$2,IF(AF152&lt;=399.99,Kargo!$E$3,$F152)))</f>
        <v/>
      </c>
      <c r="AH152" s="17">
        <f>IF(AG152="","",AG152/AF152)</f>
        <v/>
      </c>
      <c r="AI152" s="18">
        <f>IF($D152="","",IF(Y152="","BUYBOX YOK → hedef kârla min fiyat",IF(AC152&gt;=W152,"✓ BUYBOX ALTINA GİR","BUYBOX ALTI KÂRSIZ → min kârlı fiyat")))</f>
        <v/>
      </c>
      <c r="AJ152" s="10">
        <f>IF($B152="","",IFERROR(VLOOKUP($B152,Maliyetler!$A:$G,6,FALSE),""))</f>
        <v/>
      </c>
      <c r="AK152">
        <f>IF($B152="","",IFERROR(VLOOKUP($B152,Maliyetler!$A:$G,7,FALSE),""))</f>
        <v/>
      </c>
      <c r="AO152" s="21">
        <f>IF($B152="","",IFERROR(VLOOKUP($B152&amp;"",'Plus Tarifeleri'!$C:$Q,11,FALSE),""))</f>
        <v/>
      </c>
      <c r="AP152" s="22">
        <f>IF(AO152="","",IFERROR(IF($AM$1=2,VLOOKUP($B152&amp;"",'Plus Tarifeleri'!$C:$Q,15,FALSE),VLOOKUP($B152&amp;"",'Plus Tarifeleri'!$C:$Q,13,FALSE)),""))</f>
        <v/>
      </c>
      <c r="AQ152" s="21">
        <f>IF(OR(AO152="",AP152="",$D152=""),"",AO152*(1-AP152/100)-$D152-IF(AO152&lt;=199.99,Kargo!$E$2,IF(AO152&lt;=399.99,Kargo!$E$3,$F152)))</f>
        <v/>
      </c>
      <c r="AR152" s="23">
        <f>IF(AQ152="","",AQ152/AO152)</f>
        <v/>
      </c>
      <c r="AS152" s="24">
        <f>IF(OR(AQ152="",AG152=""),"",AQ152-AG152)</f>
        <v/>
      </c>
    </row>
    <row r="153">
      <c r="A153">
        <f>IF('Komisyon Tarifeleri'!A153="","",'Komisyon Tarifeleri'!A153)</f>
        <v/>
      </c>
      <c r="B153">
        <f>IF('Komisyon Tarifeleri'!B153="","",'Komisyon Tarifeleri'!B153&amp;"")</f>
        <v/>
      </c>
      <c r="C153">
        <f>IF($B153="","",'Komisyon Tarifeleri'!F153)</f>
        <v/>
      </c>
      <c r="D153" s="10">
        <f>IF($B153="","",IFERROR(VLOOKUP($B153,Maliyetler!$A:$E,3,FALSE),""))</f>
        <v/>
      </c>
      <c r="E153">
        <f>IF($B153="","",IFERROR(VLOOKUP($B153,Maliyetler!$A:$E,4,FALSE),1))</f>
        <v/>
      </c>
      <c r="F153" s="10">
        <f>IF($B153="","",IFERROR(VLOOKUP(MIN(20,MAX(1,ROUND($E153,0))),Kargo!$A:$B,2,FALSE),99.46))</f>
        <v/>
      </c>
      <c r="G153" s="10">
        <f>IF($B153="","",IF(IF(N('Komisyon Tarifeleri'!AA153)&gt;='Komisyon Tarifeleri'!I153,'Komisyon Tarifeleri'!AA153,'Komisyon Tarifeleri'!I153)="","",IF(N('Komisyon Tarifeleri'!AA153)&gt;='Komisyon Tarifeleri'!I153,'Komisyon Tarifeleri'!AA153,'Komisyon Tarifeleri'!I153)))</f>
        <v/>
      </c>
      <c r="H153" s="11">
        <f>IF(G153="","",IF($AM$1=2,'Komisyon Tarifeleri'!U153,'Komisyon Tarifeleri'!P153))</f>
        <v/>
      </c>
      <c r="I153" s="10">
        <f>IF(OR(G153="",$D153=""),"",G153*(1-H153/100)-$D153-IF(G153&lt;=199.99,Kargo!$E$2,IF(G153&lt;=399.99,Kargo!$E$3,$F153)))</f>
        <v/>
      </c>
      <c r="J153" s="12">
        <f>IF(I153="","",I153/G153)</f>
        <v/>
      </c>
      <c r="K153" s="10">
        <f>IF($B153="","",IF('Komisyon Tarifeleri'!J153="","",'Komisyon Tarifeleri'!J153))</f>
        <v/>
      </c>
      <c r="L153" s="11">
        <f>IF(K153="","",IF($AM$1=2,'Komisyon Tarifeleri'!V153,'Komisyon Tarifeleri'!Q153))</f>
        <v/>
      </c>
      <c r="M153" s="10">
        <f>IF(OR(K153="",$D153=""),"",K153*(1-L153/100)-$D153-IF(K153&lt;=199.99,Kargo!$E$2,IF(K153&lt;=399.99,Kargo!$E$3,$F153)))</f>
        <v/>
      </c>
      <c r="N153" s="12">
        <f>IF(M153="","",M153/K153)</f>
        <v/>
      </c>
      <c r="O153" s="10">
        <f>IF($B153="","",IF('Komisyon Tarifeleri'!L153="","",'Komisyon Tarifeleri'!L153))</f>
        <v/>
      </c>
      <c r="P153" s="11">
        <f>IF(O153="","",IF($AM$1=2,'Komisyon Tarifeleri'!W153,'Komisyon Tarifeleri'!R153))</f>
        <v/>
      </c>
      <c r="Q153" s="10">
        <f>IF(OR(O153="",$D153=""),"",O153*(1-P153/100)-$D153-IF(O153&lt;=199.99,Kargo!$E$2,IF(O153&lt;=399.99,Kargo!$E$3,$F153)))</f>
        <v/>
      </c>
      <c r="R153" s="12">
        <f>IF(Q153="","",Q153/O153)</f>
        <v/>
      </c>
      <c r="S153" s="10">
        <f>IF($B153="","",IF('Komisyon Tarifeleri'!N153="","",'Komisyon Tarifeleri'!N153))</f>
        <v/>
      </c>
      <c r="T153" s="11">
        <f>IF(S153="","",IF($AM$1=2,'Komisyon Tarifeleri'!X153,'Komisyon Tarifeleri'!S153))</f>
        <v/>
      </c>
      <c r="U153" s="10">
        <f>IF(OR(S153="",$D153=""),"",S153*(1-T153/100)-$D153-IF(S153&lt;=199.99,Kargo!$E$2,IF(S153&lt;=399.99,Kargo!$E$3,$F153)))</f>
        <v/>
      </c>
      <c r="V153" s="12">
        <f>IF(U153="","",U153/S153)</f>
        <v/>
      </c>
      <c r="W153" s="12">
        <f>IF($B153="","",IFERROR(VLOOKUP($C153,Hedefler!$A:$C,2,FALSE),0.04))</f>
        <v/>
      </c>
      <c r="X153" s="12">
        <f>IF($B153="","",IFERROR(VLOOKUP($C153,Hedefler!$A:$C,3,FALSE),0.1))</f>
        <v/>
      </c>
      <c r="Y153" s="13">
        <f>IF($B153="","",IFERROR(VLOOKUP($B153,Maliyetler!$A:$E,5,FALSE),""))</f>
        <v/>
      </c>
      <c r="Z153" s="13">
        <f>IF(OR(Y153="",Y153=0),"",Y153-1)</f>
        <v/>
      </c>
      <c r="AA153" s="14">
        <f>IF(Z153="","",IF(Z153&gt;='Komisyon Tarifeleri'!I153,IF($AM$1=2,'Komisyon Tarifeleri'!U153,'Komisyon Tarifeleri'!P153),IF(Z153&gt;='Komisyon Tarifeleri'!K153,IF($AM$1=2,'Komisyon Tarifeleri'!V153,'Komisyon Tarifeleri'!Q153),IF(Z153&gt;='Komisyon Tarifeleri'!M153,IF($AM$1=2,'Komisyon Tarifeleri'!W153,'Komisyon Tarifeleri'!R153),IF($AM$1=2,'Komisyon Tarifeleri'!X153,'Komisyon Tarifeleri'!S153)))))</f>
        <v/>
      </c>
      <c r="AB153" s="13">
        <f>IF(OR(AA153="",$D153=""),"",Z153*(1-AA153/100)-$D153-IF(Z153&lt;=199.99,Kargo!$E$2,IF(Z153&lt;=399.99,Kargo!$E$3,$F153)))</f>
        <v/>
      </c>
      <c r="AC153" s="15">
        <f>IF(AB153="","",AB153/Z153)</f>
        <v/>
      </c>
      <c r="AD153" s="10">
        <f>IF(OR($D153="",$B153=""),"",IF(AND((1-T153/100-W153)&gt;0,CEILING(($D153+$F153)/(1-T153/100-W153),1)&lt;='Komisyon Tarifeleri'!N153),CEILING(($D153+$F153)/(1-T153/100-W153),1),IF(AND((1-P153/100-W153)&gt;0,CEILING(MAX('Komisyon Tarifeleri'!M153,($D153+$F153)/(1-P153/100-W153)),1)&lt;='Komisyon Tarifeleri'!L153),CEILING(MAX('Komisyon Tarifeleri'!M153,($D153+$F153)/(1-P153/100-W153)),1),IF(AND((1-L153/100-W153)&gt;0,CEILING(MAX('Komisyon Tarifeleri'!K153,($D153+$F153)/(1-L153/100-W153)),1)&lt;='Komisyon Tarifeleri'!J153),CEILING(MAX('Komisyon Tarifeleri'!K153,($D153+$F153)/(1-L153/100-W153)),1),IF((1-H153/100-W153)&gt;0,CEILING(MAX('Komisyon Tarifeleri'!I153,($D153+$F153)/(1-H153/100-W153)),1),"İMKÂNSIZ")))))</f>
        <v/>
      </c>
      <c r="AE153" s="10">
        <f>IF(OR($D153="",$B153=""),"",IF(AND((1-T153/100-X153)&gt;0,CEILING(($D153+$F153)/(1-T153/100-X153),1)&lt;='Komisyon Tarifeleri'!N153),CEILING(($D153+$F153)/(1-T153/100-X153),1),IF(AND((1-P153/100-X153)&gt;0,CEILING(MAX('Komisyon Tarifeleri'!M153,($D153+$F153)/(1-P153/100-X153)),1)&lt;='Komisyon Tarifeleri'!L153),CEILING(MAX('Komisyon Tarifeleri'!M153,($D153+$F153)/(1-P153/100-X153)),1),IF(AND((1-L153/100-X153)&gt;0,CEILING(MAX('Komisyon Tarifeleri'!K153,($D153+$F153)/(1-L153/100-X153)),1)&lt;='Komisyon Tarifeleri'!J153),CEILING(MAX('Komisyon Tarifeleri'!K153,($D153+$F153)/(1-L153/100-X153)),1),IF((1-H153/100-X153)&gt;0,CEILING(MAX('Komisyon Tarifeleri'!I153,($D153+$F153)/(1-H153/100-X153)),1),"İMKÂNSIZ")))))</f>
        <v/>
      </c>
      <c r="AF153" s="16">
        <f>IF($D153="","",IF(AND(Y153&lt;&gt;"",AC153&lt;&gt;"",AC153&gt;=W153),Z153,IF(Y153&lt;&gt;"",AD153,AE153)))</f>
        <v/>
      </c>
      <c r="AG153" s="16">
        <f>IF(OR(AF153="",AF153="İMKÂNSIZ"),"",AF153*(1-IF(AF153&gt;='Komisyon Tarifeleri'!I153,IF($AM$1=2,'Komisyon Tarifeleri'!U153,'Komisyon Tarifeleri'!P153),IF(AF153&gt;='Komisyon Tarifeleri'!K153,IF($AM$1=2,'Komisyon Tarifeleri'!V153,'Komisyon Tarifeleri'!Q153),IF(AF153&gt;='Komisyon Tarifeleri'!M153,IF($AM$1=2,'Komisyon Tarifeleri'!W153,'Komisyon Tarifeleri'!R153),IF($AM$1=2,'Komisyon Tarifeleri'!X153,'Komisyon Tarifeleri'!S153))))/100)-$D153-IF(AF153&lt;=199.99,Kargo!$E$2,IF(AF153&lt;=399.99,Kargo!$E$3,$F153)))</f>
        <v/>
      </c>
      <c r="AH153" s="17">
        <f>IF(AG153="","",AG153/AF153)</f>
        <v/>
      </c>
      <c r="AI153" s="18">
        <f>IF($D153="","",IF(Y153="","BUYBOX YOK → hedef kârla min fiyat",IF(AC153&gt;=W153,"✓ BUYBOX ALTINA GİR","BUYBOX ALTI KÂRSIZ → min kârlı fiyat")))</f>
        <v/>
      </c>
      <c r="AJ153" s="10">
        <f>IF($B153="","",IFERROR(VLOOKUP($B153,Maliyetler!$A:$G,6,FALSE),""))</f>
        <v/>
      </c>
      <c r="AK153">
        <f>IF($B153="","",IFERROR(VLOOKUP($B153,Maliyetler!$A:$G,7,FALSE),""))</f>
        <v/>
      </c>
      <c r="AO153" s="21">
        <f>IF($B153="","",IFERROR(VLOOKUP($B153&amp;"",'Plus Tarifeleri'!$C:$Q,11,FALSE),""))</f>
        <v/>
      </c>
      <c r="AP153" s="22">
        <f>IF(AO153="","",IFERROR(IF($AM$1=2,VLOOKUP($B153&amp;"",'Plus Tarifeleri'!$C:$Q,15,FALSE),VLOOKUP($B153&amp;"",'Plus Tarifeleri'!$C:$Q,13,FALSE)),""))</f>
        <v/>
      </c>
      <c r="AQ153" s="21">
        <f>IF(OR(AO153="",AP153="",$D153=""),"",AO153*(1-AP153/100)-$D153-IF(AO153&lt;=199.99,Kargo!$E$2,IF(AO153&lt;=399.99,Kargo!$E$3,$F153)))</f>
        <v/>
      </c>
      <c r="AR153" s="23">
        <f>IF(AQ153="","",AQ153/AO153)</f>
        <v/>
      </c>
      <c r="AS153" s="24">
        <f>IF(OR(AQ153="",AG153=""),"",AQ153-AG153)</f>
        <v/>
      </c>
    </row>
    <row r="154">
      <c r="A154">
        <f>IF('Komisyon Tarifeleri'!A154="","",'Komisyon Tarifeleri'!A154)</f>
        <v/>
      </c>
      <c r="B154">
        <f>IF('Komisyon Tarifeleri'!B154="","",'Komisyon Tarifeleri'!B154&amp;"")</f>
        <v/>
      </c>
      <c r="C154">
        <f>IF($B154="","",'Komisyon Tarifeleri'!F154)</f>
        <v/>
      </c>
      <c r="D154" s="10">
        <f>IF($B154="","",IFERROR(VLOOKUP($B154,Maliyetler!$A:$E,3,FALSE),""))</f>
        <v/>
      </c>
      <c r="E154">
        <f>IF($B154="","",IFERROR(VLOOKUP($B154,Maliyetler!$A:$E,4,FALSE),1))</f>
        <v/>
      </c>
      <c r="F154" s="10">
        <f>IF($B154="","",IFERROR(VLOOKUP(MIN(20,MAX(1,ROUND($E154,0))),Kargo!$A:$B,2,FALSE),99.46))</f>
        <v/>
      </c>
      <c r="G154" s="10">
        <f>IF($B154="","",IF(IF(N('Komisyon Tarifeleri'!AA154)&gt;='Komisyon Tarifeleri'!I154,'Komisyon Tarifeleri'!AA154,'Komisyon Tarifeleri'!I154)="","",IF(N('Komisyon Tarifeleri'!AA154)&gt;='Komisyon Tarifeleri'!I154,'Komisyon Tarifeleri'!AA154,'Komisyon Tarifeleri'!I154)))</f>
        <v/>
      </c>
      <c r="H154" s="11">
        <f>IF(G154="","",IF($AM$1=2,'Komisyon Tarifeleri'!U154,'Komisyon Tarifeleri'!P154))</f>
        <v/>
      </c>
      <c r="I154" s="10">
        <f>IF(OR(G154="",$D154=""),"",G154*(1-H154/100)-$D154-IF(G154&lt;=199.99,Kargo!$E$2,IF(G154&lt;=399.99,Kargo!$E$3,$F154)))</f>
        <v/>
      </c>
      <c r="J154" s="12">
        <f>IF(I154="","",I154/G154)</f>
        <v/>
      </c>
      <c r="K154" s="10">
        <f>IF($B154="","",IF('Komisyon Tarifeleri'!J154="","",'Komisyon Tarifeleri'!J154))</f>
        <v/>
      </c>
      <c r="L154" s="11">
        <f>IF(K154="","",IF($AM$1=2,'Komisyon Tarifeleri'!V154,'Komisyon Tarifeleri'!Q154))</f>
        <v/>
      </c>
      <c r="M154" s="10">
        <f>IF(OR(K154="",$D154=""),"",K154*(1-L154/100)-$D154-IF(K154&lt;=199.99,Kargo!$E$2,IF(K154&lt;=399.99,Kargo!$E$3,$F154)))</f>
        <v/>
      </c>
      <c r="N154" s="12">
        <f>IF(M154="","",M154/K154)</f>
        <v/>
      </c>
      <c r="O154" s="10">
        <f>IF($B154="","",IF('Komisyon Tarifeleri'!L154="","",'Komisyon Tarifeleri'!L154))</f>
        <v/>
      </c>
      <c r="P154" s="11">
        <f>IF(O154="","",IF($AM$1=2,'Komisyon Tarifeleri'!W154,'Komisyon Tarifeleri'!R154))</f>
        <v/>
      </c>
      <c r="Q154" s="10">
        <f>IF(OR(O154="",$D154=""),"",O154*(1-P154/100)-$D154-IF(O154&lt;=199.99,Kargo!$E$2,IF(O154&lt;=399.99,Kargo!$E$3,$F154)))</f>
        <v/>
      </c>
      <c r="R154" s="12">
        <f>IF(Q154="","",Q154/O154)</f>
        <v/>
      </c>
      <c r="S154" s="10">
        <f>IF($B154="","",IF('Komisyon Tarifeleri'!N154="","",'Komisyon Tarifeleri'!N154))</f>
        <v/>
      </c>
      <c r="T154" s="11">
        <f>IF(S154="","",IF($AM$1=2,'Komisyon Tarifeleri'!X154,'Komisyon Tarifeleri'!S154))</f>
        <v/>
      </c>
      <c r="U154" s="10">
        <f>IF(OR(S154="",$D154=""),"",S154*(1-T154/100)-$D154-IF(S154&lt;=199.99,Kargo!$E$2,IF(S154&lt;=399.99,Kargo!$E$3,$F154)))</f>
        <v/>
      </c>
      <c r="V154" s="12">
        <f>IF(U154="","",U154/S154)</f>
        <v/>
      </c>
      <c r="W154" s="12">
        <f>IF($B154="","",IFERROR(VLOOKUP($C154,Hedefler!$A:$C,2,FALSE),0.04))</f>
        <v/>
      </c>
      <c r="X154" s="12">
        <f>IF($B154="","",IFERROR(VLOOKUP($C154,Hedefler!$A:$C,3,FALSE),0.1))</f>
        <v/>
      </c>
      <c r="Y154" s="13">
        <f>IF($B154="","",IFERROR(VLOOKUP($B154,Maliyetler!$A:$E,5,FALSE),""))</f>
        <v/>
      </c>
      <c r="Z154" s="13">
        <f>IF(OR(Y154="",Y154=0),"",Y154-1)</f>
        <v/>
      </c>
      <c r="AA154" s="14">
        <f>IF(Z154="","",IF(Z154&gt;='Komisyon Tarifeleri'!I154,IF($AM$1=2,'Komisyon Tarifeleri'!U154,'Komisyon Tarifeleri'!P154),IF(Z154&gt;='Komisyon Tarifeleri'!K154,IF($AM$1=2,'Komisyon Tarifeleri'!V154,'Komisyon Tarifeleri'!Q154),IF(Z154&gt;='Komisyon Tarifeleri'!M154,IF($AM$1=2,'Komisyon Tarifeleri'!W154,'Komisyon Tarifeleri'!R154),IF($AM$1=2,'Komisyon Tarifeleri'!X154,'Komisyon Tarifeleri'!S154)))))</f>
        <v/>
      </c>
      <c r="AB154" s="13">
        <f>IF(OR(AA154="",$D154=""),"",Z154*(1-AA154/100)-$D154-IF(Z154&lt;=199.99,Kargo!$E$2,IF(Z154&lt;=399.99,Kargo!$E$3,$F154)))</f>
        <v/>
      </c>
      <c r="AC154" s="15">
        <f>IF(AB154="","",AB154/Z154)</f>
        <v/>
      </c>
      <c r="AD154" s="10">
        <f>IF(OR($D154="",$B154=""),"",IF(AND((1-T154/100-W154)&gt;0,CEILING(($D154+$F154)/(1-T154/100-W154),1)&lt;='Komisyon Tarifeleri'!N154),CEILING(($D154+$F154)/(1-T154/100-W154),1),IF(AND((1-P154/100-W154)&gt;0,CEILING(MAX('Komisyon Tarifeleri'!M154,($D154+$F154)/(1-P154/100-W154)),1)&lt;='Komisyon Tarifeleri'!L154),CEILING(MAX('Komisyon Tarifeleri'!M154,($D154+$F154)/(1-P154/100-W154)),1),IF(AND((1-L154/100-W154)&gt;0,CEILING(MAX('Komisyon Tarifeleri'!K154,($D154+$F154)/(1-L154/100-W154)),1)&lt;='Komisyon Tarifeleri'!J154),CEILING(MAX('Komisyon Tarifeleri'!K154,($D154+$F154)/(1-L154/100-W154)),1),IF((1-H154/100-W154)&gt;0,CEILING(MAX('Komisyon Tarifeleri'!I154,($D154+$F154)/(1-H154/100-W154)),1),"İMKÂNSIZ")))))</f>
        <v/>
      </c>
      <c r="AE154" s="10">
        <f>IF(OR($D154="",$B154=""),"",IF(AND((1-T154/100-X154)&gt;0,CEILING(($D154+$F154)/(1-T154/100-X154),1)&lt;='Komisyon Tarifeleri'!N154),CEILING(($D154+$F154)/(1-T154/100-X154),1),IF(AND((1-P154/100-X154)&gt;0,CEILING(MAX('Komisyon Tarifeleri'!M154,($D154+$F154)/(1-P154/100-X154)),1)&lt;='Komisyon Tarifeleri'!L154),CEILING(MAX('Komisyon Tarifeleri'!M154,($D154+$F154)/(1-P154/100-X154)),1),IF(AND((1-L154/100-X154)&gt;0,CEILING(MAX('Komisyon Tarifeleri'!K154,($D154+$F154)/(1-L154/100-X154)),1)&lt;='Komisyon Tarifeleri'!J154),CEILING(MAX('Komisyon Tarifeleri'!K154,($D154+$F154)/(1-L154/100-X154)),1),IF((1-H154/100-X154)&gt;0,CEILING(MAX('Komisyon Tarifeleri'!I154,($D154+$F154)/(1-H154/100-X154)),1),"İMKÂNSIZ")))))</f>
        <v/>
      </c>
      <c r="AF154" s="16">
        <f>IF($D154="","",IF(AND(Y154&lt;&gt;"",AC154&lt;&gt;"",AC154&gt;=W154),Z154,IF(Y154&lt;&gt;"",AD154,AE154)))</f>
        <v/>
      </c>
      <c r="AG154" s="16">
        <f>IF(OR(AF154="",AF154="İMKÂNSIZ"),"",AF154*(1-IF(AF154&gt;='Komisyon Tarifeleri'!I154,IF($AM$1=2,'Komisyon Tarifeleri'!U154,'Komisyon Tarifeleri'!P154),IF(AF154&gt;='Komisyon Tarifeleri'!K154,IF($AM$1=2,'Komisyon Tarifeleri'!V154,'Komisyon Tarifeleri'!Q154),IF(AF154&gt;='Komisyon Tarifeleri'!M154,IF($AM$1=2,'Komisyon Tarifeleri'!W154,'Komisyon Tarifeleri'!R154),IF($AM$1=2,'Komisyon Tarifeleri'!X154,'Komisyon Tarifeleri'!S154))))/100)-$D154-IF(AF154&lt;=199.99,Kargo!$E$2,IF(AF154&lt;=399.99,Kargo!$E$3,$F154)))</f>
        <v/>
      </c>
      <c r="AH154" s="17">
        <f>IF(AG154="","",AG154/AF154)</f>
        <v/>
      </c>
      <c r="AI154" s="18">
        <f>IF($D154="","",IF(Y154="","BUYBOX YOK → hedef kârla min fiyat",IF(AC154&gt;=W154,"✓ BUYBOX ALTINA GİR","BUYBOX ALTI KÂRSIZ → min kârlı fiyat")))</f>
        <v/>
      </c>
      <c r="AJ154" s="10">
        <f>IF($B154="","",IFERROR(VLOOKUP($B154,Maliyetler!$A:$G,6,FALSE),""))</f>
        <v/>
      </c>
      <c r="AK154">
        <f>IF($B154="","",IFERROR(VLOOKUP($B154,Maliyetler!$A:$G,7,FALSE),""))</f>
        <v/>
      </c>
      <c r="AO154" s="21">
        <f>IF($B154="","",IFERROR(VLOOKUP($B154&amp;"",'Plus Tarifeleri'!$C:$Q,11,FALSE),""))</f>
        <v/>
      </c>
      <c r="AP154" s="22">
        <f>IF(AO154="","",IFERROR(IF($AM$1=2,VLOOKUP($B154&amp;"",'Plus Tarifeleri'!$C:$Q,15,FALSE),VLOOKUP($B154&amp;"",'Plus Tarifeleri'!$C:$Q,13,FALSE)),""))</f>
        <v/>
      </c>
      <c r="AQ154" s="21">
        <f>IF(OR(AO154="",AP154="",$D154=""),"",AO154*(1-AP154/100)-$D154-IF(AO154&lt;=199.99,Kargo!$E$2,IF(AO154&lt;=399.99,Kargo!$E$3,$F154)))</f>
        <v/>
      </c>
      <c r="AR154" s="23">
        <f>IF(AQ154="","",AQ154/AO154)</f>
        <v/>
      </c>
      <c r="AS154" s="24">
        <f>IF(OR(AQ154="",AG154=""),"",AQ154-AG154)</f>
        <v/>
      </c>
    </row>
    <row r="155">
      <c r="A155">
        <f>IF('Komisyon Tarifeleri'!A155="","",'Komisyon Tarifeleri'!A155)</f>
        <v/>
      </c>
      <c r="B155">
        <f>IF('Komisyon Tarifeleri'!B155="","",'Komisyon Tarifeleri'!B155&amp;"")</f>
        <v/>
      </c>
      <c r="C155">
        <f>IF($B155="","",'Komisyon Tarifeleri'!F155)</f>
        <v/>
      </c>
      <c r="D155" s="10">
        <f>IF($B155="","",IFERROR(VLOOKUP($B155,Maliyetler!$A:$E,3,FALSE),""))</f>
        <v/>
      </c>
      <c r="E155">
        <f>IF($B155="","",IFERROR(VLOOKUP($B155,Maliyetler!$A:$E,4,FALSE),1))</f>
        <v/>
      </c>
      <c r="F155" s="10">
        <f>IF($B155="","",IFERROR(VLOOKUP(MIN(20,MAX(1,ROUND($E155,0))),Kargo!$A:$B,2,FALSE),99.46))</f>
        <v/>
      </c>
      <c r="G155" s="10">
        <f>IF($B155="","",IF(IF(N('Komisyon Tarifeleri'!AA155)&gt;='Komisyon Tarifeleri'!I155,'Komisyon Tarifeleri'!AA155,'Komisyon Tarifeleri'!I155)="","",IF(N('Komisyon Tarifeleri'!AA155)&gt;='Komisyon Tarifeleri'!I155,'Komisyon Tarifeleri'!AA155,'Komisyon Tarifeleri'!I155)))</f>
        <v/>
      </c>
      <c r="H155" s="11">
        <f>IF(G155="","",IF($AM$1=2,'Komisyon Tarifeleri'!U155,'Komisyon Tarifeleri'!P155))</f>
        <v/>
      </c>
      <c r="I155" s="10">
        <f>IF(OR(G155="",$D155=""),"",G155*(1-H155/100)-$D155-IF(G155&lt;=199.99,Kargo!$E$2,IF(G155&lt;=399.99,Kargo!$E$3,$F155)))</f>
        <v/>
      </c>
      <c r="J155" s="12">
        <f>IF(I155="","",I155/G155)</f>
        <v/>
      </c>
      <c r="K155" s="10">
        <f>IF($B155="","",IF('Komisyon Tarifeleri'!J155="","",'Komisyon Tarifeleri'!J155))</f>
        <v/>
      </c>
      <c r="L155" s="11">
        <f>IF(K155="","",IF($AM$1=2,'Komisyon Tarifeleri'!V155,'Komisyon Tarifeleri'!Q155))</f>
        <v/>
      </c>
      <c r="M155" s="10">
        <f>IF(OR(K155="",$D155=""),"",K155*(1-L155/100)-$D155-IF(K155&lt;=199.99,Kargo!$E$2,IF(K155&lt;=399.99,Kargo!$E$3,$F155)))</f>
        <v/>
      </c>
      <c r="N155" s="12">
        <f>IF(M155="","",M155/K155)</f>
        <v/>
      </c>
      <c r="O155" s="10">
        <f>IF($B155="","",IF('Komisyon Tarifeleri'!L155="","",'Komisyon Tarifeleri'!L155))</f>
        <v/>
      </c>
      <c r="P155" s="11">
        <f>IF(O155="","",IF($AM$1=2,'Komisyon Tarifeleri'!W155,'Komisyon Tarifeleri'!R155))</f>
        <v/>
      </c>
      <c r="Q155" s="10">
        <f>IF(OR(O155="",$D155=""),"",O155*(1-P155/100)-$D155-IF(O155&lt;=199.99,Kargo!$E$2,IF(O155&lt;=399.99,Kargo!$E$3,$F155)))</f>
        <v/>
      </c>
      <c r="R155" s="12">
        <f>IF(Q155="","",Q155/O155)</f>
        <v/>
      </c>
      <c r="S155" s="10">
        <f>IF($B155="","",IF('Komisyon Tarifeleri'!N155="","",'Komisyon Tarifeleri'!N155))</f>
        <v/>
      </c>
      <c r="T155" s="11">
        <f>IF(S155="","",IF($AM$1=2,'Komisyon Tarifeleri'!X155,'Komisyon Tarifeleri'!S155))</f>
        <v/>
      </c>
      <c r="U155" s="10">
        <f>IF(OR(S155="",$D155=""),"",S155*(1-T155/100)-$D155-IF(S155&lt;=199.99,Kargo!$E$2,IF(S155&lt;=399.99,Kargo!$E$3,$F155)))</f>
        <v/>
      </c>
      <c r="V155" s="12">
        <f>IF(U155="","",U155/S155)</f>
        <v/>
      </c>
      <c r="W155" s="12">
        <f>IF($B155="","",IFERROR(VLOOKUP($C155,Hedefler!$A:$C,2,FALSE),0.04))</f>
        <v/>
      </c>
      <c r="X155" s="12">
        <f>IF($B155="","",IFERROR(VLOOKUP($C155,Hedefler!$A:$C,3,FALSE),0.1))</f>
        <v/>
      </c>
      <c r="Y155" s="13">
        <f>IF($B155="","",IFERROR(VLOOKUP($B155,Maliyetler!$A:$E,5,FALSE),""))</f>
        <v/>
      </c>
      <c r="Z155" s="13">
        <f>IF(OR(Y155="",Y155=0),"",Y155-1)</f>
        <v/>
      </c>
      <c r="AA155" s="14">
        <f>IF(Z155="","",IF(Z155&gt;='Komisyon Tarifeleri'!I155,IF($AM$1=2,'Komisyon Tarifeleri'!U155,'Komisyon Tarifeleri'!P155),IF(Z155&gt;='Komisyon Tarifeleri'!K155,IF($AM$1=2,'Komisyon Tarifeleri'!V155,'Komisyon Tarifeleri'!Q155),IF(Z155&gt;='Komisyon Tarifeleri'!M155,IF($AM$1=2,'Komisyon Tarifeleri'!W155,'Komisyon Tarifeleri'!R155),IF($AM$1=2,'Komisyon Tarifeleri'!X155,'Komisyon Tarifeleri'!S155)))))</f>
        <v/>
      </c>
      <c r="AB155" s="13">
        <f>IF(OR(AA155="",$D155=""),"",Z155*(1-AA155/100)-$D155-IF(Z155&lt;=199.99,Kargo!$E$2,IF(Z155&lt;=399.99,Kargo!$E$3,$F155)))</f>
        <v/>
      </c>
      <c r="AC155" s="15">
        <f>IF(AB155="","",AB155/Z155)</f>
        <v/>
      </c>
      <c r="AD155" s="10">
        <f>IF(OR($D155="",$B155=""),"",IF(AND((1-T155/100-W155)&gt;0,CEILING(($D155+$F155)/(1-T155/100-W155),1)&lt;='Komisyon Tarifeleri'!N155),CEILING(($D155+$F155)/(1-T155/100-W155),1),IF(AND((1-P155/100-W155)&gt;0,CEILING(MAX('Komisyon Tarifeleri'!M155,($D155+$F155)/(1-P155/100-W155)),1)&lt;='Komisyon Tarifeleri'!L155),CEILING(MAX('Komisyon Tarifeleri'!M155,($D155+$F155)/(1-P155/100-W155)),1),IF(AND((1-L155/100-W155)&gt;0,CEILING(MAX('Komisyon Tarifeleri'!K155,($D155+$F155)/(1-L155/100-W155)),1)&lt;='Komisyon Tarifeleri'!J155),CEILING(MAX('Komisyon Tarifeleri'!K155,($D155+$F155)/(1-L155/100-W155)),1),IF((1-H155/100-W155)&gt;0,CEILING(MAX('Komisyon Tarifeleri'!I155,($D155+$F155)/(1-H155/100-W155)),1),"İMKÂNSIZ")))))</f>
        <v/>
      </c>
      <c r="AE155" s="10">
        <f>IF(OR($D155="",$B155=""),"",IF(AND((1-T155/100-X155)&gt;0,CEILING(($D155+$F155)/(1-T155/100-X155),1)&lt;='Komisyon Tarifeleri'!N155),CEILING(($D155+$F155)/(1-T155/100-X155),1),IF(AND((1-P155/100-X155)&gt;0,CEILING(MAX('Komisyon Tarifeleri'!M155,($D155+$F155)/(1-P155/100-X155)),1)&lt;='Komisyon Tarifeleri'!L155),CEILING(MAX('Komisyon Tarifeleri'!M155,($D155+$F155)/(1-P155/100-X155)),1),IF(AND((1-L155/100-X155)&gt;0,CEILING(MAX('Komisyon Tarifeleri'!K155,($D155+$F155)/(1-L155/100-X155)),1)&lt;='Komisyon Tarifeleri'!J155),CEILING(MAX('Komisyon Tarifeleri'!K155,($D155+$F155)/(1-L155/100-X155)),1),IF((1-H155/100-X155)&gt;0,CEILING(MAX('Komisyon Tarifeleri'!I155,($D155+$F155)/(1-H155/100-X155)),1),"İMKÂNSIZ")))))</f>
        <v/>
      </c>
      <c r="AF155" s="16">
        <f>IF($D155="","",IF(AND(Y155&lt;&gt;"",AC155&lt;&gt;"",AC155&gt;=W155),Z155,IF(Y155&lt;&gt;"",AD155,AE155)))</f>
        <v/>
      </c>
      <c r="AG155" s="16">
        <f>IF(OR(AF155="",AF155="İMKÂNSIZ"),"",AF155*(1-IF(AF155&gt;='Komisyon Tarifeleri'!I155,IF($AM$1=2,'Komisyon Tarifeleri'!U155,'Komisyon Tarifeleri'!P155),IF(AF155&gt;='Komisyon Tarifeleri'!K155,IF($AM$1=2,'Komisyon Tarifeleri'!V155,'Komisyon Tarifeleri'!Q155),IF(AF155&gt;='Komisyon Tarifeleri'!M155,IF($AM$1=2,'Komisyon Tarifeleri'!W155,'Komisyon Tarifeleri'!R155),IF($AM$1=2,'Komisyon Tarifeleri'!X155,'Komisyon Tarifeleri'!S155))))/100)-$D155-IF(AF155&lt;=199.99,Kargo!$E$2,IF(AF155&lt;=399.99,Kargo!$E$3,$F155)))</f>
        <v/>
      </c>
      <c r="AH155" s="17">
        <f>IF(AG155="","",AG155/AF155)</f>
        <v/>
      </c>
      <c r="AI155" s="18">
        <f>IF($D155="","",IF(Y155="","BUYBOX YOK → hedef kârla min fiyat",IF(AC155&gt;=W155,"✓ BUYBOX ALTINA GİR","BUYBOX ALTI KÂRSIZ → min kârlı fiyat")))</f>
        <v/>
      </c>
      <c r="AJ155" s="10">
        <f>IF($B155="","",IFERROR(VLOOKUP($B155,Maliyetler!$A:$G,6,FALSE),""))</f>
        <v/>
      </c>
      <c r="AK155">
        <f>IF($B155="","",IFERROR(VLOOKUP($B155,Maliyetler!$A:$G,7,FALSE),""))</f>
        <v/>
      </c>
      <c r="AO155" s="21">
        <f>IF($B155="","",IFERROR(VLOOKUP($B155&amp;"",'Plus Tarifeleri'!$C:$Q,11,FALSE),""))</f>
        <v/>
      </c>
      <c r="AP155" s="22">
        <f>IF(AO155="","",IFERROR(IF($AM$1=2,VLOOKUP($B155&amp;"",'Plus Tarifeleri'!$C:$Q,15,FALSE),VLOOKUP($B155&amp;"",'Plus Tarifeleri'!$C:$Q,13,FALSE)),""))</f>
        <v/>
      </c>
      <c r="AQ155" s="21">
        <f>IF(OR(AO155="",AP155="",$D155=""),"",AO155*(1-AP155/100)-$D155-IF(AO155&lt;=199.99,Kargo!$E$2,IF(AO155&lt;=399.99,Kargo!$E$3,$F155)))</f>
        <v/>
      </c>
      <c r="AR155" s="23">
        <f>IF(AQ155="","",AQ155/AO155)</f>
        <v/>
      </c>
      <c r="AS155" s="24">
        <f>IF(OR(AQ155="",AG155=""),"",AQ155-AG155)</f>
        <v/>
      </c>
    </row>
    <row r="156">
      <c r="A156">
        <f>IF('Komisyon Tarifeleri'!A156="","",'Komisyon Tarifeleri'!A156)</f>
        <v/>
      </c>
      <c r="B156">
        <f>IF('Komisyon Tarifeleri'!B156="","",'Komisyon Tarifeleri'!B156&amp;"")</f>
        <v/>
      </c>
      <c r="C156">
        <f>IF($B156="","",'Komisyon Tarifeleri'!F156)</f>
        <v/>
      </c>
      <c r="D156" s="10">
        <f>IF($B156="","",IFERROR(VLOOKUP($B156,Maliyetler!$A:$E,3,FALSE),""))</f>
        <v/>
      </c>
      <c r="E156">
        <f>IF($B156="","",IFERROR(VLOOKUP($B156,Maliyetler!$A:$E,4,FALSE),1))</f>
        <v/>
      </c>
      <c r="F156" s="10">
        <f>IF($B156="","",IFERROR(VLOOKUP(MIN(20,MAX(1,ROUND($E156,0))),Kargo!$A:$B,2,FALSE),99.46))</f>
        <v/>
      </c>
      <c r="G156" s="10">
        <f>IF($B156="","",IF(IF(N('Komisyon Tarifeleri'!AA156)&gt;='Komisyon Tarifeleri'!I156,'Komisyon Tarifeleri'!AA156,'Komisyon Tarifeleri'!I156)="","",IF(N('Komisyon Tarifeleri'!AA156)&gt;='Komisyon Tarifeleri'!I156,'Komisyon Tarifeleri'!AA156,'Komisyon Tarifeleri'!I156)))</f>
        <v/>
      </c>
      <c r="H156" s="11">
        <f>IF(G156="","",IF($AM$1=2,'Komisyon Tarifeleri'!U156,'Komisyon Tarifeleri'!P156))</f>
        <v/>
      </c>
      <c r="I156" s="10">
        <f>IF(OR(G156="",$D156=""),"",G156*(1-H156/100)-$D156-IF(G156&lt;=199.99,Kargo!$E$2,IF(G156&lt;=399.99,Kargo!$E$3,$F156)))</f>
        <v/>
      </c>
      <c r="J156" s="12">
        <f>IF(I156="","",I156/G156)</f>
        <v/>
      </c>
      <c r="K156" s="10">
        <f>IF($B156="","",IF('Komisyon Tarifeleri'!J156="","",'Komisyon Tarifeleri'!J156))</f>
        <v/>
      </c>
      <c r="L156" s="11">
        <f>IF(K156="","",IF($AM$1=2,'Komisyon Tarifeleri'!V156,'Komisyon Tarifeleri'!Q156))</f>
        <v/>
      </c>
      <c r="M156" s="10">
        <f>IF(OR(K156="",$D156=""),"",K156*(1-L156/100)-$D156-IF(K156&lt;=199.99,Kargo!$E$2,IF(K156&lt;=399.99,Kargo!$E$3,$F156)))</f>
        <v/>
      </c>
      <c r="N156" s="12">
        <f>IF(M156="","",M156/K156)</f>
        <v/>
      </c>
      <c r="O156" s="10">
        <f>IF($B156="","",IF('Komisyon Tarifeleri'!L156="","",'Komisyon Tarifeleri'!L156))</f>
        <v/>
      </c>
      <c r="P156" s="11">
        <f>IF(O156="","",IF($AM$1=2,'Komisyon Tarifeleri'!W156,'Komisyon Tarifeleri'!R156))</f>
        <v/>
      </c>
      <c r="Q156" s="10">
        <f>IF(OR(O156="",$D156=""),"",O156*(1-P156/100)-$D156-IF(O156&lt;=199.99,Kargo!$E$2,IF(O156&lt;=399.99,Kargo!$E$3,$F156)))</f>
        <v/>
      </c>
      <c r="R156" s="12">
        <f>IF(Q156="","",Q156/O156)</f>
        <v/>
      </c>
      <c r="S156" s="10">
        <f>IF($B156="","",IF('Komisyon Tarifeleri'!N156="","",'Komisyon Tarifeleri'!N156))</f>
        <v/>
      </c>
      <c r="T156" s="11">
        <f>IF(S156="","",IF($AM$1=2,'Komisyon Tarifeleri'!X156,'Komisyon Tarifeleri'!S156))</f>
        <v/>
      </c>
      <c r="U156" s="10">
        <f>IF(OR(S156="",$D156=""),"",S156*(1-T156/100)-$D156-IF(S156&lt;=199.99,Kargo!$E$2,IF(S156&lt;=399.99,Kargo!$E$3,$F156)))</f>
        <v/>
      </c>
      <c r="V156" s="12">
        <f>IF(U156="","",U156/S156)</f>
        <v/>
      </c>
      <c r="W156" s="12">
        <f>IF($B156="","",IFERROR(VLOOKUP($C156,Hedefler!$A:$C,2,FALSE),0.04))</f>
        <v/>
      </c>
      <c r="X156" s="12">
        <f>IF($B156="","",IFERROR(VLOOKUP($C156,Hedefler!$A:$C,3,FALSE),0.1))</f>
        <v/>
      </c>
      <c r="Y156" s="13">
        <f>IF($B156="","",IFERROR(VLOOKUP($B156,Maliyetler!$A:$E,5,FALSE),""))</f>
        <v/>
      </c>
      <c r="Z156" s="13">
        <f>IF(OR(Y156="",Y156=0),"",Y156-1)</f>
        <v/>
      </c>
      <c r="AA156" s="14">
        <f>IF(Z156="","",IF(Z156&gt;='Komisyon Tarifeleri'!I156,IF($AM$1=2,'Komisyon Tarifeleri'!U156,'Komisyon Tarifeleri'!P156),IF(Z156&gt;='Komisyon Tarifeleri'!K156,IF($AM$1=2,'Komisyon Tarifeleri'!V156,'Komisyon Tarifeleri'!Q156),IF(Z156&gt;='Komisyon Tarifeleri'!M156,IF($AM$1=2,'Komisyon Tarifeleri'!W156,'Komisyon Tarifeleri'!R156),IF($AM$1=2,'Komisyon Tarifeleri'!X156,'Komisyon Tarifeleri'!S156)))))</f>
        <v/>
      </c>
      <c r="AB156" s="13">
        <f>IF(OR(AA156="",$D156=""),"",Z156*(1-AA156/100)-$D156-IF(Z156&lt;=199.99,Kargo!$E$2,IF(Z156&lt;=399.99,Kargo!$E$3,$F156)))</f>
        <v/>
      </c>
      <c r="AC156" s="15">
        <f>IF(AB156="","",AB156/Z156)</f>
        <v/>
      </c>
      <c r="AD156" s="10">
        <f>IF(OR($D156="",$B156=""),"",IF(AND((1-T156/100-W156)&gt;0,CEILING(($D156+$F156)/(1-T156/100-W156),1)&lt;='Komisyon Tarifeleri'!N156),CEILING(($D156+$F156)/(1-T156/100-W156),1),IF(AND((1-P156/100-W156)&gt;0,CEILING(MAX('Komisyon Tarifeleri'!M156,($D156+$F156)/(1-P156/100-W156)),1)&lt;='Komisyon Tarifeleri'!L156),CEILING(MAX('Komisyon Tarifeleri'!M156,($D156+$F156)/(1-P156/100-W156)),1),IF(AND((1-L156/100-W156)&gt;0,CEILING(MAX('Komisyon Tarifeleri'!K156,($D156+$F156)/(1-L156/100-W156)),1)&lt;='Komisyon Tarifeleri'!J156),CEILING(MAX('Komisyon Tarifeleri'!K156,($D156+$F156)/(1-L156/100-W156)),1),IF((1-H156/100-W156)&gt;0,CEILING(MAX('Komisyon Tarifeleri'!I156,($D156+$F156)/(1-H156/100-W156)),1),"İMKÂNSIZ")))))</f>
        <v/>
      </c>
      <c r="AE156" s="10">
        <f>IF(OR($D156="",$B156=""),"",IF(AND((1-T156/100-X156)&gt;0,CEILING(($D156+$F156)/(1-T156/100-X156),1)&lt;='Komisyon Tarifeleri'!N156),CEILING(($D156+$F156)/(1-T156/100-X156),1),IF(AND((1-P156/100-X156)&gt;0,CEILING(MAX('Komisyon Tarifeleri'!M156,($D156+$F156)/(1-P156/100-X156)),1)&lt;='Komisyon Tarifeleri'!L156),CEILING(MAX('Komisyon Tarifeleri'!M156,($D156+$F156)/(1-P156/100-X156)),1),IF(AND((1-L156/100-X156)&gt;0,CEILING(MAX('Komisyon Tarifeleri'!K156,($D156+$F156)/(1-L156/100-X156)),1)&lt;='Komisyon Tarifeleri'!J156),CEILING(MAX('Komisyon Tarifeleri'!K156,($D156+$F156)/(1-L156/100-X156)),1),IF((1-H156/100-X156)&gt;0,CEILING(MAX('Komisyon Tarifeleri'!I156,($D156+$F156)/(1-H156/100-X156)),1),"İMKÂNSIZ")))))</f>
        <v/>
      </c>
      <c r="AF156" s="16">
        <f>IF($D156="","",IF(AND(Y156&lt;&gt;"",AC156&lt;&gt;"",AC156&gt;=W156),Z156,IF(Y156&lt;&gt;"",AD156,AE156)))</f>
        <v/>
      </c>
      <c r="AG156" s="16">
        <f>IF(OR(AF156="",AF156="İMKÂNSIZ"),"",AF156*(1-IF(AF156&gt;='Komisyon Tarifeleri'!I156,IF($AM$1=2,'Komisyon Tarifeleri'!U156,'Komisyon Tarifeleri'!P156),IF(AF156&gt;='Komisyon Tarifeleri'!K156,IF($AM$1=2,'Komisyon Tarifeleri'!V156,'Komisyon Tarifeleri'!Q156),IF(AF156&gt;='Komisyon Tarifeleri'!M156,IF($AM$1=2,'Komisyon Tarifeleri'!W156,'Komisyon Tarifeleri'!R156),IF($AM$1=2,'Komisyon Tarifeleri'!X156,'Komisyon Tarifeleri'!S156))))/100)-$D156-IF(AF156&lt;=199.99,Kargo!$E$2,IF(AF156&lt;=399.99,Kargo!$E$3,$F156)))</f>
        <v/>
      </c>
      <c r="AH156" s="17">
        <f>IF(AG156="","",AG156/AF156)</f>
        <v/>
      </c>
      <c r="AI156" s="18">
        <f>IF($D156="","",IF(Y156="","BUYBOX YOK → hedef kârla min fiyat",IF(AC156&gt;=W156,"✓ BUYBOX ALTINA GİR","BUYBOX ALTI KÂRSIZ → min kârlı fiyat")))</f>
        <v/>
      </c>
      <c r="AJ156" s="10">
        <f>IF($B156="","",IFERROR(VLOOKUP($B156,Maliyetler!$A:$G,6,FALSE),""))</f>
        <v/>
      </c>
      <c r="AK156">
        <f>IF($B156="","",IFERROR(VLOOKUP($B156,Maliyetler!$A:$G,7,FALSE),""))</f>
        <v/>
      </c>
      <c r="AO156" s="21">
        <f>IF($B156="","",IFERROR(VLOOKUP($B156&amp;"",'Plus Tarifeleri'!$C:$Q,11,FALSE),""))</f>
        <v/>
      </c>
      <c r="AP156" s="22">
        <f>IF(AO156="","",IFERROR(IF($AM$1=2,VLOOKUP($B156&amp;"",'Plus Tarifeleri'!$C:$Q,15,FALSE),VLOOKUP($B156&amp;"",'Plus Tarifeleri'!$C:$Q,13,FALSE)),""))</f>
        <v/>
      </c>
      <c r="AQ156" s="21">
        <f>IF(OR(AO156="",AP156="",$D156=""),"",AO156*(1-AP156/100)-$D156-IF(AO156&lt;=199.99,Kargo!$E$2,IF(AO156&lt;=399.99,Kargo!$E$3,$F156)))</f>
        <v/>
      </c>
      <c r="AR156" s="23">
        <f>IF(AQ156="","",AQ156/AO156)</f>
        <v/>
      </c>
      <c r="AS156" s="24">
        <f>IF(OR(AQ156="",AG156=""),"",AQ156-AG156)</f>
        <v/>
      </c>
    </row>
    <row r="157">
      <c r="A157">
        <f>IF('Komisyon Tarifeleri'!A157="","",'Komisyon Tarifeleri'!A157)</f>
        <v/>
      </c>
      <c r="B157">
        <f>IF('Komisyon Tarifeleri'!B157="","",'Komisyon Tarifeleri'!B157&amp;"")</f>
        <v/>
      </c>
      <c r="C157">
        <f>IF($B157="","",'Komisyon Tarifeleri'!F157)</f>
        <v/>
      </c>
      <c r="D157" s="10">
        <f>IF($B157="","",IFERROR(VLOOKUP($B157,Maliyetler!$A:$E,3,FALSE),""))</f>
        <v/>
      </c>
      <c r="E157">
        <f>IF($B157="","",IFERROR(VLOOKUP($B157,Maliyetler!$A:$E,4,FALSE),1))</f>
        <v/>
      </c>
      <c r="F157" s="10">
        <f>IF($B157="","",IFERROR(VLOOKUP(MIN(20,MAX(1,ROUND($E157,0))),Kargo!$A:$B,2,FALSE),99.46))</f>
        <v/>
      </c>
      <c r="G157" s="10">
        <f>IF($B157="","",IF(IF(N('Komisyon Tarifeleri'!AA157)&gt;='Komisyon Tarifeleri'!I157,'Komisyon Tarifeleri'!AA157,'Komisyon Tarifeleri'!I157)="","",IF(N('Komisyon Tarifeleri'!AA157)&gt;='Komisyon Tarifeleri'!I157,'Komisyon Tarifeleri'!AA157,'Komisyon Tarifeleri'!I157)))</f>
        <v/>
      </c>
      <c r="H157" s="11">
        <f>IF(G157="","",IF($AM$1=2,'Komisyon Tarifeleri'!U157,'Komisyon Tarifeleri'!P157))</f>
        <v/>
      </c>
      <c r="I157" s="10">
        <f>IF(OR(G157="",$D157=""),"",G157*(1-H157/100)-$D157-IF(G157&lt;=199.99,Kargo!$E$2,IF(G157&lt;=399.99,Kargo!$E$3,$F157)))</f>
        <v/>
      </c>
      <c r="J157" s="12">
        <f>IF(I157="","",I157/G157)</f>
        <v/>
      </c>
      <c r="K157" s="10">
        <f>IF($B157="","",IF('Komisyon Tarifeleri'!J157="","",'Komisyon Tarifeleri'!J157))</f>
        <v/>
      </c>
      <c r="L157" s="11">
        <f>IF(K157="","",IF($AM$1=2,'Komisyon Tarifeleri'!V157,'Komisyon Tarifeleri'!Q157))</f>
        <v/>
      </c>
      <c r="M157" s="10">
        <f>IF(OR(K157="",$D157=""),"",K157*(1-L157/100)-$D157-IF(K157&lt;=199.99,Kargo!$E$2,IF(K157&lt;=399.99,Kargo!$E$3,$F157)))</f>
        <v/>
      </c>
      <c r="N157" s="12">
        <f>IF(M157="","",M157/K157)</f>
        <v/>
      </c>
      <c r="O157" s="10">
        <f>IF($B157="","",IF('Komisyon Tarifeleri'!L157="","",'Komisyon Tarifeleri'!L157))</f>
        <v/>
      </c>
      <c r="P157" s="11">
        <f>IF(O157="","",IF($AM$1=2,'Komisyon Tarifeleri'!W157,'Komisyon Tarifeleri'!R157))</f>
        <v/>
      </c>
      <c r="Q157" s="10">
        <f>IF(OR(O157="",$D157=""),"",O157*(1-P157/100)-$D157-IF(O157&lt;=199.99,Kargo!$E$2,IF(O157&lt;=399.99,Kargo!$E$3,$F157)))</f>
        <v/>
      </c>
      <c r="R157" s="12">
        <f>IF(Q157="","",Q157/O157)</f>
        <v/>
      </c>
      <c r="S157" s="10">
        <f>IF($B157="","",IF('Komisyon Tarifeleri'!N157="","",'Komisyon Tarifeleri'!N157))</f>
        <v/>
      </c>
      <c r="T157" s="11">
        <f>IF(S157="","",IF($AM$1=2,'Komisyon Tarifeleri'!X157,'Komisyon Tarifeleri'!S157))</f>
        <v/>
      </c>
      <c r="U157" s="10">
        <f>IF(OR(S157="",$D157=""),"",S157*(1-T157/100)-$D157-IF(S157&lt;=199.99,Kargo!$E$2,IF(S157&lt;=399.99,Kargo!$E$3,$F157)))</f>
        <v/>
      </c>
      <c r="V157" s="12">
        <f>IF(U157="","",U157/S157)</f>
        <v/>
      </c>
      <c r="W157" s="12">
        <f>IF($B157="","",IFERROR(VLOOKUP($C157,Hedefler!$A:$C,2,FALSE),0.04))</f>
        <v/>
      </c>
      <c r="X157" s="12">
        <f>IF($B157="","",IFERROR(VLOOKUP($C157,Hedefler!$A:$C,3,FALSE),0.1))</f>
        <v/>
      </c>
      <c r="Y157" s="13">
        <f>IF($B157="","",IFERROR(VLOOKUP($B157,Maliyetler!$A:$E,5,FALSE),""))</f>
        <v/>
      </c>
      <c r="Z157" s="13">
        <f>IF(OR(Y157="",Y157=0),"",Y157-1)</f>
        <v/>
      </c>
      <c r="AA157" s="14">
        <f>IF(Z157="","",IF(Z157&gt;='Komisyon Tarifeleri'!I157,IF($AM$1=2,'Komisyon Tarifeleri'!U157,'Komisyon Tarifeleri'!P157),IF(Z157&gt;='Komisyon Tarifeleri'!K157,IF($AM$1=2,'Komisyon Tarifeleri'!V157,'Komisyon Tarifeleri'!Q157),IF(Z157&gt;='Komisyon Tarifeleri'!M157,IF($AM$1=2,'Komisyon Tarifeleri'!W157,'Komisyon Tarifeleri'!R157),IF($AM$1=2,'Komisyon Tarifeleri'!X157,'Komisyon Tarifeleri'!S157)))))</f>
        <v/>
      </c>
      <c r="AB157" s="13">
        <f>IF(OR(AA157="",$D157=""),"",Z157*(1-AA157/100)-$D157-IF(Z157&lt;=199.99,Kargo!$E$2,IF(Z157&lt;=399.99,Kargo!$E$3,$F157)))</f>
        <v/>
      </c>
      <c r="AC157" s="15">
        <f>IF(AB157="","",AB157/Z157)</f>
        <v/>
      </c>
      <c r="AD157" s="10">
        <f>IF(OR($D157="",$B157=""),"",IF(AND((1-T157/100-W157)&gt;0,CEILING(($D157+$F157)/(1-T157/100-W157),1)&lt;='Komisyon Tarifeleri'!N157),CEILING(($D157+$F157)/(1-T157/100-W157),1),IF(AND((1-P157/100-W157)&gt;0,CEILING(MAX('Komisyon Tarifeleri'!M157,($D157+$F157)/(1-P157/100-W157)),1)&lt;='Komisyon Tarifeleri'!L157),CEILING(MAX('Komisyon Tarifeleri'!M157,($D157+$F157)/(1-P157/100-W157)),1),IF(AND((1-L157/100-W157)&gt;0,CEILING(MAX('Komisyon Tarifeleri'!K157,($D157+$F157)/(1-L157/100-W157)),1)&lt;='Komisyon Tarifeleri'!J157),CEILING(MAX('Komisyon Tarifeleri'!K157,($D157+$F157)/(1-L157/100-W157)),1),IF((1-H157/100-W157)&gt;0,CEILING(MAX('Komisyon Tarifeleri'!I157,($D157+$F157)/(1-H157/100-W157)),1),"İMKÂNSIZ")))))</f>
        <v/>
      </c>
      <c r="AE157" s="10">
        <f>IF(OR($D157="",$B157=""),"",IF(AND((1-T157/100-X157)&gt;0,CEILING(($D157+$F157)/(1-T157/100-X157),1)&lt;='Komisyon Tarifeleri'!N157),CEILING(($D157+$F157)/(1-T157/100-X157),1),IF(AND((1-P157/100-X157)&gt;0,CEILING(MAX('Komisyon Tarifeleri'!M157,($D157+$F157)/(1-P157/100-X157)),1)&lt;='Komisyon Tarifeleri'!L157),CEILING(MAX('Komisyon Tarifeleri'!M157,($D157+$F157)/(1-P157/100-X157)),1),IF(AND((1-L157/100-X157)&gt;0,CEILING(MAX('Komisyon Tarifeleri'!K157,($D157+$F157)/(1-L157/100-X157)),1)&lt;='Komisyon Tarifeleri'!J157),CEILING(MAX('Komisyon Tarifeleri'!K157,($D157+$F157)/(1-L157/100-X157)),1),IF((1-H157/100-X157)&gt;0,CEILING(MAX('Komisyon Tarifeleri'!I157,($D157+$F157)/(1-H157/100-X157)),1),"İMKÂNSIZ")))))</f>
        <v/>
      </c>
      <c r="AF157" s="16">
        <f>IF($D157="","",IF(AND(Y157&lt;&gt;"",AC157&lt;&gt;"",AC157&gt;=W157),Z157,IF(Y157&lt;&gt;"",AD157,AE157)))</f>
        <v/>
      </c>
      <c r="AG157" s="16">
        <f>IF(OR(AF157="",AF157="İMKÂNSIZ"),"",AF157*(1-IF(AF157&gt;='Komisyon Tarifeleri'!I157,IF($AM$1=2,'Komisyon Tarifeleri'!U157,'Komisyon Tarifeleri'!P157),IF(AF157&gt;='Komisyon Tarifeleri'!K157,IF($AM$1=2,'Komisyon Tarifeleri'!V157,'Komisyon Tarifeleri'!Q157),IF(AF157&gt;='Komisyon Tarifeleri'!M157,IF($AM$1=2,'Komisyon Tarifeleri'!W157,'Komisyon Tarifeleri'!R157),IF($AM$1=2,'Komisyon Tarifeleri'!X157,'Komisyon Tarifeleri'!S157))))/100)-$D157-IF(AF157&lt;=199.99,Kargo!$E$2,IF(AF157&lt;=399.99,Kargo!$E$3,$F157)))</f>
        <v/>
      </c>
      <c r="AH157" s="17">
        <f>IF(AG157="","",AG157/AF157)</f>
        <v/>
      </c>
      <c r="AI157" s="18">
        <f>IF($D157="","",IF(Y157="","BUYBOX YOK → hedef kârla min fiyat",IF(AC157&gt;=W157,"✓ BUYBOX ALTINA GİR","BUYBOX ALTI KÂRSIZ → min kârlı fiyat")))</f>
        <v/>
      </c>
      <c r="AJ157" s="10">
        <f>IF($B157="","",IFERROR(VLOOKUP($B157,Maliyetler!$A:$G,6,FALSE),""))</f>
        <v/>
      </c>
      <c r="AK157">
        <f>IF($B157="","",IFERROR(VLOOKUP($B157,Maliyetler!$A:$G,7,FALSE),""))</f>
        <v/>
      </c>
      <c r="AO157" s="21">
        <f>IF($B157="","",IFERROR(VLOOKUP($B157&amp;"",'Plus Tarifeleri'!$C:$Q,11,FALSE),""))</f>
        <v/>
      </c>
      <c r="AP157" s="22">
        <f>IF(AO157="","",IFERROR(IF($AM$1=2,VLOOKUP($B157&amp;"",'Plus Tarifeleri'!$C:$Q,15,FALSE),VLOOKUP($B157&amp;"",'Plus Tarifeleri'!$C:$Q,13,FALSE)),""))</f>
        <v/>
      </c>
      <c r="AQ157" s="21">
        <f>IF(OR(AO157="",AP157="",$D157=""),"",AO157*(1-AP157/100)-$D157-IF(AO157&lt;=199.99,Kargo!$E$2,IF(AO157&lt;=399.99,Kargo!$E$3,$F157)))</f>
        <v/>
      </c>
      <c r="AR157" s="23">
        <f>IF(AQ157="","",AQ157/AO157)</f>
        <v/>
      </c>
      <c r="AS157" s="24">
        <f>IF(OR(AQ157="",AG157=""),"",AQ157-AG157)</f>
        <v/>
      </c>
    </row>
    <row r="158">
      <c r="A158">
        <f>IF('Komisyon Tarifeleri'!A158="","",'Komisyon Tarifeleri'!A158)</f>
        <v/>
      </c>
      <c r="B158">
        <f>IF('Komisyon Tarifeleri'!B158="","",'Komisyon Tarifeleri'!B158&amp;"")</f>
        <v/>
      </c>
      <c r="C158">
        <f>IF($B158="","",'Komisyon Tarifeleri'!F158)</f>
        <v/>
      </c>
      <c r="D158" s="10">
        <f>IF($B158="","",IFERROR(VLOOKUP($B158,Maliyetler!$A:$E,3,FALSE),""))</f>
        <v/>
      </c>
      <c r="E158">
        <f>IF($B158="","",IFERROR(VLOOKUP($B158,Maliyetler!$A:$E,4,FALSE),1))</f>
        <v/>
      </c>
      <c r="F158" s="10">
        <f>IF($B158="","",IFERROR(VLOOKUP(MIN(20,MAX(1,ROUND($E158,0))),Kargo!$A:$B,2,FALSE),99.46))</f>
        <v/>
      </c>
      <c r="G158" s="10">
        <f>IF($B158="","",IF(IF(N('Komisyon Tarifeleri'!AA158)&gt;='Komisyon Tarifeleri'!I158,'Komisyon Tarifeleri'!AA158,'Komisyon Tarifeleri'!I158)="","",IF(N('Komisyon Tarifeleri'!AA158)&gt;='Komisyon Tarifeleri'!I158,'Komisyon Tarifeleri'!AA158,'Komisyon Tarifeleri'!I158)))</f>
        <v/>
      </c>
      <c r="H158" s="11">
        <f>IF(G158="","",IF($AM$1=2,'Komisyon Tarifeleri'!U158,'Komisyon Tarifeleri'!P158))</f>
        <v/>
      </c>
      <c r="I158" s="10">
        <f>IF(OR(G158="",$D158=""),"",G158*(1-H158/100)-$D158-IF(G158&lt;=199.99,Kargo!$E$2,IF(G158&lt;=399.99,Kargo!$E$3,$F158)))</f>
        <v/>
      </c>
      <c r="J158" s="12">
        <f>IF(I158="","",I158/G158)</f>
        <v/>
      </c>
      <c r="K158" s="10">
        <f>IF($B158="","",IF('Komisyon Tarifeleri'!J158="","",'Komisyon Tarifeleri'!J158))</f>
        <v/>
      </c>
      <c r="L158" s="11">
        <f>IF(K158="","",IF($AM$1=2,'Komisyon Tarifeleri'!V158,'Komisyon Tarifeleri'!Q158))</f>
        <v/>
      </c>
      <c r="M158" s="10">
        <f>IF(OR(K158="",$D158=""),"",K158*(1-L158/100)-$D158-IF(K158&lt;=199.99,Kargo!$E$2,IF(K158&lt;=399.99,Kargo!$E$3,$F158)))</f>
        <v/>
      </c>
      <c r="N158" s="12">
        <f>IF(M158="","",M158/K158)</f>
        <v/>
      </c>
      <c r="O158" s="10">
        <f>IF($B158="","",IF('Komisyon Tarifeleri'!L158="","",'Komisyon Tarifeleri'!L158))</f>
        <v/>
      </c>
      <c r="P158" s="11">
        <f>IF(O158="","",IF($AM$1=2,'Komisyon Tarifeleri'!W158,'Komisyon Tarifeleri'!R158))</f>
        <v/>
      </c>
      <c r="Q158" s="10">
        <f>IF(OR(O158="",$D158=""),"",O158*(1-P158/100)-$D158-IF(O158&lt;=199.99,Kargo!$E$2,IF(O158&lt;=399.99,Kargo!$E$3,$F158)))</f>
        <v/>
      </c>
      <c r="R158" s="12">
        <f>IF(Q158="","",Q158/O158)</f>
        <v/>
      </c>
      <c r="S158" s="10">
        <f>IF($B158="","",IF('Komisyon Tarifeleri'!N158="","",'Komisyon Tarifeleri'!N158))</f>
        <v/>
      </c>
      <c r="T158" s="11">
        <f>IF(S158="","",IF($AM$1=2,'Komisyon Tarifeleri'!X158,'Komisyon Tarifeleri'!S158))</f>
        <v/>
      </c>
      <c r="U158" s="10">
        <f>IF(OR(S158="",$D158=""),"",S158*(1-T158/100)-$D158-IF(S158&lt;=199.99,Kargo!$E$2,IF(S158&lt;=399.99,Kargo!$E$3,$F158)))</f>
        <v/>
      </c>
      <c r="V158" s="12">
        <f>IF(U158="","",U158/S158)</f>
        <v/>
      </c>
      <c r="W158" s="12">
        <f>IF($B158="","",IFERROR(VLOOKUP($C158,Hedefler!$A:$C,2,FALSE),0.04))</f>
        <v/>
      </c>
      <c r="X158" s="12">
        <f>IF($B158="","",IFERROR(VLOOKUP($C158,Hedefler!$A:$C,3,FALSE),0.1))</f>
        <v/>
      </c>
      <c r="Y158" s="13">
        <f>IF($B158="","",IFERROR(VLOOKUP($B158,Maliyetler!$A:$E,5,FALSE),""))</f>
        <v/>
      </c>
      <c r="Z158" s="13">
        <f>IF(OR(Y158="",Y158=0),"",Y158-1)</f>
        <v/>
      </c>
      <c r="AA158" s="14">
        <f>IF(Z158="","",IF(Z158&gt;='Komisyon Tarifeleri'!I158,IF($AM$1=2,'Komisyon Tarifeleri'!U158,'Komisyon Tarifeleri'!P158),IF(Z158&gt;='Komisyon Tarifeleri'!K158,IF($AM$1=2,'Komisyon Tarifeleri'!V158,'Komisyon Tarifeleri'!Q158),IF(Z158&gt;='Komisyon Tarifeleri'!M158,IF($AM$1=2,'Komisyon Tarifeleri'!W158,'Komisyon Tarifeleri'!R158),IF($AM$1=2,'Komisyon Tarifeleri'!X158,'Komisyon Tarifeleri'!S158)))))</f>
        <v/>
      </c>
      <c r="AB158" s="13">
        <f>IF(OR(AA158="",$D158=""),"",Z158*(1-AA158/100)-$D158-IF(Z158&lt;=199.99,Kargo!$E$2,IF(Z158&lt;=399.99,Kargo!$E$3,$F158)))</f>
        <v/>
      </c>
      <c r="AC158" s="15">
        <f>IF(AB158="","",AB158/Z158)</f>
        <v/>
      </c>
      <c r="AD158" s="10">
        <f>IF(OR($D158="",$B158=""),"",IF(AND((1-T158/100-W158)&gt;0,CEILING(($D158+$F158)/(1-T158/100-W158),1)&lt;='Komisyon Tarifeleri'!N158),CEILING(($D158+$F158)/(1-T158/100-W158),1),IF(AND((1-P158/100-W158)&gt;0,CEILING(MAX('Komisyon Tarifeleri'!M158,($D158+$F158)/(1-P158/100-W158)),1)&lt;='Komisyon Tarifeleri'!L158),CEILING(MAX('Komisyon Tarifeleri'!M158,($D158+$F158)/(1-P158/100-W158)),1),IF(AND((1-L158/100-W158)&gt;0,CEILING(MAX('Komisyon Tarifeleri'!K158,($D158+$F158)/(1-L158/100-W158)),1)&lt;='Komisyon Tarifeleri'!J158),CEILING(MAX('Komisyon Tarifeleri'!K158,($D158+$F158)/(1-L158/100-W158)),1),IF((1-H158/100-W158)&gt;0,CEILING(MAX('Komisyon Tarifeleri'!I158,($D158+$F158)/(1-H158/100-W158)),1),"İMKÂNSIZ")))))</f>
        <v/>
      </c>
      <c r="AE158" s="10">
        <f>IF(OR($D158="",$B158=""),"",IF(AND((1-T158/100-X158)&gt;0,CEILING(($D158+$F158)/(1-T158/100-X158),1)&lt;='Komisyon Tarifeleri'!N158),CEILING(($D158+$F158)/(1-T158/100-X158),1),IF(AND((1-P158/100-X158)&gt;0,CEILING(MAX('Komisyon Tarifeleri'!M158,($D158+$F158)/(1-P158/100-X158)),1)&lt;='Komisyon Tarifeleri'!L158),CEILING(MAX('Komisyon Tarifeleri'!M158,($D158+$F158)/(1-P158/100-X158)),1),IF(AND((1-L158/100-X158)&gt;0,CEILING(MAX('Komisyon Tarifeleri'!K158,($D158+$F158)/(1-L158/100-X158)),1)&lt;='Komisyon Tarifeleri'!J158),CEILING(MAX('Komisyon Tarifeleri'!K158,($D158+$F158)/(1-L158/100-X158)),1),IF((1-H158/100-X158)&gt;0,CEILING(MAX('Komisyon Tarifeleri'!I158,($D158+$F158)/(1-H158/100-X158)),1),"İMKÂNSIZ")))))</f>
        <v/>
      </c>
      <c r="AF158" s="16">
        <f>IF($D158="","",IF(AND(Y158&lt;&gt;"",AC158&lt;&gt;"",AC158&gt;=W158),Z158,IF(Y158&lt;&gt;"",AD158,AE158)))</f>
        <v/>
      </c>
      <c r="AG158" s="16">
        <f>IF(OR(AF158="",AF158="İMKÂNSIZ"),"",AF158*(1-IF(AF158&gt;='Komisyon Tarifeleri'!I158,IF($AM$1=2,'Komisyon Tarifeleri'!U158,'Komisyon Tarifeleri'!P158),IF(AF158&gt;='Komisyon Tarifeleri'!K158,IF($AM$1=2,'Komisyon Tarifeleri'!V158,'Komisyon Tarifeleri'!Q158),IF(AF158&gt;='Komisyon Tarifeleri'!M158,IF($AM$1=2,'Komisyon Tarifeleri'!W158,'Komisyon Tarifeleri'!R158),IF($AM$1=2,'Komisyon Tarifeleri'!X158,'Komisyon Tarifeleri'!S158))))/100)-$D158-IF(AF158&lt;=199.99,Kargo!$E$2,IF(AF158&lt;=399.99,Kargo!$E$3,$F158)))</f>
        <v/>
      </c>
      <c r="AH158" s="17">
        <f>IF(AG158="","",AG158/AF158)</f>
        <v/>
      </c>
      <c r="AI158" s="18">
        <f>IF($D158="","",IF(Y158="","BUYBOX YOK → hedef kârla min fiyat",IF(AC158&gt;=W158,"✓ BUYBOX ALTINA GİR","BUYBOX ALTI KÂRSIZ → min kârlı fiyat")))</f>
        <v/>
      </c>
      <c r="AJ158" s="10">
        <f>IF($B158="","",IFERROR(VLOOKUP($B158,Maliyetler!$A:$G,6,FALSE),""))</f>
        <v/>
      </c>
      <c r="AK158">
        <f>IF($B158="","",IFERROR(VLOOKUP($B158,Maliyetler!$A:$G,7,FALSE),""))</f>
        <v/>
      </c>
      <c r="AO158" s="21">
        <f>IF($B158="","",IFERROR(VLOOKUP($B158&amp;"",'Plus Tarifeleri'!$C:$Q,11,FALSE),""))</f>
        <v/>
      </c>
      <c r="AP158" s="22">
        <f>IF(AO158="","",IFERROR(IF($AM$1=2,VLOOKUP($B158&amp;"",'Plus Tarifeleri'!$C:$Q,15,FALSE),VLOOKUP($B158&amp;"",'Plus Tarifeleri'!$C:$Q,13,FALSE)),""))</f>
        <v/>
      </c>
      <c r="AQ158" s="21">
        <f>IF(OR(AO158="",AP158="",$D158=""),"",AO158*(1-AP158/100)-$D158-IF(AO158&lt;=199.99,Kargo!$E$2,IF(AO158&lt;=399.99,Kargo!$E$3,$F158)))</f>
        <v/>
      </c>
      <c r="AR158" s="23">
        <f>IF(AQ158="","",AQ158/AO158)</f>
        <v/>
      </c>
      <c r="AS158" s="24">
        <f>IF(OR(AQ158="",AG158=""),"",AQ158-AG158)</f>
        <v/>
      </c>
    </row>
    <row r="159">
      <c r="A159">
        <f>IF('Komisyon Tarifeleri'!A159="","",'Komisyon Tarifeleri'!A159)</f>
        <v/>
      </c>
      <c r="B159">
        <f>IF('Komisyon Tarifeleri'!B159="","",'Komisyon Tarifeleri'!B159&amp;"")</f>
        <v/>
      </c>
      <c r="C159">
        <f>IF($B159="","",'Komisyon Tarifeleri'!F159)</f>
        <v/>
      </c>
      <c r="D159" s="10">
        <f>IF($B159="","",IFERROR(VLOOKUP($B159,Maliyetler!$A:$E,3,FALSE),""))</f>
        <v/>
      </c>
      <c r="E159">
        <f>IF($B159="","",IFERROR(VLOOKUP($B159,Maliyetler!$A:$E,4,FALSE),1))</f>
        <v/>
      </c>
      <c r="F159" s="10">
        <f>IF($B159="","",IFERROR(VLOOKUP(MIN(20,MAX(1,ROUND($E159,0))),Kargo!$A:$B,2,FALSE),99.46))</f>
        <v/>
      </c>
      <c r="G159" s="10">
        <f>IF($B159="","",IF(IF(N('Komisyon Tarifeleri'!AA159)&gt;='Komisyon Tarifeleri'!I159,'Komisyon Tarifeleri'!AA159,'Komisyon Tarifeleri'!I159)="","",IF(N('Komisyon Tarifeleri'!AA159)&gt;='Komisyon Tarifeleri'!I159,'Komisyon Tarifeleri'!AA159,'Komisyon Tarifeleri'!I159)))</f>
        <v/>
      </c>
      <c r="H159" s="11">
        <f>IF(G159="","",IF($AM$1=2,'Komisyon Tarifeleri'!U159,'Komisyon Tarifeleri'!P159))</f>
        <v/>
      </c>
      <c r="I159" s="10">
        <f>IF(OR(G159="",$D159=""),"",G159*(1-H159/100)-$D159-IF(G159&lt;=199.99,Kargo!$E$2,IF(G159&lt;=399.99,Kargo!$E$3,$F159)))</f>
        <v/>
      </c>
      <c r="J159" s="12">
        <f>IF(I159="","",I159/G159)</f>
        <v/>
      </c>
      <c r="K159" s="10">
        <f>IF($B159="","",IF('Komisyon Tarifeleri'!J159="","",'Komisyon Tarifeleri'!J159))</f>
        <v/>
      </c>
      <c r="L159" s="11">
        <f>IF(K159="","",IF($AM$1=2,'Komisyon Tarifeleri'!V159,'Komisyon Tarifeleri'!Q159))</f>
        <v/>
      </c>
      <c r="M159" s="10">
        <f>IF(OR(K159="",$D159=""),"",K159*(1-L159/100)-$D159-IF(K159&lt;=199.99,Kargo!$E$2,IF(K159&lt;=399.99,Kargo!$E$3,$F159)))</f>
        <v/>
      </c>
      <c r="N159" s="12">
        <f>IF(M159="","",M159/K159)</f>
        <v/>
      </c>
      <c r="O159" s="10">
        <f>IF($B159="","",IF('Komisyon Tarifeleri'!L159="","",'Komisyon Tarifeleri'!L159))</f>
        <v/>
      </c>
      <c r="P159" s="11">
        <f>IF(O159="","",IF($AM$1=2,'Komisyon Tarifeleri'!W159,'Komisyon Tarifeleri'!R159))</f>
        <v/>
      </c>
      <c r="Q159" s="10">
        <f>IF(OR(O159="",$D159=""),"",O159*(1-P159/100)-$D159-IF(O159&lt;=199.99,Kargo!$E$2,IF(O159&lt;=399.99,Kargo!$E$3,$F159)))</f>
        <v/>
      </c>
      <c r="R159" s="12">
        <f>IF(Q159="","",Q159/O159)</f>
        <v/>
      </c>
      <c r="S159" s="10">
        <f>IF($B159="","",IF('Komisyon Tarifeleri'!N159="","",'Komisyon Tarifeleri'!N159))</f>
        <v/>
      </c>
      <c r="T159" s="11">
        <f>IF(S159="","",IF($AM$1=2,'Komisyon Tarifeleri'!X159,'Komisyon Tarifeleri'!S159))</f>
        <v/>
      </c>
      <c r="U159" s="10">
        <f>IF(OR(S159="",$D159=""),"",S159*(1-T159/100)-$D159-IF(S159&lt;=199.99,Kargo!$E$2,IF(S159&lt;=399.99,Kargo!$E$3,$F159)))</f>
        <v/>
      </c>
      <c r="V159" s="12">
        <f>IF(U159="","",U159/S159)</f>
        <v/>
      </c>
      <c r="W159" s="12">
        <f>IF($B159="","",IFERROR(VLOOKUP($C159,Hedefler!$A:$C,2,FALSE),0.04))</f>
        <v/>
      </c>
      <c r="X159" s="12">
        <f>IF($B159="","",IFERROR(VLOOKUP($C159,Hedefler!$A:$C,3,FALSE),0.1))</f>
        <v/>
      </c>
      <c r="Y159" s="13">
        <f>IF($B159="","",IFERROR(VLOOKUP($B159,Maliyetler!$A:$E,5,FALSE),""))</f>
        <v/>
      </c>
      <c r="Z159" s="13">
        <f>IF(OR(Y159="",Y159=0),"",Y159-1)</f>
        <v/>
      </c>
      <c r="AA159" s="14">
        <f>IF(Z159="","",IF(Z159&gt;='Komisyon Tarifeleri'!I159,IF($AM$1=2,'Komisyon Tarifeleri'!U159,'Komisyon Tarifeleri'!P159),IF(Z159&gt;='Komisyon Tarifeleri'!K159,IF($AM$1=2,'Komisyon Tarifeleri'!V159,'Komisyon Tarifeleri'!Q159),IF(Z159&gt;='Komisyon Tarifeleri'!M159,IF($AM$1=2,'Komisyon Tarifeleri'!W159,'Komisyon Tarifeleri'!R159),IF($AM$1=2,'Komisyon Tarifeleri'!X159,'Komisyon Tarifeleri'!S159)))))</f>
        <v/>
      </c>
      <c r="AB159" s="13">
        <f>IF(OR(AA159="",$D159=""),"",Z159*(1-AA159/100)-$D159-IF(Z159&lt;=199.99,Kargo!$E$2,IF(Z159&lt;=399.99,Kargo!$E$3,$F159)))</f>
        <v/>
      </c>
      <c r="AC159" s="15">
        <f>IF(AB159="","",AB159/Z159)</f>
        <v/>
      </c>
      <c r="AD159" s="10">
        <f>IF(OR($D159="",$B159=""),"",IF(AND((1-T159/100-W159)&gt;0,CEILING(($D159+$F159)/(1-T159/100-W159),1)&lt;='Komisyon Tarifeleri'!N159),CEILING(($D159+$F159)/(1-T159/100-W159),1),IF(AND((1-P159/100-W159)&gt;0,CEILING(MAX('Komisyon Tarifeleri'!M159,($D159+$F159)/(1-P159/100-W159)),1)&lt;='Komisyon Tarifeleri'!L159),CEILING(MAX('Komisyon Tarifeleri'!M159,($D159+$F159)/(1-P159/100-W159)),1),IF(AND((1-L159/100-W159)&gt;0,CEILING(MAX('Komisyon Tarifeleri'!K159,($D159+$F159)/(1-L159/100-W159)),1)&lt;='Komisyon Tarifeleri'!J159),CEILING(MAX('Komisyon Tarifeleri'!K159,($D159+$F159)/(1-L159/100-W159)),1),IF((1-H159/100-W159)&gt;0,CEILING(MAX('Komisyon Tarifeleri'!I159,($D159+$F159)/(1-H159/100-W159)),1),"İMKÂNSIZ")))))</f>
        <v/>
      </c>
      <c r="AE159" s="10">
        <f>IF(OR($D159="",$B159=""),"",IF(AND((1-T159/100-X159)&gt;0,CEILING(($D159+$F159)/(1-T159/100-X159),1)&lt;='Komisyon Tarifeleri'!N159),CEILING(($D159+$F159)/(1-T159/100-X159),1),IF(AND((1-P159/100-X159)&gt;0,CEILING(MAX('Komisyon Tarifeleri'!M159,($D159+$F159)/(1-P159/100-X159)),1)&lt;='Komisyon Tarifeleri'!L159),CEILING(MAX('Komisyon Tarifeleri'!M159,($D159+$F159)/(1-P159/100-X159)),1),IF(AND((1-L159/100-X159)&gt;0,CEILING(MAX('Komisyon Tarifeleri'!K159,($D159+$F159)/(1-L159/100-X159)),1)&lt;='Komisyon Tarifeleri'!J159),CEILING(MAX('Komisyon Tarifeleri'!K159,($D159+$F159)/(1-L159/100-X159)),1),IF((1-H159/100-X159)&gt;0,CEILING(MAX('Komisyon Tarifeleri'!I159,($D159+$F159)/(1-H159/100-X159)),1),"İMKÂNSIZ")))))</f>
        <v/>
      </c>
      <c r="AF159" s="16">
        <f>IF($D159="","",IF(AND(Y159&lt;&gt;"",AC159&lt;&gt;"",AC159&gt;=W159),Z159,IF(Y159&lt;&gt;"",AD159,AE159)))</f>
        <v/>
      </c>
      <c r="AG159" s="16">
        <f>IF(OR(AF159="",AF159="İMKÂNSIZ"),"",AF159*(1-IF(AF159&gt;='Komisyon Tarifeleri'!I159,IF($AM$1=2,'Komisyon Tarifeleri'!U159,'Komisyon Tarifeleri'!P159),IF(AF159&gt;='Komisyon Tarifeleri'!K159,IF($AM$1=2,'Komisyon Tarifeleri'!V159,'Komisyon Tarifeleri'!Q159),IF(AF159&gt;='Komisyon Tarifeleri'!M159,IF($AM$1=2,'Komisyon Tarifeleri'!W159,'Komisyon Tarifeleri'!R159),IF($AM$1=2,'Komisyon Tarifeleri'!X159,'Komisyon Tarifeleri'!S159))))/100)-$D159-IF(AF159&lt;=199.99,Kargo!$E$2,IF(AF159&lt;=399.99,Kargo!$E$3,$F159)))</f>
        <v/>
      </c>
      <c r="AH159" s="17">
        <f>IF(AG159="","",AG159/AF159)</f>
        <v/>
      </c>
      <c r="AI159" s="18">
        <f>IF($D159="","",IF(Y159="","BUYBOX YOK → hedef kârla min fiyat",IF(AC159&gt;=W159,"✓ BUYBOX ALTINA GİR","BUYBOX ALTI KÂRSIZ → min kârlı fiyat")))</f>
        <v/>
      </c>
      <c r="AJ159" s="10">
        <f>IF($B159="","",IFERROR(VLOOKUP($B159,Maliyetler!$A:$G,6,FALSE),""))</f>
        <v/>
      </c>
      <c r="AK159">
        <f>IF($B159="","",IFERROR(VLOOKUP($B159,Maliyetler!$A:$G,7,FALSE),""))</f>
        <v/>
      </c>
      <c r="AO159" s="21">
        <f>IF($B159="","",IFERROR(VLOOKUP($B159&amp;"",'Plus Tarifeleri'!$C:$Q,11,FALSE),""))</f>
        <v/>
      </c>
      <c r="AP159" s="22">
        <f>IF(AO159="","",IFERROR(IF($AM$1=2,VLOOKUP($B159&amp;"",'Plus Tarifeleri'!$C:$Q,15,FALSE),VLOOKUP($B159&amp;"",'Plus Tarifeleri'!$C:$Q,13,FALSE)),""))</f>
        <v/>
      </c>
      <c r="AQ159" s="21">
        <f>IF(OR(AO159="",AP159="",$D159=""),"",AO159*(1-AP159/100)-$D159-IF(AO159&lt;=199.99,Kargo!$E$2,IF(AO159&lt;=399.99,Kargo!$E$3,$F159)))</f>
        <v/>
      </c>
      <c r="AR159" s="23">
        <f>IF(AQ159="","",AQ159/AO159)</f>
        <v/>
      </c>
      <c r="AS159" s="24">
        <f>IF(OR(AQ159="",AG159=""),"",AQ159-AG159)</f>
        <v/>
      </c>
    </row>
    <row r="160">
      <c r="A160">
        <f>IF('Komisyon Tarifeleri'!A160="","",'Komisyon Tarifeleri'!A160)</f>
        <v/>
      </c>
      <c r="B160">
        <f>IF('Komisyon Tarifeleri'!B160="","",'Komisyon Tarifeleri'!B160&amp;"")</f>
        <v/>
      </c>
      <c r="C160">
        <f>IF($B160="","",'Komisyon Tarifeleri'!F160)</f>
        <v/>
      </c>
      <c r="D160" s="10">
        <f>IF($B160="","",IFERROR(VLOOKUP($B160,Maliyetler!$A:$E,3,FALSE),""))</f>
        <v/>
      </c>
      <c r="E160">
        <f>IF($B160="","",IFERROR(VLOOKUP($B160,Maliyetler!$A:$E,4,FALSE),1))</f>
        <v/>
      </c>
      <c r="F160" s="10">
        <f>IF($B160="","",IFERROR(VLOOKUP(MIN(20,MAX(1,ROUND($E160,0))),Kargo!$A:$B,2,FALSE),99.46))</f>
        <v/>
      </c>
      <c r="G160" s="10">
        <f>IF($B160="","",IF(IF(N('Komisyon Tarifeleri'!AA160)&gt;='Komisyon Tarifeleri'!I160,'Komisyon Tarifeleri'!AA160,'Komisyon Tarifeleri'!I160)="","",IF(N('Komisyon Tarifeleri'!AA160)&gt;='Komisyon Tarifeleri'!I160,'Komisyon Tarifeleri'!AA160,'Komisyon Tarifeleri'!I160)))</f>
        <v/>
      </c>
      <c r="H160" s="11">
        <f>IF(G160="","",IF($AM$1=2,'Komisyon Tarifeleri'!U160,'Komisyon Tarifeleri'!P160))</f>
        <v/>
      </c>
      <c r="I160" s="10">
        <f>IF(OR(G160="",$D160=""),"",G160*(1-H160/100)-$D160-IF(G160&lt;=199.99,Kargo!$E$2,IF(G160&lt;=399.99,Kargo!$E$3,$F160)))</f>
        <v/>
      </c>
      <c r="J160" s="12">
        <f>IF(I160="","",I160/G160)</f>
        <v/>
      </c>
      <c r="K160" s="10">
        <f>IF($B160="","",IF('Komisyon Tarifeleri'!J160="","",'Komisyon Tarifeleri'!J160))</f>
        <v/>
      </c>
      <c r="L160" s="11">
        <f>IF(K160="","",IF($AM$1=2,'Komisyon Tarifeleri'!V160,'Komisyon Tarifeleri'!Q160))</f>
        <v/>
      </c>
      <c r="M160" s="10">
        <f>IF(OR(K160="",$D160=""),"",K160*(1-L160/100)-$D160-IF(K160&lt;=199.99,Kargo!$E$2,IF(K160&lt;=399.99,Kargo!$E$3,$F160)))</f>
        <v/>
      </c>
      <c r="N160" s="12">
        <f>IF(M160="","",M160/K160)</f>
        <v/>
      </c>
      <c r="O160" s="10">
        <f>IF($B160="","",IF('Komisyon Tarifeleri'!L160="","",'Komisyon Tarifeleri'!L160))</f>
        <v/>
      </c>
      <c r="P160" s="11">
        <f>IF(O160="","",IF($AM$1=2,'Komisyon Tarifeleri'!W160,'Komisyon Tarifeleri'!R160))</f>
        <v/>
      </c>
      <c r="Q160" s="10">
        <f>IF(OR(O160="",$D160=""),"",O160*(1-P160/100)-$D160-IF(O160&lt;=199.99,Kargo!$E$2,IF(O160&lt;=399.99,Kargo!$E$3,$F160)))</f>
        <v/>
      </c>
      <c r="R160" s="12">
        <f>IF(Q160="","",Q160/O160)</f>
        <v/>
      </c>
      <c r="S160" s="10">
        <f>IF($B160="","",IF('Komisyon Tarifeleri'!N160="","",'Komisyon Tarifeleri'!N160))</f>
        <v/>
      </c>
      <c r="T160" s="11">
        <f>IF(S160="","",IF($AM$1=2,'Komisyon Tarifeleri'!X160,'Komisyon Tarifeleri'!S160))</f>
        <v/>
      </c>
      <c r="U160" s="10">
        <f>IF(OR(S160="",$D160=""),"",S160*(1-T160/100)-$D160-IF(S160&lt;=199.99,Kargo!$E$2,IF(S160&lt;=399.99,Kargo!$E$3,$F160)))</f>
        <v/>
      </c>
      <c r="V160" s="12">
        <f>IF(U160="","",U160/S160)</f>
        <v/>
      </c>
      <c r="W160" s="12">
        <f>IF($B160="","",IFERROR(VLOOKUP($C160,Hedefler!$A:$C,2,FALSE),0.04))</f>
        <v/>
      </c>
      <c r="X160" s="12">
        <f>IF($B160="","",IFERROR(VLOOKUP($C160,Hedefler!$A:$C,3,FALSE),0.1))</f>
        <v/>
      </c>
      <c r="Y160" s="13">
        <f>IF($B160="","",IFERROR(VLOOKUP($B160,Maliyetler!$A:$E,5,FALSE),""))</f>
        <v/>
      </c>
      <c r="Z160" s="13">
        <f>IF(OR(Y160="",Y160=0),"",Y160-1)</f>
        <v/>
      </c>
      <c r="AA160" s="14">
        <f>IF(Z160="","",IF(Z160&gt;='Komisyon Tarifeleri'!I160,IF($AM$1=2,'Komisyon Tarifeleri'!U160,'Komisyon Tarifeleri'!P160),IF(Z160&gt;='Komisyon Tarifeleri'!K160,IF($AM$1=2,'Komisyon Tarifeleri'!V160,'Komisyon Tarifeleri'!Q160),IF(Z160&gt;='Komisyon Tarifeleri'!M160,IF($AM$1=2,'Komisyon Tarifeleri'!W160,'Komisyon Tarifeleri'!R160),IF($AM$1=2,'Komisyon Tarifeleri'!X160,'Komisyon Tarifeleri'!S160)))))</f>
        <v/>
      </c>
      <c r="AB160" s="13">
        <f>IF(OR(AA160="",$D160=""),"",Z160*(1-AA160/100)-$D160-IF(Z160&lt;=199.99,Kargo!$E$2,IF(Z160&lt;=399.99,Kargo!$E$3,$F160)))</f>
        <v/>
      </c>
      <c r="AC160" s="15">
        <f>IF(AB160="","",AB160/Z160)</f>
        <v/>
      </c>
      <c r="AD160" s="10">
        <f>IF(OR($D160="",$B160=""),"",IF(AND((1-T160/100-W160)&gt;0,CEILING(($D160+$F160)/(1-T160/100-W160),1)&lt;='Komisyon Tarifeleri'!N160),CEILING(($D160+$F160)/(1-T160/100-W160),1),IF(AND((1-P160/100-W160)&gt;0,CEILING(MAX('Komisyon Tarifeleri'!M160,($D160+$F160)/(1-P160/100-W160)),1)&lt;='Komisyon Tarifeleri'!L160),CEILING(MAX('Komisyon Tarifeleri'!M160,($D160+$F160)/(1-P160/100-W160)),1),IF(AND((1-L160/100-W160)&gt;0,CEILING(MAX('Komisyon Tarifeleri'!K160,($D160+$F160)/(1-L160/100-W160)),1)&lt;='Komisyon Tarifeleri'!J160),CEILING(MAX('Komisyon Tarifeleri'!K160,($D160+$F160)/(1-L160/100-W160)),1),IF((1-H160/100-W160)&gt;0,CEILING(MAX('Komisyon Tarifeleri'!I160,($D160+$F160)/(1-H160/100-W160)),1),"İMKÂNSIZ")))))</f>
        <v/>
      </c>
      <c r="AE160" s="10">
        <f>IF(OR($D160="",$B160=""),"",IF(AND((1-T160/100-X160)&gt;0,CEILING(($D160+$F160)/(1-T160/100-X160),1)&lt;='Komisyon Tarifeleri'!N160),CEILING(($D160+$F160)/(1-T160/100-X160),1),IF(AND((1-P160/100-X160)&gt;0,CEILING(MAX('Komisyon Tarifeleri'!M160,($D160+$F160)/(1-P160/100-X160)),1)&lt;='Komisyon Tarifeleri'!L160),CEILING(MAX('Komisyon Tarifeleri'!M160,($D160+$F160)/(1-P160/100-X160)),1),IF(AND((1-L160/100-X160)&gt;0,CEILING(MAX('Komisyon Tarifeleri'!K160,($D160+$F160)/(1-L160/100-X160)),1)&lt;='Komisyon Tarifeleri'!J160),CEILING(MAX('Komisyon Tarifeleri'!K160,($D160+$F160)/(1-L160/100-X160)),1),IF((1-H160/100-X160)&gt;0,CEILING(MAX('Komisyon Tarifeleri'!I160,($D160+$F160)/(1-H160/100-X160)),1),"İMKÂNSIZ")))))</f>
        <v/>
      </c>
      <c r="AF160" s="16">
        <f>IF($D160="","",IF(AND(Y160&lt;&gt;"",AC160&lt;&gt;"",AC160&gt;=W160),Z160,IF(Y160&lt;&gt;"",AD160,AE160)))</f>
        <v/>
      </c>
      <c r="AG160" s="16">
        <f>IF(OR(AF160="",AF160="İMKÂNSIZ"),"",AF160*(1-IF(AF160&gt;='Komisyon Tarifeleri'!I160,IF($AM$1=2,'Komisyon Tarifeleri'!U160,'Komisyon Tarifeleri'!P160),IF(AF160&gt;='Komisyon Tarifeleri'!K160,IF($AM$1=2,'Komisyon Tarifeleri'!V160,'Komisyon Tarifeleri'!Q160),IF(AF160&gt;='Komisyon Tarifeleri'!M160,IF($AM$1=2,'Komisyon Tarifeleri'!W160,'Komisyon Tarifeleri'!R160),IF($AM$1=2,'Komisyon Tarifeleri'!X160,'Komisyon Tarifeleri'!S160))))/100)-$D160-IF(AF160&lt;=199.99,Kargo!$E$2,IF(AF160&lt;=399.99,Kargo!$E$3,$F160)))</f>
        <v/>
      </c>
      <c r="AH160" s="17">
        <f>IF(AG160="","",AG160/AF160)</f>
        <v/>
      </c>
      <c r="AI160" s="18">
        <f>IF($D160="","",IF(Y160="","BUYBOX YOK → hedef kârla min fiyat",IF(AC160&gt;=W160,"✓ BUYBOX ALTINA GİR","BUYBOX ALTI KÂRSIZ → min kârlı fiyat")))</f>
        <v/>
      </c>
      <c r="AJ160" s="10">
        <f>IF($B160="","",IFERROR(VLOOKUP($B160,Maliyetler!$A:$G,6,FALSE),""))</f>
        <v/>
      </c>
      <c r="AK160">
        <f>IF($B160="","",IFERROR(VLOOKUP($B160,Maliyetler!$A:$G,7,FALSE),""))</f>
        <v/>
      </c>
      <c r="AO160" s="21">
        <f>IF($B160="","",IFERROR(VLOOKUP($B160&amp;"",'Plus Tarifeleri'!$C:$Q,11,FALSE),""))</f>
        <v/>
      </c>
      <c r="AP160" s="22">
        <f>IF(AO160="","",IFERROR(IF($AM$1=2,VLOOKUP($B160&amp;"",'Plus Tarifeleri'!$C:$Q,15,FALSE),VLOOKUP($B160&amp;"",'Plus Tarifeleri'!$C:$Q,13,FALSE)),""))</f>
        <v/>
      </c>
      <c r="AQ160" s="21">
        <f>IF(OR(AO160="",AP160="",$D160=""),"",AO160*(1-AP160/100)-$D160-IF(AO160&lt;=199.99,Kargo!$E$2,IF(AO160&lt;=399.99,Kargo!$E$3,$F160)))</f>
        <v/>
      </c>
      <c r="AR160" s="23">
        <f>IF(AQ160="","",AQ160/AO160)</f>
        <v/>
      </c>
      <c r="AS160" s="24">
        <f>IF(OR(AQ160="",AG160=""),"",AQ160-AG160)</f>
        <v/>
      </c>
    </row>
    <row r="161">
      <c r="A161">
        <f>IF('Komisyon Tarifeleri'!A161="","",'Komisyon Tarifeleri'!A161)</f>
        <v/>
      </c>
      <c r="B161">
        <f>IF('Komisyon Tarifeleri'!B161="","",'Komisyon Tarifeleri'!B161&amp;"")</f>
        <v/>
      </c>
      <c r="C161">
        <f>IF($B161="","",'Komisyon Tarifeleri'!F161)</f>
        <v/>
      </c>
      <c r="D161" s="10">
        <f>IF($B161="","",IFERROR(VLOOKUP($B161,Maliyetler!$A:$E,3,FALSE),""))</f>
        <v/>
      </c>
      <c r="E161">
        <f>IF($B161="","",IFERROR(VLOOKUP($B161,Maliyetler!$A:$E,4,FALSE),1))</f>
        <v/>
      </c>
      <c r="F161" s="10">
        <f>IF($B161="","",IFERROR(VLOOKUP(MIN(20,MAX(1,ROUND($E161,0))),Kargo!$A:$B,2,FALSE),99.46))</f>
        <v/>
      </c>
      <c r="G161" s="10">
        <f>IF($B161="","",IF(IF(N('Komisyon Tarifeleri'!AA161)&gt;='Komisyon Tarifeleri'!I161,'Komisyon Tarifeleri'!AA161,'Komisyon Tarifeleri'!I161)="","",IF(N('Komisyon Tarifeleri'!AA161)&gt;='Komisyon Tarifeleri'!I161,'Komisyon Tarifeleri'!AA161,'Komisyon Tarifeleri'!I161)))</f>
        <v/>
      </c>
      <c r="H161" s="11">
        <f>IF(G161="","",IF($AM$1=2,'Komisyon Tarifeleri'!U161,'Komisyon Tarifeleri'!P161))</f>
        <v/>
      </c>
      <c r="I161" s="10">
        <f>IF(OR(G161="",$D161=""),"",G161*(1-H161/100)-$D161-IF(G161&lt;=199.99,Kargo!$E$2,IF(G161&lt;=399.99,Kargo!$E$3,$F161)))</f>
        <v/>
      </c>
      <c r="J161" s="12">
        <f>IF(I161="","",I161/G161)</f>
        <v/>
      </c>
      <c r="K161" s="10">
        <f>IF($B161="","",IF('Komisyon Tarifeleri'!J161="","",'Komisyon Tarifeleri'!J161))</f>
        <v/>
      </c>
      <c r="L161" s="11">
        <f>IF(K161="","",IF($AM$1=2,'Komisyon Tarifeleri'!V161,'Komisyon Tarifeleri'!Q161))</f>
        <v/>
      </c>
      <c r="M161" s="10">
        <f>IF(OR(K161="",$D161=""),"",K161*(1-L161/100)-$D161-IF(K161&lt;=199.99,Kargo!$E$2,IF(K161&lt;=399.99,Kargo!$E$3,$F161)))</f>
        <v/>
      </c>
      <c r="N161" s="12">
        <f>IF(M161="","",M161/K161)</f>
        <v/>
      </c>
      <c r="O161" s="10">
        <f>IF($B161="","",IF('Komisyon Tarifeleri'!L161="","",'Komisyon Tarifeleri'!L161))</f>
        <v/>
      </c>
      <c r="P161" s="11">
        <f>IF(O161="","",IF($AM$1=2,'Komisyon Tarifeleri'!W161,'Komisyon Tarifeleri'!R161))</f>
        <v/>
      </c>
      <c r="Q161" s="10">
        <f>IF(OR(O161="",$D161=""),"",O161*(1-P161/100)-$D161-IF(O161&lt;=199.99,Kargo!$E$2,IF(O161&lt;=399.99,Kargo!$E$3,$F161)))</f>
        <v/>
      </c>
      <c r="R161" s="12">
        <f>IF(Q161="","",Q161/O161)</f>
        <v/>
      </c>
      <c r="S161" s="10">
        <f>IF($B161="","",IF('Komisyon Tarifeleri'!N161="","",'Komisyon Tarifeleri'!N161))</f>
        <v/>
      </c>
      <c r="T161" s="11">
        <f>IF(S161="","",IF($AM$1=2,'Komisyon Tarifeleri'!X161,'Komisyon Tarifeleri'!S161))</f>
        <v/>
      </c>
      <c r="U161" s="10">
        <f>IF(OR(S161="",$D161=""),"",S161*(1-T161/100)-$D161-IF(S161&lt;=199.99,Kargo!$E$2,IF(S161&lt;=399.99,Kargo!$E$3,$F161)))</f>
        <v/>
      </c>
      <c r="V161" s="12">
        <f>IF(U161="","",U161/S161)</f>
        <v/>
      </c>
      <c r="W161" s="12">
        <f>IF($B161="","",IFERROR(VLOOKUP($C161,Hedefler!$A:$C,2,FALSE),0.04))</f>
        <v/>
      </c>
      <c r="X161" s="12">
        <f>IF($B161="","",IFERROR(VLOOKUP($C161,Hedefler!$A:$C,3,FALSE),0.1))</f>
        <v/>
      </c>
      <c r="Y161" s="13">
        <f>IF($B161="","",IFERROR(VLOOKUP($B161,Maliyetler!$A:$E,5,FALSE),""))</f>
        <v/>
      </c>
      <c r="Z161" s="13">
        <f>IF(OR(Y161="",Y161=0),"",Y161-1)</f>
        <v/>
      </c>
      <c r="AA161" s="14">
        <f>IF(Z161="","",IF(Z161&gt;='Komisyon Tarifeleri'!I161,IF($AM$1=2,'Komisyon Tarifeleri'!U161,'Komisyon Tarifeleri'!P161),IF(Z161&gt;='Komisyon Tarifeleri'!K161,IF($AM$1=2,'Komisyon Tarifeleri'!V161,'Komisyon Tarifeleri'!Q161),IF(Z161&gt;='Komisyon Tarifeleri'!M161,IF($AM$1=2,'Komisyon Tarifeleri'!W161,'Komisyon Tarifeleri'!R161),IF($AM$1=2,'Komisyon Tarifeleri'!X161,'Komisyon Tarifeleri'!S161)))))</f>
        <v/>
      </c>
      <c r="AB161" s="13">
        <f>IF(OR(AA161="",$D161=""),"",Z161*(1-AA161/100)-$D161-IF(Z161&lt;=199.99,Kargo!$E$2,IF(Z161&lt;=399.99,Kargo!$E$3,$F161)))</f>
        <v/>
      </c>
      <c r="AC161" s="15">
        <f>IF(AB161="","",AB161/Z161)</f>
        <v/>
      </c>
      <c r="AD161" s="10">
        <f>IF(OR($D161="",$B161=""),"",IF(AND((1-T161/100-W161)&gt;0,CEILING(($D161+$F161)/(1-T161/100-W161),1)&lt;='Komisyon Tarifeleri'!N161),CEILING(($D161+$F161)/(1-T161/100-W161),1),IF(AND((1-P161/100-W161)&gt;0,CEILING(MAX('Komisyon Tarifeleri'!M161,($D161+$F161)/(1-P161/100-W161)),1)&lt;='Komisyon Tarifeleri'!L161),CEILING(MAX('Komisyon Tarifeleri'!M161,($D161+$F161)/(1-P161/100-W161)),1),IF(AND((1-L161/100-W161)&gt;0,CEILING(MAX('Komisyon Tarifeleri'!K161,($D161+$F161)/(1-L161/100-W161)),1)&lt;='Komisyon Tarifeleri'!J161),CEILING(MAX('Komisyon Tarifeleri'!K161,($D161+$F161)/(1-L161/100-W161)),1),IF((1-H161/100-W161)&gt;0,CEILING(MAX('Komisyon Tarifeleri'!I161,($D161+$F161)/(1-H161/100-W161)),1),"İMKÂNSIZ")))))</f>
        <v/>
      </c>
      <c r="AE161" s="10">
        <f>IF(OR($D161="",$B161=""),"",IF(AND((1-T161/100-X161)&gt;0,CEILING(($D161+$F161)/(1-T161/100-X161),1)&lt;='Komisyon Tarifeleri'!N161),CEILING(($D161+$F161)/(1-T161/100-X161),1),IF(AND((1-P161/100-X161)&gt;0,CEILING(MAX('Komisyon Tarifeleri'!M161,($D161+$F161)/(1-P161/100-X161)),1)&lt;='Komisyon Tarifeleri'!L161),CEILING(MAX('Komisyon Tarifeleri'!M161,($D161+$F161)/(1-P161/100-X161)),1),IF(AND((1-L161/100-X161)&gt;0,CEILING(MAX('Komisyon Tarifeleri'!K161,($D161+$F161)/(1-L161/100-X161)),1)&lt;='Komisyon Tarifeleri'!J161),CEILING(MAX('Komisyon Tarifeleri'!K161,($D161+$F161)/(1-L161/100-X161)),1),IF((1-H161/100-X161)&gt;0,CEILING(MAX('Komisyon Tarifeleri'!I161,($D161+$F161)/(1-H161/100-X161)),1),"İMKÂNSIZ")))))</f>
        <v/>
      </c>
      <c r="AF161" s="16">
        <f>IF($D161="","",IF(AND(Y161&lt;&gt;"",AC161&lt;&gt;"",AC161&gt;=W161),Z161,IF(Y161&lt;&gt;"",AD161,AE161)))</f>
        <v/>
      </c>
      <c r="AG161" s="16">
        <f>IF(OR(AF161="",AF161="İMKÂNSIZ"),"",AF161*(1-IF(AF161&gt;='Komisyon Tarifeleri'!I161,IF($AM$1=2,'Komisyon Tarifeleri'!U161,'Komisyon Tarifeleri'!P161),IF(AF161&gt;='Komisyon Tarifeleri'!K161,IF($AM$1=2,'Komisyon Tarifeleri'!V161,'Komisyon Tarifeleri'!Q161),IF(AF161&gt;='Komisyon Tarifeleri'!M161,IF($AM$1=2,'Komisyon Tarifeleri'!W161,'Komisyon Tarifeleri'!R161),IF($AM$1=2,'Komisyon Tarifeleri'!X161,'Komisyon Tarifeleri'!S161))))/100)-$D161-IF(AF161&lt;=199.99,Kargo!$E$2,IF(AF161&lt;=399.99,Kargo!$E$3,$F161)))</f>
        <v/>
      </c>
      <c r="AH161" s="17">
        <f>IF(AG161="","",AG161/AF161)</f>
        <v/>
      </c>
      <c r="AI161" s="18">
        <f>IF($D161="","",IF(Y161="","BUYBOX YOK → hedef kârla min fiyat",IF(AC161&gt;=W161,"✓ BUYBOX ALTINA GİR","BUYBOX ALTI KÂRSIZ → min kârlı fiyat")))</f>
        <v/>
      </c>
      <c r="AJ161" s="10">
        <f>IF($B161="","",IFERROR(VLOOKUP($B161,Maliyetler!$A:$G,6,FALSE),""))</f>
        <v/>
      </c>
      <c r="AK161">
        <f>IF($B161="","",IFERROR(VLOOKUP($B161,Maliyetler!$A:$G,7,FALSE),""))</f>
        <v/>
      </c>
      <c r="AO161" s="21">
        <f>IF($B161="","",IFERROR(VLOOKUP($B161&amp;"",'Plus Tarifeleri'!$C:$Q,11,FALSE),""))</f>
        <v/>
      </c>
      <c r="AP161" s="22">
        <f>IF(AO161="","",IFERROR(IF($AM$1=2,VLOOKUP($B161&amp;"",'Plus Tarifeleri'!$C:$Q,15,FALSE),VLOOKUP($B161&amp;"",'Plus Tarifeleri'!$C:$Q,13,FALSE)),""))</f>
        <v/>
      </c>
      <c r="AQ161" s="21">
        <f>IF(OR(AO161="",AP161="",$D161=""),"",AO161*(1-AP161/100)-$D161-IF(AO161&lt;=199.99,Kargo!$E$2,IF(AO161&lt;=399.99,Kargo!$E$3,$F161)))</f>
        <v/>
      </c>
      <c r="AR161" s="23">
        <f>IF(AQ161="","",AQ161/AO161)</f>
        <v/>
      </c>
      <c r="AS161" s="24">
        <f>IF(OR(AQ161="",AG161=""),"",AQ161-AG161)</f>
        <v/>
      </c>
    </row>
    <row r="162">
      <c r="A162">
        <f>IF('Komisyon Tarifeleri'!A162="","",'Komisyon Tarifeleri'!A162)</f>
        <v/>
      </c>
      <c r="B162">
        <f>IF('Komisyon Tarifeleri'!B162="","",'Komisyon Tarifeleri'!B162&amp;"")</f>
        <v/>
      </c>
      <c r="C162">
        <f>IF($B162="","",'Komisyon Tarifeleri'!F162)</f>
        <v/>
      </c>
      <c r="D162" s="10">
        <f>IF($B162="","",IFERROR(VLOOKUP($B162,Maliyetler!$A:$E,3,FALSE),""))</f>
        <v/>
      </c>
      <c r="E162">
        <f>IF($B162="","",IFERROR(VLOOKUP($B162,Maliyetler!$A:$E,4,FALSE),1))</f>
        <v/>
      </c>
      <c r="F162" s="10">
        <f>IF($B162="","",IFERROR(VLOOKUP(MIN(20,MAX(1,ROUND($E162,0))),Kargo!$A:$B,2,FALSE),99.46))</f>
        <v/>
      </c>
      <c r="G162" s="10">
        <f>IF($B162="","",IF(IF(N('Komisyon Tarifeleri'!AA162)&gt;='Komisyon Tarifeleri'!I162,'Komisyon Tarifeleri'!AA162,'Komisyon Tarifeleri'!I162)="","",IF(N('Komisyon Tarifeleri'!AA162)&gt;='Komisyon Tarifeleri'!I162,'Komisyon Tarifeleri'!AA162,'Komisyon Tarifeleri'!I162)))</f>
        <v/>
      </c>
      <c r="H162" s="11">
        <f>IF(G162="","",IF($AM$1=2,'Komisyon Tarifeleri'!U162,'Komisyon Tarifeleri'!P162))</f>
        <v/>
      </c>
      <c r="I162" s="10">
        <f>IF(OR(G162="",$D162=""),"",G162*(1-H162/100)-$D162-IF(G162&lt;=199.99,Kargo!$E$2,IF(G162&lt;=399.99,Kargo!$E$3,$F162)))</f>
        <v/>
      </c>
      <c r="J162" s="12">
        <f>IF(I162="","",I162/G162)</f>
        <v/>
      </c>
      <c r="K162" s="10">
        <f>IF($B162="","",IF('Komisyon Tarifeleri'!J162="","",'Komisyon Tarifeleri'!J162))</f>
        <v/>
      </c>
      <c r="L162" s="11">
        <f>IF(K162="","",IF($AM$1=2,'Komisyon Tarifeleri'!V162,'Komisyon Tarifeleri'!Q162))</f>
        <v/>
      </c>
      <c r="M162" s="10">
        <f>IF(OR(K162="",$D162=""),"",K162*(1-L162/100)-$D162-IF(K162&lt;=199.99,Kargo!$E$2,IF(K162&lt;=399.99,Kargo!$E$3,$F162)))</f>
        <v/>
      </c>
      <c r="N162" s="12">
        <f>IF(M162="","",M162/K162)</f>
        <v/>
      </c>
      <c r="O162" s="10">
        <f>IF($B162="","",IF('Komisyon Tarifeleri'!L162="","",'Komisyon Tarifeleri'!L162))</f>
        <v/>
      </c>
      <c r="P162" s="11">
        <f>IF(O162="","",IF($AM$1=2,'Komisyon Tarifeleri'!W162,'Komisyon Tarifeleri'!R162))</f>
        <v/>
      </c>
      <c r="Q162" s="10">
        <f>IF(OR(O162="",$D162=""),"",O162*(1-P162/100)-$D162-IF(O162&lt;=199.99,Kargo!$E$2,IF(O162&lt;=399.99,Kargo!$E$3,$F162)))</f>
        <v/>
      </c>
      <c r="R162" s="12">
        <f>IF(Q162="","",Q162/O162)</f>
        <v/>
      </c>
      <c r="S162" s="10">
        <f>IF($B162="","",IF('Komisyon Tarifeleri'!N162="","",'Komisyon Tarifeleri'!N162))</f>
        <v/>
      </c>
      <c r="T162" s="11">
        <f>IF(S162="","",IF($AM$1=2,'Komisyon Tarifeleri'!X162,'Komisyon Tarifeleri'!S162))</f>
        <v/>
      </c>
      <c r="U162" s="10">
        <f>IF(OR(S162="",$D162=""),"",S162*(1-T162/100)-$D162-IF(S162&lt;=199.99,Kargo!$E$2,IF(S162&lt;=399.99,Kargo!$E$3,$F162)))</f>
        <v/>
      </c>
      <c r="V162" s="12">
        <f>IF(U162="","",U162/S162)</f>
        <v/>
      </c>
      <c r="W162" s="12">
        <f>IF($B162="","",IFERROR(VLOOKUP($C162,Hedefler!$A:$C,2,FALSE),0.04))</f>
        <v/>
      </c>
      <c r="X162" s="12">
        <f>IF($B162="","",IFERROR(VLOOKUP($C162,Hedefler!$A:$C,3,FALSE),0.1))</f>
        <v/>
      </c>
      <c r="Y162" s="13">
        <f>IF($B162="","",IFERROR(VLOOKUP($B162,Maliyetler!$A:$E,5,FALSE),""))</f>
        <v/>
      </c>
      <c r="Z162" s="13">
        <f>IF(OR(Y162="",Y162=0),"",Y162-1)</f>
        <v/>
      </c>
      <c r="AA162" s="14">
        <f>IF(Z162="","",IF(Z162&gt;='Komisyon Tarifeleri'!I162,IF($AM$1=2,'Komisyon Tarifeleri'!U162,'Komisyon Tarifeleri'!P162),IF(Z162&gt;='Komisyon Tarifeleri'!K162,IF($AM$1=2,'Komisyon Tarifeleri'!V162,'Komisyon Tarifeleri'!Q162),IF(Z162&gt;='Komisyon Tarifeleri'!M162,IF($AM$1=2,'Komisyon Tarifeleri'!W162,'Komisyon Tarifeleri'!R162),IF($AM$1=2,'Komisyon Tarifeleri'!X162,'Komisyon Tarifeleri'!S162)))))</f>
        <v/>
      </c>
      <c r="AB162" s="13">
        <f>IF(OR(AA162="",$D162=""),"",Z162*(1-AA162/100)-$D162-IF(Z162&lt;=199.99,Kargo!$E$2,IF(Z162&lt;=399.99,Kargo!$E$3,$F162)))</f>
        <v/>
      </c>
      <c r="AC162" s="15">
        <f>IF(AB162="","",AB162/Z162)</f>
        <v/>
      </c>
      <c r="AD162" s="10">
        <f>IF(OR($D162="",$B162=""),"",IF(AND((1-T162/100-W162)&gt;0,CEILING(($D162+$F162)/(1-T162/100-W162),1)&lt;='Komisyon Tarifeleri'!N162),CEILING(($D162+$F162)/(1-T162/100-W162),1),IF(AND((1-P162/100-W162)&gt;0,CEILING(MAX('Komisyon Tarifeleri'!M162,($D162+$F162)/(1-P162/100-W162)),1)&lt;='Komisyon Tarifeleri'!L162),CEILING(MAX('Komisyon Tarifeleri'!M162,($D162+$F162)/(1-P162/100-W162)),1),IF(AND((1-L162/100-W162)&gt;0,CEILING(MAX('Komisyon Tarifeleri'!K162,($D162+$F162)/(1-L162/100-W162)),1)&lt;='Komisyon Tarifeleri'!J162),CEILING(MAX('Komisyon Tarifeleri'!K162,($D162+$F162)/(1-L162/100-W162)),1),IF((1-H162/100-W162)&gt;0,CEILING(MAX('Komisyon Tarifeleri'!I162,($D162+$F162)/(1-H162/100-W162)),1),"İMKÂNSIZ")))))</f>
        <v/>
      </c>
      <c r="AE162" s="10">
        <f>IF(OR($D162="",$B162=""),"",IF(AND((1-T162/100-X162)&gt;0,CEILING(($D162+$F162)/(1-T162/100-X162),1)&lt;='Komisyon Tarifeleri'!N162),CEILING(($D162+$F162)/(1-T162/100-X162),1),IF(AND((1-P162/100-X162)&gt;0,CEILING(MAX('Komisyon Tarifeleri'!M162,($D162+$F162)/(1-P162/100-X162)),1)&lt;='Komisyon Tarifeleri'!L162),CEILING(MAX('Komisyon Tarifeleri'!M162,($D162+$F162)/(1-P162/100-X162)),1),IF(AND((1-L162/100-X162)&gt;0,CEILING(MAX('Komisyon Tarifeleri'!K162,($D162+$F162)/(1-L162/100-X162)),1)&lt;='Komisyon Tarifeleri'!J162),CEILING(MAX('Komisyon Tarifeleri'!K162,($D162+$F162)/(1-L162/100-X162)),1),IF((1-H162/100-X162)&gt;0,CEILING(MAX('Komisyon Tarifeleri'!I162,($D162+$F162)/(1-H162/100-X162)),1),"İMKÂNSIZ")))))</f>
        <v/>
      </c>
      <c r="AF162" s="16">
        <f>IF($D162="","",IF(AND(Y162&lt;&gt;"",AC162&lt;&gt;"",AC162&gt;=W162),Z162,IF(Y162&lt;&gt;"",AD162,AE162)))</f>
        <v/>
      </c>
      <c r="AG162" s="16">
        <f>IF(OR(AF162="",AF162="İMKÂNSIZ"),"",AF162*(1-IF(AF162&gt;='Komisyon Tarifeleri'!I162,IF($AM$1=2,'Komisyon Tarifeleri'!U162,'Komisyon Tarifeleri'!P162),IF(AF162&gt;='Komisyon Tarifeleri'!K162,IF($AM$1=2,'Komisyon Tarifeleri'!V162,'Komisyon Tarifeleri'!Q162),IF(AF162&gt;='Komisyon Tarifeleri'!M162,IF($AM$1=2,'Komisyon Tarifeleri'!W162,'Komisyon Tarifeleri'!R162),IF($AM$1=2,'Komisyon Tarifeleri'!X162,'Komisyon Tarifeleri'!S162))))/100)-$D162-IF(AF162&lt;=199.99,Kargo!$E$2,IF(AF162&lt;=399.99,Kargo!$E$3,$F162)))</f>
        <v/>
      </c>
      <c r="AH162" s="17">
        <f>IF(AG162="","",AG162/AF162)</f>
        <v/>
      </c>
      <c r="AI162" s="18">
        <f>IF($D162="","",IF(Y162="","BUYBOX YOK → hedef kârla min fiyat",IF(AC162&gt;=W162,"✓ BUYBOX ALTINA GİR","BUYBOX ALTI KÂRSIZ → min kârlı fiyat")))</f>
        <v/>
      </c>
      <c r="AJ162" s="10">
        <f>IF($B162="","",IFERROR(VLOOKUP($B162,Maliyetler!$A:$G,6,FALSE),""))</f>
        <v/>
      </c>
      <c r="AK162">
        <f>IF($B162="","",IFERROR(VLOOKUP($B162,Maliyetler!$A:$G,7,FALSE),""))</f>
        <v/>
      </c>
      <c r="AO162" s="21">
        <f>IF($B162="","",IFERROR(VLOOKUP($B162&amp;"",'Plus Tarifeleri'!$C:$Q,11,FALSE),""))</f>
        <v/>
      </c>
      <c r="AP162" s="22">
        <f>IF(AO162="","",IFERROR(IF($AM$1=2,VLOOKUP($B162&amp;"",'Plus Tarifeleri'!$C:$Q,15,FALSE),VLOOKUP($B162&amp;"",'Plus Tarifeleri'!$C:$Q,13,FALSE)),""))</f>
        <v/>
      </c>
      <c r="AQ162" s="21">
        <f>IF(OR(AO162="",AP162="",$D162=""),"",AO162*(1-AP162/100)-$D162-IF(AO162&lt;=199.99,Kargo!$E$2,IF(AO162&lt;=399.99,Kargo!$E$3,$F162)))</f>
        <v/>
      </c>
      <c r="AR162" s="23">
        <f>IF(AQ162="","",AQ162/AO162)</f>
        <v/>
      </c>
      <c r="AS162" s="24">
        <f>IF(OR(AQ162="",AG162=""),"",AQ162-AG162)</f>
        <v/>
      </c>
    </row>
    <row r="163">
      <c r="A163">
        <f>IF('Komisyon Tarifeleri'!A163="","",'Komisyon Tarifeleri'!A163)</f>
        <v/>
      </c>
      <c r="B163">
        <f>IF('Komisyon Tarifeleri'!B163="","",'Komisyon Tarifeleri'!B163&amp;"")</f>
        <v/>
      </c>
      <c r="C163">
        <f>IF($B163="","",'Komisyon Tarifeleri'!F163)</f>
        <v/>
      </c>
      <c r="D163" s="10">
        <f>IF($B163="","",IFERROR(VLOOKUP($B163,Maliyetler!$A:$E,3,FALSE),""))</f>
        <v/>
      </c>
      <c r="E163">
        <f>IF($B163="","",IFERROR(VLOOKUP($B163,Maliyetler!$A:$E,4,FALSE),1))</f>
        <v/>
      </c>
      <c r="F163" s="10">
        <f>IF($B163="","",IFERROR(VLOOKUP(MIN(20,MAX(1,ROUND($E163,0))),Kargo!$A:$B,2,FALSE),99.46))</f>
        <v/>
      </c>
      <c r="G163" s="10">
        <f>IF($B163="","",IF(IF(N('Komisyon Tarifeleri'!AA163)&gt;='Komisyon Tarifeleri'!I163,'Komisyon Tarifeleri'!AA163,'Komisyon Tarifeleri'!I163)="","",IF(N('Komisyon Tarifeleri'!AA163)&gt;='Komisyon Tarifeleri'!I163,'Komisyon Tarifeleri'!AA163,'Komisyon Tarifeleri'!I163)))</f>
        <v/>
      </c>
      <c r="H163" s="11">
        <f>IF(G163="","",IF($AM$1=2,'Komisyon Tarifeleri'!U163,'Komisyon Tarifeleri'!P163))</f>
        <v/>
      </c>
      <c r="I163" s="10">
        <f>IF(OR(G163="",$D163=""),"",G163*(1-H163/100)-$D163-IF(G163&lt;=199.99,Kargo!$E$2,IF(G163&lt;=399.99,Kargo!$E$3,$F163)))</f>
        <v/>
      </c>
      <c r="J163" s="12">
        <f>IF(I163="","",I163/G163)</f>
        <v/>
      </c>
      <c r="K163" s="10">
        <f>IF($B163="","",IF('Komisyon Tarifeleri'!J163="","",'Komisyon Tarifeleri'!J163))</f>
        <v/>
      </c>
      <c r="L163" s="11">
        <f>IF(K163="","",IF($AM$1=2,'Komisyon Tarifeleri'!V163,'Komisyon Tarifeleri'!Q163))</f>
        <v/>
      </c>
      <c r="M163" s="10">
        <f>IF(OR(K163="",$D163=""),"",K163*(1-L163/100)-$D163-IF(K163&lt;=199.99,Kargo!$E$2,IF(K163&lt;=399.99,Kargo!$E$3,$F163)))</f>
        <v/>
      </c>
      <c r="N163" s="12">
        <f>IF(M163="","",M163/K163)</f>
        <v/>
      </c>
      <c r="O163" s="10">
        <f>IF($B163="","",IF('Komisyon Tarifeleri'!L163="","",'Komisyon Tarifeleri'!L163))</f>
        <v/>
      </c>
      <c r="P163" s="11">
        <f>IF(O163="","",IF($AM$1=2,'Komisyon Tarifeleri'!W163,'Komisyon Tarifeleri'!R163))</f>
        <v/>
      </c>
      <c r="Q163" s="10">
        <f>IF(OR(O163="",$D163=""),"",O163*(1-P163/100)-$D163-IF(O163&lt;=199.99,Kargo!$E$2,IF(O163&lt;=399.99,Kargo!$E$3,$F163)))</f>
        <v/>
      </c>
      <c r="R163" s="12">
        <f>IF(Q163="","",Q163/O163)</f>
        <v/>
      </c>
      <c r="S163" s="10">
        <f>IF($B163="","",IF('Komisyon Tarifeleri'!N163="","",'Komisyon Tarifeleri'!N163))</f>
        <v/>
      </c>
      <c r="T163" s="11">
        <f>IF(S163="","",IF($AM$1=2,'Komisyon Tarifeleri'!X163,'Komisyon Tarifeleri'!S163))</f>
        <v/>
      </c>
      <c r="U163" s="10">
        <f>IF(OR(S163="",$D163=""),"",S163*(1-T163/100)-$D163-IF(S163&lt;=199.99,Kargo!$E$2,IF(S163&lt;=399.99,Kargo!$E$3,$F163)))</f>
        <v/>
      </c>
      <c r="V163" s="12">
        <f>IF(U163="","",U163/S163)</f>
        <v/>
      </c>
      <c r="W163" s="12">
        <f>IF($B163="","",IFERROR(VLOOKUP($C163,Hedefler!$A:$C,2,FALSE),0.04))</f>
        <v/>
      </c>
      <c r="X163" s="12">
        <f>IF($B163="","",IFERROR(VLOOKUP($C163,Hedefler!$A:$C,3,FALSE),0.1))</f>
        <v/>
      </c>
      <c r="Y163" s="13">
        <f>IF($B163="","",IFERROR(VLOOKUP($B163,Maliyetler!$A:$E,5,FALSE),""))</f>
        <v/>
      </c>
      <c r="Z163" s="13">
        <f>IF(OR(Y163="",Y163=0),"",Y163-1)</f>
        <v/>
      </c>
      <c r="AA163" s="14">
        <f>IF(Z163="","",IF(Z163&gt;='Komisyon Tarifeleri'!I163,IF($AM$1=2,'Komisyon Tarifeleri'!U163,'Komisyon Tarifeleri'!P163),IF(Z163&gt;='Komisyon Tarifeleri'!K163,IF($AM$1=2,'Komisyon Tarifeleri'!V163,'Komisyon Tarifeleri'!Q163),IF(Z163&gt;='Komisyon Tarifeleri'!M163,IF($AM$1=2,'Komisyon Tarifeleri'!W163,'Komisyon Tarifeleri'!R163),IF($AM$1=2,'Komisyon Tarifeleri'!X163,'Komisyon Tarifeleri'!S163)))))</f>
        <v/>
      </c>
      <c r="AB163" s="13">
        <f>IF(OR(AA163="",$D163=""),"",Z163*(1-AA163/100)-$D163-IF(Z163&lt;=199.99,Kargo!$E$2,IF(Z163&lt;=399.99,Kargo!$E$3,$F163)))</f>
        <v/>
      </c>
      <c r="AC163" s="15">
        <f>IF(AB163="","",AB163/Z163)</f>
        <v/>
      </c>
      <c r="AD163" s="10">
        <f>IF(OR($D163="",$B163=""),"",IF(AND((1-T163/100-W163)&gt;0,CEILING(($D163+$F163)/(1-T163/100-W163),1)&lt;='Komisyon Tarifeleri'!N163),CEILING(($D163+$F163)/(1-T163/100-W163),1),IF(AND((1-P163/100-W163)&gt;0,CEILING(MAX('Komisyon Tarifeleri'!M163,($D163+$F163)/(1-P163/100-W163)),1)&lt;='Komisyon Tarifeleri'!L163),CEILING(MAX('Komisyon Tarifeleri'!M163,($D163+$F163)/(1-P163/100-W163)),1),IF(AND((1-L163/100-W163)&gt;0,CEILING(MAX('Komisyon Tarifeleri'!K163,($D163+$F163)/(1-L163/100-W163)),1)&lt;='Komisyon Tarifeleri'!J163),CEILING(MAX('Komisyon Tarifeleri'!K163,($D163+$F163)/(1-L163/100-W163)),1),IF((1-H163/100-W163)&gt;0,CEILING(MAX('Komisyon Tarifeleri'!I163,($D163+$F163)/(1-H163/100-W163)),1),"İMKÂNSIZ")))))</f>
        <v/>
      </c>
      <c r="AE163" s="10">
        <f>IF(OR($D163="",$B163=""),"",IF(AND((1-T163/100-X163)&gt;0,CEILING(($D163+$F163)/(1-T163/100-X163),1)&lt;='Komisyon Tarifeleri'!N163),CEILING(($D163+$F163)/(1-T163/100-X163),1),IF(AND((1-P163/100-X163)&gt;0,CEILING(MAX('Komisyon Tarifeleri'!M163,($D163+$F163)/(1-P163/100-X163)),1)&lt;='Komisyon Tarifeleri'!L163),CEILING(MAX('Komisyon Tarifeleri'!M163,($D163+$F163)/(1-P163/100-X163)),1),IF(AND((1-L163/100-X163)&gt;0,CEILING(MAX('Komisyon Tarifeleri'!K163,($D163+$F163)/(1-L163/100-X163)),1)&lt;='Komisyon Tarifeleri'!J163),CEILING(MAX('Komisyon Tarifeleri'!K163,($D163+$F163)/(1-L163/100-X163)),1),IF((1-H163/100-X163)&gt;0,CEILING(MAX('Komisyon Tarifeleri'!I163,($D163+$F163)/(1-H163/100-X163)),1),"İMKÂNSIZ")))))</f>
        <v/>
      </c>
      <c r="AF163" s="16">
        <f>IF($D163="","",IF(AND(Y163&lt;&gt;"",AC163&lt;&gt;"",AC163&gt;=W163),Z163,IF(Y163&lt;&gt;"",AD163,AE163)))</f>
        <v/>
      </c>
      <c r="AG163" s="16">
        <f>IF(OR(AF163="",AF163="İMKÂNSIZ"),"",AF163*(1-IF(AF163&gt;='Komisyon Tarifeleri'!I163,IF($AM$1=2,'Komisyon Tarifeleri'!U163,'Komisyon Tarifeleri'!P163),IF(AF163&gt;='Komisyon Tarifeleri'!K163,IF($AM$1=2,'Komisyon Tarifeleri'!V163,'Komisyon Tarifeleri'!Q163),IF(AF163&gt;='Komisyon Tarifeleri'!M163,IF($AM$1=2,'Komisyon Tarifeleri'!W163,'Komisyon Tarifeleri'!R163),IF($AM$1=2,'Komisyon Tarifeleri'!X163,'Komisyon Tarifeleri'!S163))))/100)-$D163-IF(AF163&lt;=199.99,Kargo!$E$2,IF(AF163&lt;=399.99,Kargo!$E$3,$F163)))</f>
        <v/>
      </c>
      <c r="AH163" s="17">
        <f>IF(AG163="","",AG163/AF163)</f>
        <v/>
      </c>
      <c r="AI163" s="18">
        <f>IF($D163="","",IF(Y163="","BUYBOX YOK → hedef kârla min fiyat",IF(AC163&gt;=W163,"✓ BUYBOX ALTINA GİR","BUYBOX ALTI KÂRSIZ → min kârlı fiyat")))</f>
        <v/>
      </c>
      <c r="AJ163" s="10">
        <f>IF($B163="","",IFERROR(VLOOKUP($B163,Maliyetler!$A:$G,6,FALSE),""))</f>
        <v/>
      </c>
      <c r="AK163">
        <f>IF($B163="","",IFERROR(VLOOKUP($B163,Maliyetler!$A:$G,7,FALSE),""))</f>
        <v/>
      </c>
      <c r="AO163" s="21">
        <f>IF($B163="","",IFERROR(VLOOKUP($B163&amp;"",'Plus Tarifeleri'!$C:$Q,11,FALSE),""))</f>
        <v/>
      </c>
      <c r="AP163" s="22">
        <f>IF(AO163="","",IFERROR(IF($AM$1=2,VLOOKUP($B163&amp;"",'Plus Tarifeleri'!$C:$Q,15,FALSE),VLOOKUP($B163&amp;"",'Plus Tarifeleri'!$C:$Q,13,FALSE)),""))</f>
        <v/>
      </c>
      <c r="AQ163" s="21">
        <f>IF(OR(AO163="",AP163="",$D163=""),"",AO163*(1-AP163/100)-$D163-IF(AO163&lt;=199.99,Kargo!$E$2,IF(AO163&lt;=399.99,Kargo!$E$3,$F163)))</f>
        <v/>
      </c>
      <c r="AR163" s="23">
        <f>IF(AQ163="","",AQ163/AO163)</f>
        <v/>
      </c>
      <c r="AS163" s="24">
        <f>IF(OR(AQ163="",AG163=""),"",AQ163-AG163)</f>
        <v/>
      </c>
    </row>
    <row r="164">
      <c r="A164">
        <f>IF('Komisyon Tarifeleri'!A164="","",'Komisyon Tarifeleri'!A164)</f>
        <v/>
      </c>
      <c r="B164">
        <f>IF('Komisyon Tarifeleri'!B164="","",'Komisyon Tarifeleri'!B164&amp;"")</f>
        <v/>
      </c>
      <c r="C164">
        <f>IF($B164="","",'Komisyon Tarifeleri'!F164)</f>
        <v/>
      </c>
      <c r="D164" s="10">
        <f>IF($B164="","",IFERROR(VLOOKUP($B164,Maliyetler!$A:$E,3,FALSE),""))</f>
        <v/>
      </c>
      <c r="E164">
        <f>IF($B164="","",IFERROR(VLOOKUP($B164,Maliyetler!$A:$E,4,FALSE),1))</f>
        <v/>
      </c>
      <c r="F164" s="10">
        <f>IF($B164="","",IFERROR(VLOOKUP(MIN(20,MAX(1,ROUND($E164,0))),Kargo!$A:$B,2,FALSE),99.46))</f>
        <v/>
      </c>
      <c r="G164" s="10">
        <f>IF($B164="","",IF(IF(N('Komisyon Tarifeleri'!AA164)&gt;='Komisyon Tarifeleri'!I164,'Komisyon Tarifeleri'!AA164,'Komisyon Tarifeleri'!I164)="","",IF(N('Komisyon Tarifeleri'!AA164)&gt;='Komisyon Tarifeleri'!I164,'Komisyon Tarifeleri'!AA164,'Komisyon Tarifeleri'!I164)))</f>
        <v/>
      </c>
      <c r="H164" s="11">
        <f>IF(G164="","",IF($AM$1=2,'Komisyon Tarifeleri'!U164,'Komisyon Tarifeleri'!P164))</f>
        <v/>
      </c>
      <c r="I164" s="10">
        <f>IF(OR(G164="",$D164=""),"",G164*(1-H164/100)-$D164-IF(G164&lt;=199.99,Kargo!$E$2,IF(G164&lt;=399.99,Kargo!$E$3,$F164)))</f>
        <v/>
      </c>
      <c r="J164" s="12">
        <f>IF(I164="","",I164/G164)</f>
        <v/>
      </c>
      <c r="K164" s="10">
        <f>IF($B164="","",IF('Komisyon Tarifeleri'!J164="","",'Komisyon Tarifeleri'!J164))</f>
        <v/>
      </c>
      <c r="L164" s="11">
        <f>IF(K164="","",IF($AM$1=2,'Komisyon Tarifeleri'!V164,'Komisyon Tarifeleri'!Q164))</f>
        <v/>
      </c>
      <c r="M164" s="10">
        <f>IF(OR(K164="",$D164=""),"",K164*(1-L164/100)-$D164-IF(K164&lt;=199.99,Kargo!$E$2,IF(K164&lt;=399.99,Kargo!$E$3,$F164)))</f>
        <v/>
      </c>
      <c r="N164" s="12">
        <f>IF(M164="","",M164/K164)</f>
        <v/>
      </c>
      <c r="O164" s="10">
        <f>IF($B164="","",IF('Komisyon Tarifeleri'!L164="","",'Komisyon Tarifeleri'!L164))</f>
        <v/>
      </c>
      <c r="P164" s="11">
        <f>IF(O164="","",IF($AM$1=2,'Komisyon Tarifeleri'!W164,'Komisyon Tarifeleri'!R164))</f>
        <v/>
      </c>
      <c r="Q164" s="10">
        <f>IF(OR(O164="",$D164=""),"",O164*(1-P164/100)-$D164-IF(O164&lt;=199.99,Kargo!$E$2,IF(O164&lt;=399.99,Kargo!$E$3,$F164)))</f>
        <v/>
      </c>
      <c r="R164" s="12">
        <f>IF(Q164="","",Q164/O164)</f>
        <v/>
      </c>
      <c r="S164" s="10">
        <f>IF($B164="","",IF('Komisyon Tarifeleri'!N164="","",'Komisyon Tarifeleri'!N164))</f>
        <v/>
      </c>
      <c r="T164" s="11">
        <f>IF(S164="","",IF($AM$1=2,'Komisyon Tarifeleri'!X164,'Komisyon Tarifeleri'!S164))</f>
        <v/>
      </c>
      <c r="U164" s="10">
        <f>IF(OR(S164="",$D164=""),"",S164*(1-T164/100)-$D164-IF(S164&lt;=199.99,Kargo!$E$2,IF(S164&lt;=399.99,Kargo!$E$3,$F164)))</f>
        <v/>
      </c>
      <c r="V164" s="12">
        <f>IF(U164="","",U164/S164)</f>
        <v/>
      </c>
      <c r="W164" s="12">
        <f>IF($B164="","",IFERROR(VLOOKUP($C164,Hedefler!$A:$C,2,FALSE),0.04))</f>
        <v/>
      </c>
      <c r="X164" s="12">
        <f>IF($B164="","",IFERROR(VLOOKUP($C164,Hedefler!$A:$C,3,FALSE),0.1))</f>
        <v/>
      </c>
      <c r="Y164" s="13">
        <f>IF($B164="","",IFERROR(VLOOKUP($B164,Maliyetler!$A:$E,5,FALSE),""))</f>
        <v/>
      </c>
      <c r="Z164" s="13">
        <f>IF(OR(Y164="",Y164=0),"",Y164-1)</f>
        <v/>
      </c>
      <c r="AA164" s="14">
        <f>IF(Z164="","",IF(Z164&gt;='Komisyon Tarifeleri'!I164,IF($AM$1=2,'Komisyon Tarifeleri'!U164,'Komisyon Tarifeleri'!P164),IF(Z164&gt;='Komisyon Tarifeleri'!K164,IF($AM$1=2,'Komisyon Tarifeleri'!V164,'Komisyon Tarifeleri'!Q164),IF(Z164&gt;='Komisyon Tarifeleri'!M164,IF($AM$1=2,'Komisyon Tarifeleri'!W164,'Komisyon Tarifeleri'!R164),IF($AM$1=2,'Komisyon Tarifeleri'!X164,'Komisyon Tarifeleri'!S164)))))</f>
        <v/>
      </c>
      <c r="AB164" s="13">
        <f>IF(OR(AA164="",$D164=""),"",Z164*(1-AA164/100)-$D164-IF(Z164&lt;=199.99,Kargo!$E$2,IF(Z164&lt;=399.99,Kargo!$E$3,$F164)))</f>
        <v/>
      </c>
      <c r="AC164" s="15">
        <f>IF(AB164="","",AB164/Z164)</f>
        <v/>
      </c>
      <c r="AD164" s="10">
        <f>IF(OR($D164="",$B164=""),"",IF(AND((1-T164/100-W164)&gt;0,CEILING(($D164+$F164)/(1-T164/100-W164),1)&lt;='Komisyon Tarifeleri'!N164),CEILING(($D164+$F164)/(1-T164/100-W164),1),IF(AND((1-P164/100-W164)&gt;0,CEILING(MAX('Komisyon Tarifeleri'!M164,($D164+$F164)/(1-P164/100-W164)),1)&lt;='Komisyon Tarifeleri'!L164),CEILING(MAX('Komisyon Tarifeleri'!M164,($D164+$F164)/(1-P164/100-W164)),1),IF(AND((1-L164/100-W164)&gt;0,CEILING(MAX('Komisyon Tarifeleri'!K164,($D164+$F164)/(1-L164/100-W164)),1)&lt;='Komisyon Tarifeleri'!J164),CEILING(MAX('Komisyon Tarifeleri'!K164,($D164+$F164)/(1-L164/100-W164)),1),IF((1-H164/100-W164)&gt;0,CEILING(MAX('Komisyon Tarifeleri'!I164,($D164+$F164)/(1-H164/100-W164)),1),"İMKÂNSIZ")))))</f>
        <v/>
      </c>
      <c r="AE164" s="10">
        <f>IF(OR($D164="",$B164=""),"",IF(AND((1-T164/100-X164)&gt;0,CEILING(($D164+$F164)/(1-T164/100-X164),1)&lt;='Komisyon Tarifeleri'!N164),CEILING(($D164+$F164)/(1-T164/100-X164),1),IF(AND((1-P164/100-X164)&gt;0,CEILING(MAX('Komisyon Tarifeleri'!M164,($D164+$F164)/(1-P164/100-X164)),1)&lt;='Komisyon Tarifeleri'!L164),CEILING(MAX('Komisyon Tarifeleri'!M164,($D164+$F164)/(1-P164/100-X164)),1),IF(AND((1-L164/100-X164)&gt;0,CEILING(MAX('Komisyon Tarifeleri'!K164,($D164+$F164)/(1-L164/100-X164)),1)&lt;='Komisyon Tarifeleri'!J164),CEILING(MAX('Komisyon Tarifeleri'!K164,($D164+$F164)/(1-L164/100-X164)),1),IF((1-H164/100-X164)&gt;0,CEILING(MAX('Komisyon Tarifeleri'!I164,($D164+$F164)/(1-H164/100-X164)),1),"İMKÂNSIZ")))))</f>
        <v/>
      </c>
      <c r="AF164" s="16">
        <f>IF($D164="","",IF(AND(Y164&lt;&gt;"",AC164&lt;&gt;"",AC164&gt;=W164),Z164,IF(Y164&lt;&gt;"",AD164,AE164)))</f>
        <v/>
      </c>
      <c r="AG164" s="16">
        <f>IF(OR(AF164="",AF164="İMKÂNSIZ"),"",AF164*(1-IF(AF164&gt;='Komisyon Tarifeleri'!I164,IF($AM$1=2,'Komisyon Tarifeleri'!U164,'Komisyon Tarifeleri'!P164),IF(AF164&gt;='Komisyon Tarifeleri'!K164,IF($AM$1=2,'Komisyon Tarifeleri'!V164,'Komisyon Tarifeleri'!Q164),IF(AF164&gt;='Komisyon Tarifeleri'!M164,IF($AM$1=2,'Komisyon Tarifeleri'!W164,'Komisyon Tarifeleri'!R164),IF($AM$1=2,'Komisyon Tarifeleri'!X164,'Komisyon Tarifeleri'!S164))))/100)-$D164-IF(AF164&lt;=199.99,Kargo!$E$2,IF(AF164&lt;=399.99,Kargo!$E$3,$F164)))</f>
        <v/>
      </c>
      <c r="AH164" s="17">
        <f>IF(AG164="","",AG164/AF164)</f>
        <v/>
      </c>
      <c r="AI164" s="18">
        <f>IF($D164="","",IF(Y164="","BUYBOX YOK → hedef kârla min fiyat",IF(AC164&gt;=W164,"✓ BUYBOX ALTINA GİR","BUYBOX ALTI KÂRSIZ → min kârlı fiyat")))</f>
        <v/>
      </c>
      <c r="AJ164" s="10">
        <f>IF($B164="","",IFERROR(VLOOKUP($B164,Maliyetler!$A:$G,6,FALSE),""))</f>
        <v/>
      </c>
      <c r="AK164">
        <f>IF($B164="","",IFERROR(VLOOKUP($B164,Maliyetler!$A:$G,7,FALSE),""))</f>
        <v/>
      </c>
      <c r="AO164" s="21">
        <f>IF($B164="","",IFERROR(VLOOKUP($B164&amp;"",'Plus Tarifeleri'!$C:$Q,11,FALSE),""))</f>
        <v/>
      </c>
      <c r="AP164" s="22">
        <f>IF(AO164="","",IFERROR(IF($AM$1=2,VLOOKUP($B164&amp;"",'Plus Tarifeleri'!$C:$Q,15,FALSE),VLOOKUP($B164&amp;"",'Plus Tarifeleri'!$C:$Q,13,FALSE)),""))</f>
        <v/>
      </c>
      <c r="AQ164" s="21">
        <f>IF(OR(AO164="",AP164="",$D164=""),"",AO164*(1-AP164/100)-$D164-IF(AO164&lt;=199.99,Kargo!$E$2,IF(AO164&lt;=399.99,Kargo!$E$3,$F164)))</f>
        <v/>
      </c>
      <c r="AR164" s="23">
        <f>IF(AQ164="","",AQ164/AO164)</f>
        <v/>
      </c>
      <c r="AS164" s="24">
        <f>IF(OR(AQ164="",AG164=""),"",AQ164-AG164)</f>
        <v/>
      </c>
    </row>
    <row r="165">
      <c r="A165">
        <f>IF('Komisyon Tarifeleri'!A165="","",'Komisyon Tarifeleri'!A165)</f>
        <v/>
      </c>
      <c r="B165">
        <f>IF('Komisyon Tarifeleri'!B165="","",'Komisyon Tarifeleri'!B165&amp;"")</f>
        <v/>
      </c>
      <c r="C165">
        <f>IF($B165="","",'Komisyon Tarifeleri'!F165)</f>
        <v/>
      </c>
      <c r="D165" s="10">
        <f>IF($B165="","",IFERROR(VLOOKUP($B165,Maliyetler!$A:$E,3,FALSE),""))</f>
        <v/>
      </c>
      <c r="E165">
        <f>IF($B165="","",IFERROR(VLOOKUP($B165,Maliyetler!$A:$E,4,FALSE),1))</f>
        <v/>
      </c>
      <c r="F165" s="10">
        <f>IF($B165="","",IFERROR(VLOOKUP(MIN(20,MAX(1,ROUND($E165,0))),Kargo!$A:$B,2,FALSE),99.46))</f>
        <v/>
      </c>
      <c r="G165" s="10">
        <f>IF($B165="","",IF(IF(N('Komisyon Tarifeleri'!AA165)&gt;='Komisyon Tarifeleri'!I165,'Komisyon Tarifeleri'!AA165,'Komisyon Tarifeleri'!I165)="","",IF(N('Komisyon Tarifeleri'!AA165)&gt;='Komisyon Tarifeleri'!I165,'Komisyon Tarifeleri'!AA165,'Komisyon Tarifeleri'!I165)))</f>
        <v/>
      </c>
      <c r="H165" s="11">
        <f>IF(G165="","",IF($AM$1=2,'Komisyon Tarifeleri'!U165,'Komisyon Tarifeleri'!P165))</f>
        <v/>
      </c>
      <c r="I165" s="10">
        <f>IF(OR(G165="",$D165=""),"",G165*(1-H165/100)-$D165-IF(G165&lt;=199.99,Kargo!$E$2,IF(G165&lt;=399.99,Kargo!$E$3,$F165)))</f>
        <v/>
      </c>
      <c r="J165" s="12">
        <f>IF(I165="","",I165/G165)</f>
        <v/>
      </c>
      <c r="K165" s="10">
        <f>IF($B165="","",IF('Komisyon Tarifeleri'!J165="","",'Komisyon Tarifeleri'!J165))</f>
        <v/>
      </c>
      <c r="L165" s="11">
        <f>IF(K165="","",IF($AM$1=2,'Komisyon Tarifeleri'!V165,'Komisyon Tarifeleri'!Q165))</f>
        <v/>
      </c>
      <c r="M165" s="10">
        <f>IF(OR(K165="",$D165=""),"",K165*(1-L165/100)-$D165-IF(K165&lt;=199.99,Kargo!$E$2,IF(K165&lt;=399.99,Kargo!$E$3,$F165)))</f>
        <v/>
      </c>
      <c r="N165" s="12">
        <f>IF(M165="","",M165/K165)</f>
        <v/>
      </c>
      <c r="O165" s="10">
        <f>IF($B165="","",IF('Komisyon Tarifeleri'!L165="","",'Komisyon Tarifeleri'!L165))</f>
        <v/>
      </c>
      <c r="P165" s="11">
        <f>IF(O165="","",IF($AM$1=2,'Komisyon Tarifeleri'!W165,'Komisyon Tarifeleri'!R165))</f>
        <v/>
      </c>
      <c r="Q165" s="10">
        <f>IF(OR(O165="",$D165=""),"",O165*(1-P165/100)-$D165-IF(O165&lt;=199.99,Kargo!$E$2,IF(O165&lt;=399.99,Kargo!$E$3,$F165)))</f>
        <v/>
      </c>
      <c r="R165" s="12">
        <f>IF(Q165="","",Q165/O165)</f>
        <v/>
      </c>
      <c r="S165" s="10">
        <f>IF($B165="","",IF('Komisyon Tarifeleri'!N165="","",'Komisyon Tarifeleri'!N165))</f>
        <v/>
      </c>
      <c r="T165" s="11">
        <f>IF(S165="","",IF($AM$1=2,'Komisyon Tarifeleri'!X165,'Komisyon Tarifeleri'!S165))</f>
        <v/>
      </c>
      <c r="U165" s="10">
        <f>IF(OR(S165="",$D165=""),"",S165*(1-T165/100)-$D165-IF(S165&lt;=199.99,Kargo!$E$2,IF(S165&lt;=399.99,Kargo!$E$3,$F165)))</f>
        <v/>
      </c>
      <c r="V165" s="12">
        <f>IF(U165="","",U165/S165)</f>
        <v/>
      </c>
      <c r="W165" s="12">
        <f>IF($B165="","",IFERROR(VLOOKUP($C165,Hedefler!$A:$C,2,FALSE),0.04))</f>
        <v/>
      </c>
      <c r="X165" s="12">
        <f>IF($B165="","",IFERROR(VLOOKUP($C165,Hedefler!$A:$C,3,FALSE),0.1))</f>
        <v/>
      </c>
      <c r="Y165" s="13">
        <f>IF($B165="","",IFERROR(VLOOKUP($B165,Maliyetler!$A:$E,5,FALSE),""))</f>
        <v/>
      </c>
      <c r="Z165" s="13">
        <f>IF(OR(Y165="",Y165=0),"",Y165-1)</f>
        <v/>
      </c>
      <c r="AA165" s="14">
        <f>IF(Z165="","",IF(Z165&gt;='Komisyon Tarifeleri'!I165,IF($AM$1=2,'Komisyon Tarifeleri'!U165,'Komisyon Tarifeleri'!P165),IF(Z165&gt;='Komisyon Tarifeleri'!K165,IF($AM$1=2,'Komisyon Tarifeleri'!V165,'Komisyon Tarifeleri'!Q165),IF(Z165&gt;='Komisyon Tarifeleri'!M165,IF($AM$1=2,'Komisyon Tarifeleri'!W165,'Komisyon Tarifeleri'!R165),IF($AM$1=2,'Komisyon Tarifeleri'!X165,'Komisyon Tarifeleri'!S165)))))</f>
        <v/>
      </c>
      <c r="AB165" s="13">
        <f>IF(OR(AA165="",$D165=""),"",Z165*(1-AA165/100)-$D165-IF(Z165&lt;=199.99,Kargo!$E$2,IF(Z165&lt;=399.99,Kargo!$E$3,$F165)))</f>
        <v/>
      </c>
      <c r="AC165" s="15">
        <f>IF(AB165="","",AB165/Z165)</f>
        <v/>
      </c>
      <c r="AD165" s="10">
        <f>IF(OR($D165="",$B165=""),"",IF(AND((1-T165/100-W165)&gt;0,CEILING(($D165+$F165)/(1-T165/100-W165),1)&lt;='Komisyon Tarifeleri'!N165),CEILING(($D165+$F165)/(1-T165/100-W165),1),IF(AND((1-P165/100-W165)&gt;0,CEILING(MAX('Komisyon Tarifeleri'!M165,($D165+$F165)/(1-P165/100-W165)),1)&lt;='Komisyon Tarifeleri'!L165),CEILING(MAX('Komisyon Tarifeleri'!M165,($D165+$F165)/(1-P165/100-W165)),1),IF(AND((1-L165/100-W165)&gt;0,CEILING(MAX('Komisyon Tarifeleri'!K165,($D165+$F165)/(1-L165/100-W165)),1)&lt;='Komisyon Tarifeleri'!J165),CEILING(MAX('Komisyon Tarifeleri'!K165,($D165+$F165)/(1-L165/100-W165)),1),IF((1-H165/100-W165)&gt;0,CEILING(MAX('Komisyon Tarifeleri'!I165,($D165+$F165)/(1-H165/100-W165)),1),"İMKÂNSIZ")))))</f>
        <v/>
      </c>
      <c r="AE165" s="10">
        <f>IF(OR($D165="",$B165=""),"",IF(AND((1-T165/100-X165)&gt;0,CEILING(($D165+$F165)/(1-T165/100-X165),1)&lt;='Komisyon Tarifeleri'!N165),CEILING(($D165+$F165)/(1-T165/100-X165),1),IF(AND((1-P165/100-X165)&gt;0,CEILING(MAX('Komisyon Tarifeleri'!M165,($D165+$F165)/(1-P165/100-X165)),1)&lt;='Komisyon Tarifeleri'!L165),CEILING(MAX('Komisyon Tarifeleri'!M165,($D165+$F165)/(1-P165/100-X165)),1),IF(AND((1-L165/100-X165)&gt;0,CEILING(MAX('Komisyon Tarifeleri'!K165,($D165+$F165)/(1-L165/100-X165)),1)&lt;='Komisyon Tarifeleri'!J165),CEILING(MAX('Komisyon Tarifeleri'!K165,($D165+$F165)/(1-L165/100-X165)),1),IF((1-H165/100-X165)&gt;0,CEILING(MAX('Komisyon Tarifeleri'!I165,($D165+$F165)/(1-H165/100-X165)),1),"İMKÂNSIZ")))))</f>
        <v/>
      </c>
      <c r="AF165" s="16">
        <f>IF($D165="","",IF(AND(Y165&lt;&gt;"",AC165&lt;&gt;"",AC165&gt;=W165),Z165,IF(Y165&lt;&gt;"",AD165,AE165)))</f>
        <v/>
      </c>
      <c r="AG165" s="16">
        <f>IF(OR(AF165="",AF165="İMKÂNSIZ"),"",AF165*(1-IF(AF165&gt;='Komisyon Tarifeleri'!I165,IF($AM$1=2,'Komisyon Tarifeleri'!U165,'Komisyon Tarifeleri'!P165),IF(AF165&gt;='Komisyon Tarifeleri'!K165,IF($AM$1=2,'Komisyon Tarifeleri'!V165,'Komisyon Tarifeleri'!Q165),IF(AF165&gt;='Komisyon Tarifeleri'!M165,IF($AM$1=2,'Komisyon Tarifeleri'!W165,'Komisyon Tarifeleri'!R165),IF($AM$1=2,'Komisyon Tarifeleri'!X165,'Komisyon Tarifeleri'!S165))))/100)-$D165-IF(AF165&lt;=199.99,Kargo!$E$2,IF(AF165&lt;=399.99,Kargo!$E$3,$F165)))</f>
        <v/>
      </c>
      <c r="AH165" s="17">
        <f>IF(AG165="","",AG165/AF165)</f>
        <v/>
      </c>
      <c r="AI165" s="18">
        <f>IF($D165="","",IF(Y165="","BUYBOX YOK → hedef kârla min fiyat",IF(AC165&gt;=W165,"✓ BUYBOX ALTINA GİR","BUYBOX ALTI KÂRSIZ → min kârlı fiyat")))</f>
        <v/>
      </c>
      <c r="AJ165" s="10">
        <f>IF($B165="","",IFERROR(VLOOKUP($B165,Maliyetler!$A:$G,6,FALSE),""))</f>
        <v/>
      </c>
      <c r="AK165">
        <f>IF($B165="","",IFERROR(VLOOKUP($B165,Maliyetler!$A:$G,7,FALSE),""))</f>
        <v/>
      </c>
      <c r="AO165" s="21">
        <f>IF($B165="","",IFERROR(VLOOKUP($B165&amp;"",'Plus Tarifeleri'!$C:$Q,11,FALSE),""))</f>
        <v/>
      </c>
      <c r="AP165" s="22">
        <f>IF(AO165="","",IFERROR(IF($AM$1=2,VLOOKUP($B165&amp;"",'Plus Tarifeleri'!$C:$Q,15,FALSE),VLOOKUP($B165&amp;"",'Plus Tarifeleri'!$C:$Q,13,FALSE)),""))</f>
        <v/>
      </c>
      <c r="AQ165" s="21">
        <f>IF(OR(AO165="",AP165="",$D165=""),"",AO165*(1-AP165/100)-$D165-IF(AO165&lt;=199.99,Kargo!$E$2,IF(AO165&lt;=399.99,Kargo!$E$3,$F165)))</f>
        <v/>
      </c>
      <c r="AR165" s="23">
        <f>IF(AQ165="","",AQ165/AO165)</f>
        <v/>
      </c>
      <c r="AS165" s="24">
        <f>IF(OR(AQ165="",AG165=""),"",AQ165-AG165)</f>
        <v/>
      </c>
    </row>
    <row r="166">
      <c r="A166">
        <f>IF('Komisyon Tarifeleri'!A166="","",'Komisyon Tarifeleri'!A166)</f>
        <v/>
      </c>
      <c r="B166">
        <f>IF('Komisyon Tarifeleri'!B166="","",'Komisyon Tarifeleri'!B166&amp;"")</f>
        <v/>
      </c>
      <c r="C166">
        <f>IF($B166="","",'Komisyon Tarifeleri'!F166)</f>
        <v/>
      </c>
      <c r="D166" s="10">
        <f>IF($B166="","",IFERROR(VLOOKUP($B166,Maliyetler!$A:$E,3,FALSE),""))</f>
        <v/>
      </c>
      <c r="E166">
        <f>IF($B166="","",IFERROR(VLOOKUP($B166,Maliyetler!$A:$E,4,FALSE),1))</f>
        <v/>
      </c>
      <c r="F166" s="10">
        <f>IF($B166="","",IFERROR(VLOOKUP(MIN(20,MAX(1,ROUND($E166,0))),Kargo!$A:$B,2,FALSE),99.46))</f>
        <v/>
      </c>
      <c r="G166" s="10">
        <f>IF($B166="","",IF(IF(N('Komisyon Tarifeleri'!AA166)&gt;='Komisyon Tarifeleri'!I166,'Komisyon Tarifeleri'!AA166,'Komisyon Tarifeleri'!I166)="","",IF(N('Komisyon Tarifeleri'!AA166)&gt;='Komisyon Tarifeleri'!I166,'Komisyon Tarifeleri'!AA166,'Komisyon Tarifeleri'!I166)))</f>
        <v/>
      </c>
      <c r="H166" s="11">
        <f>IF(G166="","",IF($AM$1=2,'Komisyon Tarifeleri'!U166,'Komisyon Tarifeleri'!P166))</f>
        <v/>
      </c>
      <c r="I166" s="10">
        <f>IF(OR(G166="",$D166=""),"",G166*(1-H166/100)-$D166-IF(G166&lt;=199.99,Kargo!$E$2,IF(G166&lt;=399.99,Kargo!$E$3,$F166)))</f>
        <v/>
      </c>
      <c r="J166" s="12">
        <f>IF(I166="","",I166/G166)</f>
        <v/>
      </c>
      <c r="K166" s="10">
        <f>IF($B166="","",IF('Komisyon Tarifeleri'!J166="","",'Komisyon Tarifeleri'!J166))</f>
        <v/>
      </c>
      <c r="L166" s="11">
        <f>IF(K166="","",IF($AM$1=2,'Komisyon Tarifeleri'!V166,'Komisyon Tarifeleri'!Q166))</f>
        <v/>
      </c>
      <c r="M166" s="10">
        <f>IF(OR(K166="",$D166=""),"",K166*(1-L166/100)-$D166-IF(K166&lt;=199.99,Kargo!$E$2,IF(K166&lt;=399.99,Kargo!$E$3,$F166)))</f>
        <v/>
      </c>
      <c r="N166" s="12">
        <f>IF(M166="","",M166/K166)</f>
        <v/>
      </c>
      <c r="O166" s="10">
        <f>IF($B166="","",IF('Komisyon Tarifeleri'!L166="","",'Komisyon Tarifeleri'!L166))</f>
        <v/>
      </c>
      <c r="P166" s="11">
        <f>IF(O166="","",IF($AM$1=2,'Komisyon Tarifeleri'!W166,'Komisyon Tarifeleri'!R166))</f>
        <v/>
      </c>
      <c r="Q166" s="10">
        <f>IF(OR(O166="",$D166=""),"",O166*(1-P166/100)-$D166-IF(O166&lt;=199.99,Kargo!$E$2,IF(O166&lt;=399.99,Kargo!$E$3,$F166)))</f>
        <v/>
      </c>
      <c r="R166" s="12">
        <f>IF(Q166="","",Q166/O166)</f>
        <v/>
      </c>
      <c r="S166" s="10">
        <f>IF($B166="","",IF('Komisyon Tarifeleri'!N166="","",'Komisyon Tarifeleri'!N166))</f>
        <v/>
      </c>
      <c r="T166" s="11">
        <f>IF(S166="","",IF($AM$1=2,'Komisyon Tarifeleri'!X166,'Komisyon Tarifeleri'!S166))</f>
        <v/>
      </c>
      <c r="U166" s="10">
        <f>IF(OR(S166="",$D166=""),"",S166*(1-T166/100)-$D166-IF(S166&lt;=199.99,Kargo!$E$2,IF(S166&lt;=399.99,Kargo!$E$3,$F166)))</f>
        <v/>
      </c>
      <c r="V166" s="12">
        <f>IF(U166="","",U166/S166)</f>
        <v/>
      </c>
      <c r="W166" s="12">
        <f>IF($B166="","",IFERROR(VLOOKUP($C166,Hedefler!$A:$C,2,FALSE),0.04))</f>
        <v/>
      </c>
      <c r="X166" s="12">
        <f>IF($B166="","",IFERROR(VLOOKUP($C166,Hedefler!$A:$C,3,FALSE),0.1))</f>
        <v/>
      </c>
      <c r="Y166" s="13">
        <f>IF($B166="","",IFERROR(VLOOKUP($B166,Maliyetler!$A:$E,5,FALSE),""))</f>
        <v/>
      </c>
      <c r="Z166" s="13">
        <f>IF(OR(Y166="",Y166=0),"",Y166-1)</f>
        <v/>
      </c>
      <c r="AA166" s="14">
        <f>IF(Z166="","",IF(Z166&gt;='Komisyon Tarifeleri'!I166,IF($AM$1=2,'Komisyon Tarifeleri'!U166,'Komisyon Tarifeleri'!P166),IF(Z166&gt;='Komisyon Tarifeleri'!K166,IF($AM$1=2,'Komisyon Tarifeleri'!V166,'Komisyon Tarifeleri'!Q166),IF(Z166&gt;='Komisyon Tarifeleri'!M166,IF($AM$1=2,'Komisyon Tarifeleri'!W166,'Komisyon Tarifeleri'!R166),IF($AM$1=2,'Komisyon Tarifeleri'!X166,'Komisyon Tarifeleri'!S166)))))</f>
        <v/>
      </c>
      <c r="AB166" s="13">
        <f>IF(OR(AA166="",$D166=""),"",Z166*(1-AA166/100)-$D166-IF(Z166&lt;=199.99,Kargo!$E$2,IF(Z166&lt;=399.99,Kargo!$E$3,$F166)))</f>
        <v/>
      </c>
      <c r="AC166" s="15">
        <f>IF(AB166="","",AB166/Z166)</f>
        <v/>
      </c>
      <c r="AD166" s="10">
        <f>IF(OR($D166="",$B166=""),"",IF(AND((1-T166/100-W166)&gt;0,CEILING(($D166+$F166)/(1-T166/100-W166),1)&lt;='Komisyon Tarifeleri'!N166),CEILING(($D166+$F166)/(1-T166/100-W166),1),IF(AND((1-P166/100-W166)&gt;0,CEILING(MAX('Komisyon Tarifeleri'!M166,($D166+$F166)/(1-P166/100-W166)),1)&lt;='Komisyon Tarifeleri'!L166),CEILING(MAX('Komisyon Tarifeleri'!M166,($D166+$F166)/(1-P166/100-W166)),1),IF(AND((1-L166/100-W166)&gt;0,CEILING(MAX('Komisyon Tarifeleri'!K166,($D166+$F166)/(1-L166/100-W166)),1)&lt;='Komisyon Tarifeleri'!J166),CEILING(MAX('Komisyon Tarifeleri'!K166,($D166+$F166)/(1-L166/100-W166)),1),IF((1-H166/100-W166)&gt;0,CEILING(MAX('Komisyon Tarifeleri'!I166,($D166+$F166)/(1-H166/100-W166)),1),"İMKÂNSIZ")))))</f>
        <v/>
      </c>
      <c r="AE166" s="10">
        <f>IF(OR($D166="",$B166=""),"",IF(AND((1-T166/100-X166)&gt;0,CEILING(($D166+$F166)/(1-T166/100-X166),1)&lt;='Komisyon Tarifeleri'!N166),CEILING(($D166+$F166)/(1-T166/100-X166),1),IF(AND((1-P166/100-X166)&gt;0,CEILING(MAX('Komisyon Tarifeleri'!M166,($D166+$F166)/(1-P166/100-X166)),1)&lt;='Komisyon Tarifeleri'!L166),CEILING(MAX('Komisyon Tarifeleri'!M166,($D166+$F166)/(1-P166/100-X166)),1),IF(AND((1-L166/100-X166)&gt;0,CEILING(MAX('Komisyon Tarifeleri'!K166,($D166+$F166)/(1-L166/100-X166)),1)&lt;='Komisyon Tarifeleri'!J166),CEILING(MAX('Komisyon Tarifeleri'!K166,($D166+$F166)/(1-L166/100-X166)),1),IF((1-H166/100-X166)&gt;0,CEILING(MAX('Komisyon Tarifeleri'!I166,($D166+$F166)/(1-H166/100-X166)),1),"İMKÂNSIZ")))))</f>
        <v/>
      </c>
      <c r="AF166" s="16">
        <f>IF($D166="","",IF(AND(Y166&lt;&gt;"",AC166&lt;&gt;"",AC166&gt;=W166),Z166,IF(Y166&lt;&gt;"",AD166,AE166)))</f>
        <v/>
      </c>
      <c r="AG166" s="16">
        <f>IF(OR(AF166="",AF166="İMKÂNSIZ"),"",AF166*(1-IF(AF166&gt;='Komisyon Tarifeleri'!I166,IF($AM$1=2,'Komisyon Tarifeleri'!U166,'Komisyon Tarifeleri'!P166),IF(AF166&gt;='Komisyon Tarifeleri'!K166,IF($AM$1=2,'Komisyon Tarifeleri'!V166,'Komisyon Tarifeleri'!Q166),IF(AF166&gt;='Komisyon Tarifeleri'!M166,IF($AM$1=2,'Komisyon Tarifeleri'!W166,'Komisyon Tarifeleri'!R166),IF($AM$1=2,'Komisyon Tarifeleri'!X166,'Komisyon Tarifeleri'!S166))))/100)-$D166-IF(AF166&lt;=199.99,Kargo!$E$2,IF(AF166&lt;=399.99,Kargo!$E$3,$F166)))</f>
        <v/>
      </c>
      <c r="AH166" s="17">
        <f>IF(AG166="","",AG166/AF166)</f>
        <v/>
      </c>
      <c r="AI166" s="18">
        <f>IF($D166="","",IF(Y166="","BUYBOX YOK → hedef kârla min fiyat",IF(AC166&gt;=W166,"✓ BUYBOX ALTINA GİR","BUYBOX ALTI KÂRSIZ → min kârlı fiyat")))</f>
        <v/>
      </c>
      <c r="AJ166" s="10">
        <f>IF($B166="","",IFERROR(VLOOKUP($B166,Maliyetler!$A:$G,6,FALSE),""))</f>
        <v/>
      </c>
      <c r="AK166">
        <f>IF($B166="","",IFERROR(VLOOKUP($B166,Maliyetler!$A:$G,7,FALSE),""))</f>
        <v/>
      </c>
      <c r="AO166" s="21">
        <f>IF($B166="","",IFERROR(VLOOKUP($B166&amp;"",'Plus Tarifeleri'!$C:$Q,11,FALSE),""))</f>
        <v/>
      </c>
      <c r="AP166" s="22">
        <f>IF(AO166="","",IFERROR(IF($AM$1=2,VLOOKUP($B166&amp;"",'Plus Tarifeleri'!$C:$Q,15,FALSE),VLOOKUP($B166&amp;"",'Plus Tarifeleri'!$C:$Q,13,FALSE)),""))</f>
        <v/>
      </c>
      <c r="AQ166" s="21">
        <f>IF(OR(AO166="",AP166="",$D166=""),"",AO166*(1-AP166/100)-$D166-IF(AO166&lt;=199.99,Kargo!$E$2,IF(AO166&lt;=399.99,Kargo!$E$3,$F166)))</f>
        <v/>
      </c>
      <c r="AR166" s="23">
        <f>IF(AQ166="","",AQ166/AO166)</f>
        <v/>
      </c>
      <c r="AS166" s="24">
        <f>IF(OR(AQ166="",AG166=""),"",AQ166-AG166)</f>
        <v/>
      </c>
    </row>
    <row r="167">
      <c r="A167">
        <f>IF('Komisyon Tarifeleri'!A167="","",'Komisyon Tarifeleri'!A167)</f>
        <v/>
      </c>
      <c r="B167">
        <f>IF('Komisyon Tarifeleri'!B167="","",'Komisyon Tarifeleri'!B167&amp;"")</f>
        <v/>
      </c>
      <c r="C167">
        <f>IF($B167="","",'Komisyon Tarifeleri'!F167)</f>
        <v/>
      </c>
      <c r="D167" s="10">
        <f>IF($B167="","",IFERROR(VLOOKUP($B167,Maliyetler!$A:$E,3,FALSE),""))</f>
        <v/>
      </c>
      <c r="E167">
        <f>IF($B167="","",IFERROR(VLOOKUP($B167,Maliyetler!$A:$E,4,FALSE),1))</f>
        <v/>
      </c>
      <c r="F167" s="10">
        <f>IF($B167="","",IFERROR(VLOOKUP(MIN(20,MAX(1,ROUND($E167,0))),Kargo!$A:$B,2,FALSE),99.46))</f>
        <v/>
      </c>
      <c r="G167" s="10">
        <f>IF($B167="","",IF(IF(N('Komisyon Tarifeleri'!AA167)&gt;='Komisyon Tarifeleri'!I167,'Komisyon Tarifeleri'!AA167,'Komisyon Tarifeleri'!I167)="","",IF(N('Komisyon Tarifeleri'!AA167)&gt;='Komisyon Tarifeleri'!I167,'Komisyon Tarifeleri'!AA167,'Komisyon Tarifeleri'!I167)))</f>
        <v/>
      </c>
      <c r="H167" s="11">
        <f>IF(G167="","",IF($AM$1=2,'Komisyon Tarifeleri'!U167,'Komisyon Tarifeleri'!P167))</f>
        <v/>
      </c>
      <c r="I167" s="10">
        <f>IF(OR(G167="",$D167=""),"",G167*(1-H167/100)-$D167-IF(G167&lt;=199.99,Kargo!$E$2,IF(G167&lt;=399.99,Kargo!$E$3,$F167)))</f>
        <v/>
      </c>
      <c r="J167" s="12">
        <f>IF(I167="","",I167/G167)</f>
        <v/>
      </c>
      <c r="K167" s="10">
        <f>IF($B167="","",IF('Komisyon Tarifeleri'!J167="","",'Komisyon Tarifeleri'!J167))</f>
        <v/>
      </c>
      <c r="L167" s="11">
        <f>IF(K167="","",IF($AM$1=2,'Komisyon Tarifeleri'!V167,'Komisyon Tarifeleri'!Q167))</f>
        <v/>
      </c>
      <c r="M167" s="10">
        <f>IF(OR(K167="",$D167=""),"",K167*(1-L167/100)-$D167-IF(K167&lt;=199.99,Kargo!$E$2,IF(K167&lt;=399.99,Kargo!$E$3,$F167)))</f>
        <v/>
      </c>
      <c r="N167" s="12">
        <f>IF(M167="","",M167/K167)</f>
        <v/>
      </c>
      <c r="O167" s="10">
        <f>IF($B167="","",IF('Komisyon Tarifeleri'!L167="","",'Komisyon Tarifeleri'!L167))</f>
        <v/>
      </c>
      <c r="P167" s="11">
        <f>IF(O167="","",IF($AM$1=2,'Komisyon Tarifeleri'!W167,'Komisyon Tarifeleri'!R167))</f>
        <v/>
      </c>
      <c r="Q167" s="10">
        <f>IF(OR(O167="",$D167=""),"",O167*(1-P167/100)-$D167-IF(O167&lt;=199.99,Kargo!$E$2,IF(O167&lt;=399.99,Kargo!$E$3,$F167)))</f>
        <v/>
      </c>
      <c r="R167" s="12">
        <f>IF(Q167="","",Q167/O167)</f>
        <v/>
      </c>
      <c r="S167" s="10">
        <f>IF($B167="","",IF('Komisyon Tarifeleri'!N167="","",'Komisyon Tarifeleri'!N167))</f>
        <v/>
      </c>
      <c r="T167" s="11">
        <f>IF(S167="","",IF($AM$1=2,'Komisyon Tarifeleri'!X167,'Komisyon Tarifeleri'!S167))</f>
        <v/>
      </c>
      <c r="U167" s="10">
        <f>IF(OR(S167="",$D167=""),"",S167*(1-T167/100)-$D167-IF(S167&lt;=199.99,Kargo!$E$2,IF(S167&lt;=399.99,Kargo!$E$3,$F167)))</f>
        <v/>
      </c>
      <c r="V167" s="12">
        <f>IF(U167="","",U167/S167)</f>
        <v/>
      </c>
      <c r="W167" s="12">
        <f>IF($B167="","",IFERROR(VLOOKUP($C167,Hedefler!$A:$C,2,FALSE),0.04))</f>
        <v/>
      </c>
      <c r="X167" s="12">
        <f>IF($B167="","",IFERROR(VLOOKUP($C167,Hedefler!$A:$C,3,FALSE),0.1))</f>
        <v/>
      </c>
      <c r="Y167" s="13">
        <f>IF($B167="","",IFERROR(VLOOKUP($B167,Maliyetler!$A:$E,5,FALSE),""))</f>
        <v/>
      </c>
      <c r="Z167" s="13">
        <f>IF(OR(Y167="",Y167=0),"",Y167-1)</f>
        <v/>
      </c>
      <c r="AA167" s="14">
        <f>IF(Z167="","",IF(Z167&gt;='Komisyon Tarifeleri'!I167,IF($AM$1=2,'Komisyon Tarifeleri'!U167,'Komisyon Tarifeleri'!P167),IF(Z167&gt;='Komisyon Tarifeleri'!K167,IF($AM$1=2,'Komisyon Tarifeleri'!V167,'Komisyon Tarifeleri'!Q167),IF(Z167&gt;='Komisyon Tarifeleri'!M167,IF($AM$1=2,'Komisyon Tarifeleri'!W167,'Komisyon Tarifeleri'!R167),IF($AM$1=2,'Komisyon Tarifeleri'!X167,'Komisyon Tarifeleri'!S167)))))</f>
        <v/>
      </c>
      <c r="AB167" s="13">
        <f>IF(OR(AA167="",$D167=""),"",Z167*(1-AA167/100)-$D167-IF(Z167&lt;=199.99,Kargo!$E$2,IF(Z167&lt;=399.99,Kargo!$E$3,$F167)))</f>
        <v/>
      </c>
      <c r="AC167" s="15">
        <f>IF(AB167="","",AB167/Z167)</f>
        <v/>
      </c>
      <c r="AD167" s="10">
        <f>IF(OR($D167="",$B167=""),"",IF(AND((1-T167/100-W167)&gt;0,CEILING(($D167+$F167)/(1-T167/100-W167),1)&lt;='Komisyon Tarifeleri'!N167),CEILING(($D167+$F167)/(1-T167/100-W167),1),IF(AND((1-P167/100-W167)&gt;0,CEILING(MAX('Komisyon Tarifeleri'!M167,($D167+$F167)/(1-P167/100-W167)),1)&lt;='Komisyon Tarifeleri'!L167),CEILING(MAX('Komisyon Tarifeleri'!M167,($D167+$F167)/(1-P167/100-W167)),1),IF(AND((1-L167/100-W167)&gt;0,CEILING(MAX('Komisyon Tarifeleri'!K167,($D167+$F167)/(1-L167/100-W167)),1)&lt;='Komisyon Tarifeleri'!J167),CEILING(MAX('Komisyon Tarifeleri'!K167,($D167+$F167)/(1-L167/100-W167)),1),IF((1-H167/100-W167)&gt;0,CEILING(MAX('Komisyon Tarifeleri'!I167,($D167+$F167)/(1-H167/100-W167)),1),"İMKÂNSIZ")))))</f>
        <v/>
      </c>
      <c r="AE167" s="10">
        <f>IF(OR($D167="",$B167=""),"",IF(AND((1-T167/100-X167)&gt;0,CEILING(($D167+$F167)/(1-T167/100-X167),1)&lt;='Komisyon Tarifeleri'!N167),CEILING(($D167+$F167)/(1-T167/100-X167),1),IF(AND((1-P167/100-X167)&gt;0,CEILING(MAX('Komisyon Tarifeleri'!M167,($D167+$F167)/(1-P167/100-X167)),1)&lt;='Komisyon Tarifeleri'!L167),CEILING(MAX('Komisyon Tarifeleri'!M167,($D167+$F167)/(1-P167/100-X167)),1),IF(AND((1-L167/100-X167)&gt;0,CEILING(MAX('Komisyon Tarifeleri'!K167,($D167+$F167)/(1-L167/100-X167)),1)&lt;='Komisyon Tarifeleri'!J167),CEILING(MAX('Komisyon Tarifeleri'!K167,($D167+$F167)/(1-L167/100-X167)),1),IF((1-H167/100-X167)&gt;0,CEILING(MAX('Komisyon Tarifeleri'!I167,($D167+$F167)/(1-H167/100-X167)),1),"İMKÂNSIZ")))))</f>
        <v/>
      </c>
      <c r="AF167" s="16">
        <f>IF($D167="","",IF(AND(Y167&lt;&gt;"",AC167&lt;&gt;"",AC167&gt;=W167),Z167,IF(Y167&lt;&gt;"",AD167,AE167)))</f>
        <v/>
      </c>
      <c r="AG167" s="16">
        <f>IF(OR(AF167="",AF167="İMKÂNSIZ"),"",AF167*(1-IF(AF167&gt;='Komisyon Tarifeleri'!I167,IF($AM$1=2,'Komisyon Tarifeleri'!U167,'Komisyon Tarifeleri'!P167),IF(AF167&gt;='Komisyon Tarifeleri'!K167,IF($AM$1=2,'Komisyon Tarifeleri'!V167,'Komisyon Tarifeleri'!Q167),IF(AF167&gt;='Komisyon Tarifeleri'!M167,IF($AM$1=2,'Komisyon Tarifeleri'!W167,'Komisyon Tarifeleri'!R167),IF($AM$1=2,'Komisyon Tarifeleri'!X167,'Komisyon Tarifeleri'!S167))))/100)-$D167-IF(AF167&lt;=199.99,Kargo!$E$2,IF(AF167&lt;=399.99,Kargo!$E$3,$F167)))</f>
        <v/>
      </c>
      <c r="AH167" s="17">
        <f>IF(AG167="","",AG167/AF167)</f>
        <v/>
      </c>
      <c r="AI167" s="18">
        <f>IF($D167="","",IF(Y167="","BUYBOX YOK → hedef kârla min fiyat",IF(AC167&gt;=W167,"✓ BUYBOX ALTINA GİR","BUYBOX ALTI KÂRSIZ → min kârlı fiyat")))</f>
        <v/>
      </c>
      <c r="AJ167" s="10">
        <f>IF($B167="","",IFERROR(VLOOKUP($B167,Maliyetler!$A:$G,6,FALSE),""))</f>
        <v/>
      </c>
      <c r="AK167">
        <f>IF($B167="","",IFERROR(VLOOKUP($B167,Maliyetler!$A:$G,7,FALSE),""))</f>
        <v/>
      </c>
      <c r="AO167" s="21">
        <f>IF($B167="","",IFERROR(VLOOKUP($B167&amp;"",'Plus Tarifeleri'!$C:$Q,11,FALSE),""))</f>
        <v/>
      </c>
      <c r="AP167" s="22">
        <f>IF(AO167="","",IFERROR(IF($AM$1=2,VLOOKUP($B167&amp;"",'Plus Tarifeleri'!$C:$Q,15,FALSE),VLOOKUP($B167&amp;"",'Plus Tarifeleri'!$C:$Q,13,FALSE)),""))</f>
        <v/>
      </c>
      <c r="AQ167" s="21">
        <f>IF(OR(AO167="",AP167="",$D167=""),"",AO167*(1-AP167/100)-$D167-IF(AO167&lt;=199.99,Kargo!$E$2,IF(AO167&lt;=399.99,Kargo!$E$3,$F167)))</f>
        <v/>
      </c>
      <c r="AR167" s="23">
        <f>IF(AQ167="","",AQ167/AO167)</f>
        <v/>
      </c>
      <c r="AS167" s="24">
        <f>IF(OR(AQ167="",AG167=""),"",AQ167-AG167)</f>
        <v/>
      </c>
    </row>
    <row r="168">
      <c r="A168">
        <f>IF('Komisyon Tarifeleri'!A168="","",'Komisyon Tarifeleri'!A168)</f>
        <v/>
      </c>
      <c r="B168">
        <f>IF('Komisyon Tarifeleri'!B168="","",'Komisyon Tarifeleri'!B168&amp;"")</f>
        <v/>
      </c>
      <c r="C168">
        <f>IF($B168="","",'Komisyon Tarifeleri'!F168)</f>
        <v/>
      </c>
      <c r="D168" s="10">
        <f>IF($B168="","",IFERROR(VLOOKUP($B168,Maliyetler!$A:$E,3,FALSE),""))</f>
        <v/>
      </c>
      <c r="E168">
        <f>IF($B168="","",IFERROR(VLOOKUP($B168,Maliyetler!$A:$E,4,FALSE),1))</f>
        <v/>
      </c>
      <c r="F168" s="10">
        <f>IF($B168="","",IFERROR(VLOOKUP(MIN(20,MAX(1,ROUND($E168,0))),Kargo!$A:$B,2,FALSE),99.46))</f>
        <v/>
      </c>
      <c r="G168" s="10">
        <f>IF($B168="","",IF(IF(N('Komisyon Tarifeleri'!AA168)&gt;='Komisyon Tarifeleri'!I168,'Komisyon Tarifeleri'!AA168,'Komisyon Tarifeleri'!I168)="","",IF(N('Komisyon Tarifeleri'!AA168)&gt;='Komisyon Tarifeleri'!I168,'Komisyon Tarifeleri'!AA168,'Komisyon Tarifeleri'!I168)))</f>
        <v/>
      </c>
      <c r="H168" s="11">
        <f>IF(G168="","",IF($AM$1=2,'Komisyon Tarifeleri'!U168,'Komisyon Tarifeleri'!P168))</f>
        <v/>
      </c>
      <c r="I168" s="10">
        <f>IF(OR(G168="",$D168=""),"",G168*(1-H168/100)-$D168-IF(G168&lt;=199.99,Kargo!$E$2,IF(G168&lt;=399.99,Kargo!$E$3,$F168)))</f>
        <v/>
      </c>
      <c r="J168" s="12">
        <f>IF(I168="","",I168/G168)</f>
        <v/>
      </c>
      <c r="K168" s="10">
        <f>IF($B168="","",IF('Komisyon Tarifeleri'!J168="","",'Komisyon Tarifeleri'!J168))</f>
        <v/>
      </c>
      <c r="L168" s="11">
        <f>IF(K168="","",IF($AM$1=2,'Komisyon Tarifeleri'!V168,'Komisyon Tarifeleri'!Q168))</f>
        <v/>
      </c>
      <c r="M168" s="10">
        <f>IF(OR(K168="",$D168=""),"",K168*(1-L168/100)-$D168-IF(K168&lt;=199.99,Kargo!$E$2,IF(K168&lt;=399.99,Kargo!$E$3,$F168)))</f>
        <v/>
      </c>
      <c r="N168" s="12">
        <f>IF(M168="","",M168/K168)</f>
        <v/>
      </c>
      <c r="O168" s="10">
        <f>IF($B168="","",IF('Komisyon Tarifeleri'!L168="","",'Komisyon Tarifeleri'!L168))</f>
        <v/>
      </c>
      <c r="P168" s="11">
        <f>IF(O168="","",IF($AM$1=2,'Komisyon Tarifeleri'!W168,'Komisyon Tarifeleri'!R168))</f>
        <v/>
      </c>
      <c r="Q168" s="10">
        <f>IF(OR(O168="",$D168=""),"",O168*(1-P168/100)-$D168-IF(O168&lt;=199.99,Kargo!$E$2,IF(O168&lt;=399.99,Kargo!$E$3,$F168)))</f>
        <v/>
      </c>
      <c r="R168" s="12">
        <f>IF(Q168="","",Q168/O168)</f>
        <v/>
      </c>
      <c r="S168" s="10">
        <f>IF($B168="","",IF('Komisyon Tarifeleri'!N168="","",'Komisyon Tarifeleri'!N168))</f>
        <v/>
      </c>
      <c r="T168" s="11">
        <f>IF(S168="","",IF($AM$1=2,'Komisyon Tarifeleri'!X168,'Komisyon Tarifeleri'!S168))</f>
        <v/>
      </c>
      <c r="U168" s="10">
        <f>IF(OR(S168="",$D168=""),"",S168*(1-T168/100)-$D168-IF(S168&lt;=199.99,Kargo!$E$2,IF(S168&lt;=399.99,Kargo!$E$3,$F168)))</f>
        <v/>
      </c>
      <c r="V168" s="12">
        <f>IF(U168="","",U168/S168)</f>
        <v/>
      </c>
      <c r="W168" s="12">
        <f>IF($B168="","",IFERROR(VLOOKUP($C168,Hedefler!$A:$C,2,FALSE),0.04))</f>
        <v/>
      </c>
      <c r="X168" s="12">
        <f>IF($B168="","",IFERROR(VLOOKUP($C168,Hedefler!$A:$C,3,FALSE),0.1))</f>
        <v/>
      </c>
      <c r="Y168" s="13">
        <f>IF($B168="","",IFERROR(VLOOKUP($B168,Maliyetler!$A:$E,5,FALSE),""))</f>
        <v/>
      </c>
      <c r="Z168" s="13">
        <f>IF(OR(Y168="",Y168=0),"",Y168-1)</f>
        <v/>
      </c>
      <c r="AA168" s="14">
        <f>IF(Z168="","",IF(Z168&gt;='Komisyon Tarifeleri'!I168,IF($AM$1=2,'Komisyon Tarifeleri'!U168,'Komisyon Tarifeleri'!P168),IF(Z168&gt;='Komisyon Tarifeleri'!K168,IF($AM$1=2,'Komisyon Tarifeleri'!V168,'Komisyon Tarifeleri'!Q168),IF(Z168&gt;='Komisyon Tarifeleri'!M168,IF($AM$1=2,'Komisyon Tarifeleri'!W168,'Komisyon Tarifeleri'!R168),IF($AM$1=2,'Komisyon Tarifeleri'!X168,'Komisyon Tarifeleri'!S168)))))</f>
        <v/>
      </c>
      <c r="AB168" s="13">
        <f>IF(OR(AA168="",$D168=""),"",Z168*(1-AA168/100)-$D168-IF(Z168&lt;=199.99,Kargo!$E$2,IF(Z168&lt;=399.99,Kargo!$E$3,$F168)))</f>
        <v/>
      </c>
      <c r="AC168" s="15">
        <f>IF(AB168="","",AB168/Z168)</f>
        <v/>
      </c>
      <c r="AD168" s="10">
        <f>IF(OR($D168="",$B168=""),"",IF(AND((1-T168/100-W168)&gt;0,CEILING(($D168+$F168)/(1-T168/100-W168),1)&lt;='Komisyon Tarifeleri'!N168),CEILING(($D168+$F168)/(1-T168/100-W168),1),IF(AND((1-P168/100-W168)&gt;0,CEILING(MAX('Komisyon Tarifeleri'!M168,($D168+$F168)/(1-P168/100-W168)),1)&lt;='Komisyon Tarifeleri'!L168),CEILING(MAX('Komisyon Tarifeleri'!M168,($D168+$F168)/(1-P168/100-W168)),1),IF(AND((1-L168/100-W168)&gt;0,CEILING(MAX('Komisyon Tarifeleri'!K168,($D168+$F168)/(1-L168/100-W168)),1)&lt;='Komisyon Tarifeleri'!J168),CEILING(MAX('Komisyon Tarifeleri'!K168,($D168+$F168)/(1-L168/100-W168)),1),IF((1-H168/100-W168)&gt;0,CEILING(MAX('Komisyon Tarifeleri'!I168,($D168+$F168)/(1-H168/100-W168)),1),"İMKÂNSIZ")))))</f>
        <v/>
      </c>
      <c r="AE168" s="10">
        <f>IF(OR($D168="",$B168=""),"",IF(AND((1-T168/100-X168)&gt;0,CEILING(($D168+$F168)/(1-T168/100-X168),1)&lt;='Komisyon Tarifeleri'!N168),CEILING(($D168+$F168)/(1-T168/100-X168),1),IF(AND((1-P168/100-X168)&gt;0,CEILING(MAX('Komisyon Tarifeleri'!M168,($D168+$F168)/(1-P168/100-X168)),1)&lt;='Komisyon Tarifeleri'!L168),CEILING(MAX('Komisyon Tarifeleri'!M168,($D168+$F168)/(1-P168/100-X168)),1),IF(AND((1-L168/100-X168)&gt;0,CEILING(MAX('Komisyon Tarifeleri'!K168,($D168+$F168)/(1-L168/100-X168)),1)&lt;='Komisyon Tarifeleri'!J168),CEILING(MAX('Komisyon Tarifeleri'!K168,($D168+$F168)/(1-L168/100-X168)),1),IF((1-H168/100-X168)&gt;0,CEILING(MAX('Komisyon Tarifeleri'!I168,($D168+$F168)/(1-H168/100-X168)),1),"İMKÂNSIZ")))))</f>
        <v/>
      </c>
      <c r="AF168" s="16">
        <f>IF($D168="","",IF(AND(Y168&lt;&gt;"",AC168&lt;&gt;"",AC168&gt;=W168),Z168,IF(Y168&lt;&gt;"",AD168,AE168)))</f>
        <v/>
      </c>
      <c r="AG168" s="16">
        <f>IF(OR(AF168="",AF168="İMKÂNSIZ"),"",AF168*(1-IF(AF168&gt;='Komisyon Tarifeleri'!I168,IF($AM$1=2,'Komisyon Tarifeleri'!U168,'Komisyon Tarifeleri'!P168),IF(AF168&gt;='Komisyon Tarifeleri'!K168,IF($AM$1=2,'Komisyon Tarifeleri'!V168,'Komisyon Tarifeleri'!Q168),IF(AF168&gt;='Komisyon Tarifeleri'!M168,IF($AM$1=2,'Komisyon Tarifeleri'!W168,'Komisyon Tarifeleri'!R168),IF($AM$1=2,'Komisyon Tarifeleri'!X168,'Komisyon Tarifeleri'!S168))))/100)-$D168-IF(AF168&lt;=199.99,Kargo!$E$2,IF(AF168&lt;=399.99,Kargo!$E$3,$F168)))</f>
        <v/>
      </c>
      <c r="AH168" s="17">
        <f>IF(AG168="","",AG168/AF168)</f>
        <v/>
      </c>
      <c r="AI168" s="18">
        <f>IF($D168="","",IF(Y168="","BUYBOX YOK → hedef kârla min fiyat",IF(AC168&gt;=W168,"✓ BUYBOX ALTINA GİR","BUYBOX ALTI KÂRSIZ → min kârlı fiyat")))</f>
        <v/>
      </c>
      <c r="AJ168" s="10">
        <f>IF($B168="","",IFERROR(VLOOKUP($B168,Maliyetler!$A:$G,6,FALSE),""))</f>
        <v/>
      </c>
      <c r="AK168">
        <f>IF($B168="","",IFERROR(VLOOKUP($B168,Maliyetler!$A:$G,7,FALSE),""))</f>
        <v/>
      </c>
      <c r="AO168" s="21">
        <f>IF($B168="","",IFERROR(VLOOKUP($B168&amp;"",'Plus Tarifeleri'!$C:$Q,11,FALSE),""))</f>
        <v/>
      </c>
      <c r="AP168" s="22">
        <f>IF(AO168="","",IFERROR(IF($AM$1=2,VLOOKUP($B168&amp;"",'Plus Tarifeleri'!$C:$Q,15,FALSE),VLOOKUP($B168&amp;"",'Plus Tarifeleri'!$C:$Q,13,FALSE)),""))</f>
        <v/>
      </c>
      <c r="AQ168" s="21">
        <f>IF(OR(AO168="",AP168="",$D168=""),"",AO168*(1-AP168/100)-$D168-IF(AO168&lt;=199.99,Kargo!$E$2,IF(AO168&lt;=399.99,Kargo!$E$3,$F168)))</f>
        <v/>
      </c>
      <c r="AR168" s="23">
        <f>IF(AQ168="","",AQ168/AO168)</f>
        <v/>
      </c>
      <c r="AS168" s="24">
        <f>IF(OR(AQ168="",AG168=""),"",AQ168-AG168)</f>
        <v/>
      </c>
    </row>
    <row r="169">
      <c r="A169">
        <f>IF('Komisyon Tarifeleri'!A169="","",'Komisyon Tarifeleri'!A169)</f>
        <v/>
      </c>
      <c r="B169">
        <f>IF('Komisyon Tarifeleri'!B169="","",'Komisyon Tarifeleri'!B169&amp;"")</f>
        <v/>
      </c>
      <c r="C169">
        <f>IF($B169="","",'Komisyon Tarifeleri'!F169)</f>
        <v/>
      </c>
      <c r="D169" s="10">
        <f>IF($B169="","",IFERROR(VLOOKUP($B169,Maliyetler!$A:$E,3,FALSE),""))</f>
        <v/>
      </c>
      <c r="E169">
        <f>IF($B169="","",IFERROR(VLOOKUP($B169,Maliyetler!$A:$E,4,FALSE),1))</f>
        <v/>
      </c>
      <c r="F169" s="10">
        <f>IF($B169="","",IFERROR(VLOOKUP(MIN(20,MAX(1,ROUND($E169,0))),Kargo!$A:$B,2,FALSE),99.46))</f>
        <v/>
      </c>
      <c r="G169" s="10">
        <f>IF($B169="","",IF(IF(N('Komisyon Tarifeleri'!AA169)&gt;='Komisyon Tarifeleri'!I169,'Komisyon Tarifeleri'!AA169,'Komisyon Tarifeleri'!I169)="","",IF(N('Komisyon Tarifeleri'!AA169)&gt;='Komisyon Tarifeleri'!I169,'Komisyon Tarifeleri'!AA169,'Komisyon Tarifeleri'!I169)))</f>
        <v/>
      </c>
      <c r="H169" s="11">
        <f>IF(G169="","",IF($AM$1=2,'Komisyon Tarifeleri'!U169,'Komisyon Tarifeleri'!P169))</f>
        <v/>
      </c>
      <c r="I169" s="10">
        <f>IF(OR(G169="",$D169=""),"",G169*(1-H169/100)-$D169-IF(G169&lt;=199.99,Kargo!$E$2,IF(G169&lt;=399.99,Kargo!$E$3,$F169)))</f>
        <v/>
      </c>
      <c r="J169" s="12">
        <f>IF(I169="","",I169/G169)</f>
        <v/>
      </c>
      <c r="K169" s="10">
        <f>IF($B169="","",IF('Komisyon Tarifeleri'!J169="","",'Komisyon Tarifeleri'!J169))</f>
        <v/>
      </c>
      <c r="L169" s="11">
        <f>IF(K169="","",IF($AM$1=2,'Komisyon Tarifeleri'!V169,'Komisyon Tarifeleri'!Q169))</f>
        <v/>
      </c>
      <c r="M169" s="10">
        <f>IF(OR(K169="",$D169=""),"",K169*(1-L169/100)-$D169-IF(K169&lt;=199.99,Kargo!$E$2,IF(K169&lt;=399.99,Kargo!$E$3,$F169)))</f>
        <v/>
      </c>
      <c r="N169" s="12">
        <f>IF(M169="","",M169/K169)</f>
        <v/>
      </c>
      <c r="O169" s="10">
        <f>IF($B169="","",IF('Komisyon Tarifeleri'!L169="","",'Komisyon Tarifeleri'!L169))</f>
        <v/>
      </c>
      <c r="P169" s="11">
        <f>IF(O169="","",IF($AM$1=2,'Komisyon Tarifeleri'!W169,'Komisyon Tarifeleri'!R169))</f>
        <v/>
      </c>
      <c r="Q169" s="10">
        <f>IF(OR(O169="",$D169=""),"",O169*(1-P169/100)-$D169-IF(O169&lt;=199.99,Kargo!$E$2,IF(O169&lt;=399.99,Kargo!$E$3,$F169)))</f>
        <v/>
      </c>
      <c r="R169" s="12">
        <f>IF(Q169="","",Q169/O169)</f>
        <v/>
      </c>
      <c r="S169" s="10">
        <f>IF($B169="","",IF('Komisyon Tarifeleri'!N169="","",'Komisyon Tarifeleri'!N169))</f>
        <v/>
      </c>
      <c r="T169" s="11">
        <f>IF(S169="","",IF($AM$1=2,'Komisyon Tarifeleri'!X169,'Komisyon Tarifeleri'!S169))</f>
        <v/>
      </c>
      <c r="U169" s="10">
        <f>IF(OR(S169="",$D169=""),"",S169*(1-T169/100)-$D169-IF(S169&lt;=199.99,Kargo!$E$2,IF(S169&lt;=399.99,Kargo!$E$3,$F169)))</f>
        <v/>
      </c>
      <c r="V169" s="12">
        <f>IF(U169="","",U169/S169)</f>
        <v/>
      </c>
      <c r="W169" s="12">
        <f>IF($B169="","",IFERROR(VLOOKUP($C169,Hedefler!$A:$C,2,FALSE),0.04))</f>
        <v/>
      </c>
      <c r="X169" s="12">
        <f>IF($B169="","",IFERROR(VLOOKUP($C169,Hedefler!$A:$C,3,FALSE),0.1))</f>
        <v/>
      </c>
      <c r="Y169" s="13">
        <f>IF($B169="","",IFERROR(VLOOKUP($B169,Maliyetler!$A:$E,5,FALSE),""))</f>
        <v/>
      </c>
      <c r="Z169" s="13">
        <f>IF(OR(Y169="",Y169=0),"",Y169-1)</f>
        <v/>
      </c>
      <c r="AA169" s="14">
        <f>IF(Z169="","",IF(Z169&gt;='Komisyon Tarifeleri'!I169,IF($AM$1=2,'Komisyon Tarifeleri'!U169,'Komisyon Tarifeleri'!P169),IF(Z169&gt;='Komisyon Tarifeleri'!K169,IF($AM$1=2,'Komisyon Tarifeleri'!V169,'Komisyon Tarifeleri'!Q169),IF(Z169&gt;='Komisyon Tarifeleri'!M169,IF($AM$1=2,'Komisyon Tarifeleri'!W169,'Komisyon Tarifeleri'!R169),IF($AM$1=2,'Komisyon Tarifeleri'!X169,'Komisyon Tarifeleri'!S169)))))</f>
        <v/>
      </c>
      <c r="AB169" s="13">
        <f>IF(OR(AA169="",$D169=""),"",Z169*(1-AA169/100)-$D169-IF(Z169&lt;=199.99,Kargo!$E$2,IF(Z169&lt;=399.99,Kargo!$E$3,$F169)))</f>
        <v/>
      </c>
      <c r="AC169" s="15">
        <f>IF(AB169="","",AB169/Z169)</f>
        <v/>
      </c>
      <c r="AD169" s="10">
        <f>IF(OR($D169="",$B169=""),"",IF(AND((1-T169/100-W169)&gt;0,CEILING(($D169+$F169)/(1-T169/100-W169),1)&lt;='Komisyon Tarifeleri'!N169),CEILING(($D169+$F169)/(1-T169/100-W169),1),IF(AND((1-P169/100-W169)&gt;0,CEILING(MAX('Komisyon Tarifeleri'!M169,($D169+$F169)/(1-P169/100-W169)),1)&lt;='Komisyon Tarifeleri'!L169),CEILING(MAX('Komisyon Tarifeleri'!M169,($D169+$F169)/(1-P169/100-W169)),1),IF(AND((1-L169/100-W169)&gt;0,CEILING(MAX('Komisyon Tarifeleri'!K169,($D169+$F169)/(1-L169/100-W169)),1)&lt;='Komisyon Tarifeleri'!J169),CEILING(MAX('Komisyon Tarifeleri'!K169,($D169+$F169)/(1-L169/100-W169)),1),IF((1-H169/100-W169)&gt;0,CEILING(MAX('Komisyon Tarifeleri'!I169,($D169+$F169)/(1-H169/100-W169)),1),"İMKÂNSIZ")))))</f>
        <v/>
      </c>
      <c r="AE169" s="10">
        <f>IF(OR($D169="",$B169=""),"",IF(AND((1-T169/100-X169)&gt;0,CEILING(($D169+$F169)/(1-T169/100-X169),1)&lt;='Komisyon Tarifeleri'!N169),CEILING(($D169+$F169)/(1-T169/100-X169),1),IF(AND((1-P169/100-X169)&gt;0,CEILING(MAX('Komisyon Tarifeleri'!M169,($D169+$F169)/(1-P169/100-X169)),1)&lt;='Komisyon Tarifeleri'!L169),CEILING(MAX('Komisyon Tarifeleri'!M169,($D169+$F169)/(1-P169/100-X169)),1),IF(AND((1-L169/100-X169)&gt;0,CEILING(MAX('Komisyon Tarifeleri'!K169,($D169+$F169)/(1-L169/100-X169)),1)&lt;='Komisyon Tarifeleri'!J169),CEILING(MAX('Komisyon Tarifeleri'!K169,($D169+$F169)/(1-L169/100-X169)),1),IF((1-H169/100-X169)&gt;0,CEILING(MAX('Komisyon Tarifeleri'!I169,($D169+$F169)/(1-H169/100-X169)),1),"İMKÂNSIZ")))))</f>
        <v/>
      </c>
      <c r="AF169" s="16">
        <f>IF($D169="","",IF(AND(Y169&lt;&gt;"",AC169&lt;&gt;"",AC169&gt;=W169),Z169,IF(Y169&lt;&gt;"",AD169,AE169)))</f>
        <v/>
      </c>
      <c r="AG169" s="16">
        <f>IF(OR(AF169="",AF169="İMKÂNSIZ"),"",AF169*(1-IF(AF169&gt;='Komisyon Tarifeleri'!I169,IF($AM$1=2,'Komisyon Tarifeleri'!U169,'Komisyon Tarifeleri'!P169),IF(AF169&gt;='Komisyon Tarifeleri'!K169,IF($AM$1=2,'Komisyon Tarifeleri'!V169,'Komisyon Tarifeleri'!Q169),IF(AF169&gt;='Komisyon Tarifeleri'!M169,IF($AM$1=2,'Komisyon Tarifeleri'!W169,'Komisyon Tarifeleri'!R169),IF($AM$1=2,'Komisyon Tarifeleri'!X169,'Komisyon Tarifeleri'!S169))))/100)-$D169-IF(AF169&lt;=199.99,Kargo!$E$2,IF(AF169&lt;=399.99,Kargo!$E$3,$F169)))</f>
        <v/>
      </c>
      <c r="AH169" s="17">
        <f>IF(AG169="","",AG169/AF169)</f>
        <v/>
      </c>
      <c r="AI169" s="18">
        <f>IF($D169="","",IF(Y169="","BUYBOX YOK → hedef kârla min fiyat",IF(AC169&gt;=W169,"✓ BUYBOX ALTINA GİR","BUYBOX ALTI KÂRSIZ → min kârlı fiyat")))</f>
        <v/>
      </c>
      <c r="AJ169" s="10">
        <f>IF($B169="","",IFERROR(VLOOKUP($B169,Maliyetler!$A:$G,6,FALSE),""))</f>
        <v/>
      </c>
      <c r="AK169">
        <f>IF($B169="","",IFERROR(VLOOKUP($B169,Maliyetler!$A:$G,7,FALSE),""))</f>
        <v/>
      </c>
      <c r="AO169" s="21">
        <f>IF($B169="","",IFERROR(VLOOKUP($B169&amp;"",'Plus Tarifeleri'!$C:$Q,11,FALSE),""))</f>
        <v/>
      </c>
      <c r="AP169" s="22">
        <f>IF(AO169="","",IFERROR(IF($AM$1=2,VLOOKUP($B169&amp;"",'Plus Tarifeleri'!$C:$Q,15,FALSE),VLOOKUP($B169&amp;"",'Plus Tarifeleri'!$C:$Q,13,FALSE)),""))</f>
        <v/>
      </c>
      <c r="AQ169" s="21">
        <f>IF(OR(AO169="",AP169="",$D169=""),"",AO169*(1-AP169/100)-$D169-IF(AO169&lt;=199.99,Kargo!$E$2,IF(AO169&lt;=399.99,Kargo!$E$3,$F169)))</f>
        <v/>
      </c>
      <c r="AR169" s="23">
        <f>IF(AQ169="","",AQ169/AO169)</f>
        <v/>
      </c>
      <c r="AS169" s="24">
        <f>IF(OR(AQ169="",AG169=""),"",AQ169-AG169)</f>
        <v/>
      </c>
    </row>
    <row r="170">
      <c r="A170">
        <f>IF('Komisyon Tarifeleri'!A170="","",'Komisyon Tarifeleri'!A170)</f>
        <v/>
      </c>
      <c r="B170">
        <f>IF('Komisyon Tarifeleri'!B170="","",'Komisyon Tarifeleri'!B170&amp;"")</f>
        <v/>
      </c>
      <c r="C170">
        <f>IF($B170="","",'Komisyon Tarifeleri'!F170)</f>
        <v/>
      </c>
      <c r="D170" s="10">
        <f>IF($B170="","",IFERROR(VLOOKUP($B170,Maliyetler!$A:$E,3,FALSE),""))</f>
        <v/>
      </c>
      <c r="E170">
        <f>IF($B170="","",IFERROR(VLOOKUP($B170,Maliyetler!$A:$E,4,FALSE),1))</f>
        <v/>
      </c>
      <c r="F170" s="10">
        <f>IF($B170="","",IFERROR(VLOOKUP(MIN(20,MAX(1,ROUND($E170,0))),Kargo!$A:$B,2,FALSE),99.46))</f>
        <v/>
      </c>
      <c r="G170" s="10">
        <f>IF($B170="","",IF(IF(N('Komisyon Tarifeleri'!AA170)&gt;='Komisyon Tarifeleri'!I170,'Komisyon Tarifeleri'!AA170,'Komisyon Tarifeleri'!I170)="","",IF(N('Komisyon Tarifeleri'!AA170)&gt;='Komisyon Tarifeleri'!I170,'Komisyon Tarifeleri'!AA170,'Komisyon Tarifeleri'!I170)))</f>
        <v/>
      </c>
      <c r="H170" s="11">
        <f>IF(G170="","",IF($AM$1=2,'Komisyon Tarifeleri'!U170,'Komisyon Tarifeleri'!P170))</f>
        <v/>
      </c>
      <c r="I170" s="10">
        <f>IF(OR(G170="",$D170=""),"",G170*(1-H170/100)-$D170-IF(G170&lt;=199.99,Kargo!$E$2,IF(G170&lt;=399.99,Kargo!$E$3,$F170)))</f>
        <v/>
      </c>
      <c r="J170" s="12">
        <f>IF(I170="","",I170/G170)</f>
        <v/>
      </c>
      <c r="K170" s="10">
        <f>IF($B170="","",IF('Komisyon Tarifeleri'!J170="","",'Komisyon Tarifeleri'!J170))</f>
        <v/>
      </c>
      <c r="L170" s="11">
        <f>IF(K170="","",IF($AM$1=2,'Komisyon Tarifeleri'!V170,'Komisyon Tarifeleri'!Q170))</f>
        <v/>
      </c>
      <c r="M170" s="10">
        <f>IF(OR(K170="",$D170=""),"",K170*(1-L170/100)-$D170-IF(K170&lt;=199.99,Kargo!$E$2,IF(K170&lt;=399.99,Kargo!$E$3,$F170)))</f>
        <v/>
      </c>
      <c r="N170" s="12">
        <f>IF(M170="","",M170/K170)</f>
        <v/>
      </c>
      <c r="O170" s="10">
        <f>IF($B170="","",IF('Komisyon Tarifeleri'!L170="","",'Komisyon Tarifeleri'!L170))</f>
        <v/>
      </c>
      <c r="P170" s="11">
        <f>IF(O170="","",IF($AM$1=2,'Komisyon Tarifeleri'!W170,'Komisyon Tarifeleri'!R170))</f>
        <v/>
      </c>
      <c r="Q170" s="10">
        <f>IF(OR(O170="",$D170=""),"",O170*(1-P170/100)-$D170-IF(O170&lt;=199.99,Kargo!$E$2,IF(O170&lt;=399.99,Kargo!$E$3,$F170)))</f>
        <v/>
      </c>
      <c r="R170" s="12">
        <f>IF(Q170="","",Q170/O170)</f>
        <v/>
      </c>
      <c r="S170" s="10">
        <f>IF($B170="","",IF('Komisyon Tarifeleri'!N170="","",'Komisyon Tarifeleri'!N170))</f>
        <v/>
      </c>
      <c r="T170" s="11">
        <f>IF(S170="","",IF($AM$1=2,'Komisyon Tarifeleri'!X170,'Komisyon Tarifeleri'!S170))</f>
        <v/>
      </c>
      <c r="U170" s="10">
        <f>IF(OR(S170="",$D170=""),"",S170*(1-T170/100)-$D170-IF(S170&lt;=199.99,Kargo!$E$2,IF(S170&lt;=399.99,Kargo!$E$3,$F170)))</f>
        <v/>
      </c>
      <c r="V170" s="12">
        <f>IF(U170="","",U170/S170)</f>
        <v/>
      </c>
      <c r="W170" s="12">
        <f>IF($B170="","",IFERROR(VLOOKUP($C170,Hedefler!$A:$C,2,FALSE),0.04))</f>
        <v/>
      </c>
      <c r="X170" s="12">
        <f>IF($B170="","",IFERROR(VLOOKUP($C170,Hedefler!$A:$C,3,FALSE),0.1))</f>
        <v/>
      </c>
      <c r="Y170" s="13">
        <f>IF($B170="","",IFERROR(VLOOKUP($B170,Maliyetler!$A:$E,5,FALSE),""))</f>
        <v/>
      </c>
      <c r="Z170" s="13">
        <f>IF(OR(Y170="",Y170=0),"",Y170-1)</f>
        <v/>
      </c>
      <c r="AA170" s="14">
        <f>IF(Z170="","",IF(Z170&gt;='Komisyon Tarifeleri'!I170,IF($AM$1=2,'Komisyon Tarifeleri'!U170,'Komisyon Tarifeleri'!P170),IF(Z170&gt;='Komisyon Tarifeleri'!K170,IF($AM$1=2,'Komisyon Tarifeleri'!V170,'Komisyon Tarifeleri'!Q170),IF(Z170&gt;='Komisyon Tarifeleri'!M170,IF($AM$1=2,'Komisyon Tarifeleri'!W170,'Komisyon Tarifeleri'!R170),IF($AM$1=2,'Komisyon Tarifeleri'!X170,'Komisyon Tarifeleri'!S170)))))</f>
        <v/>
      </c>
      <c r="AB170" s="13">
        <f>IF(OR(AA170="",$D170=""),"",Z170*(1-AA170/100)-$D170-IF(Z170&lt;=199.99,Kargo!$E$2,IF(Z170&lt;=399.99,Kargo!$E$3,$F170)))</f>
        <v/>
      </c>
      <c r="AC170" s="15">
        <f>IF(AB170="","",AB170/Z170)</f>
        <v/>
      </c>
      <c r="AD170" s="10">
        <f>IF(OR($D170="",$B170=""),"",IF(AND((1-T170/100-W170)&gt;0,CEILING(($D170+$F170)/(1-T170/100-W170),1)&lt;='Komisyon Tarifeleri'!N170),CEILING(($D170+$F170)/(1-T170/100-W170),1),IF(AND((1-P170/100-W170)&gt;0,CEILING(MAX('Komisyon Tarifeleri'!M170,($D170+$F170)/(1-P170/100-W170)),1)&lt;='Komisyon Tarifeleri'!L170),CEILING(MAX('Komisyon Tarifeleri'!M170,($D170+$F170)/(1-P170/100-W170)),1),IF(AND((1-L170/100-W170)&gt;0,CEILING(MAX('Komisyon Tarifeleri'!K170,($D170+$F170)/(1-L170/100-W170)),1)&lt;='Komisyon Tarifeleri'!J170),CEILING(MAX('Komisyon Tarifeleri'!K170,($D170+$F170)/(1-L170/100-W170)),1),IF((1-H170/100-W170)&gt;0,CEILING(MAX('Komisyon Tarifeleri'!I170,($D170+$F170)/(1-H170/100-W170)),1),"İMKÂNSIZ")))))</f>
        <v/>
      </c>
      <c r="AE170" s="10">
        <f>IF(OR($D170="",$B170=""),"",IF(AND((1-T170/100-X170)&gt;0,CEILING(($D170+$F170)/(1-T170/100-X170),1)&lt;='Komisyon Tarifeleri'!N170),CEILING(($D170+$F170)/(1-T170/100-X170),1),IF(AND((1-P170/100-X170)&gt;0,CEILING(MAX('Komisyon Tarifeleri'!M170,($D170+$F170)/(1-P170/100-X170)),1)&lt;='Komisyon Tarifeleri'!L170),CEILING(MAX('Komisyon Tarifeleri'!M170,($D170+$F170)/(1-P170/100-X170)),1),IF(AND((1-L170/100-X170)&gt;0,CEILING(MAX('Komisyon Tarifeleri'!K170,($D170+$F170)/(1-L170/100-X170)),1)&lt;='Komisyon Tarifeleri'!J170),CEILING(MAX('Komisyon Tarifeleri'!K170,($D170+$F170)/(1-L170/100-X170)),1),IF((1-H170/100-X170)&gt;0,CEILING(MAX('Komisyon Tarifeleri'!I170,($D170+$F170)/(1-H170/100-X170)),1),"İMKÂNSIZ")))))</f>
        <v/>
      </c>
      <c r="AF170" s="16">
        <f>IF($D170="","",IF(AND(Y170&lt;&gt;"",AC170&lt;&gt;"",AC170&gt;=W170),Z170,IF(Y170&lt;&gt;"",AD170,AE170)))</f>
        <v/>
      </c>
      <c r="AG170" s="16">
        <f>IF(OR(AF170="",AF170="İMKÂNSIZ"),"",AF170*(1-IF(AF170&gt;='Komisyon Tarifeleri'!I170,IF($AM$1=2,'Komisyon Tarifeleri'!U170,'Komisyon Tarifeleri'!P170),IF(AF170&gt;='Komisyon Tarifeleri'!K170,IF($AM$1=2,'Komisyon Tarifeleri'!V170,'Komisyon Tarifeleri'!Q170),IF(AF170&gt;='Komisyon Tarifeleri'!M170,IF($AM$1=2,'Komisyon Tarifeleri'!W170,'Komisyon Tarifeleri'!R170),IF($AM$1=2,'Komisyon Tarifeleri'!X170,'Komisyon Tarifeleri'!S170))))/100)-$D170-IF(AF170&lt;=199.99,Kargo!$E$2,IF(AF170&lt;=399.99,Kargo!$E$3,$F170)))</f>
        <v/>
      </c>
      <c r="AH170" s="17">
        <f>IF(AG170="","",AG170/AF170)</f>
        <v/>
      </c>
      <c r="AI170" s="18">
        <f>IF($D170="","",IF(Y170="","BUYBOX YOK → hedef kârla min fiyat",IF(AC170&gt;=W170,"✓ BUYBOX ALTINA GİR","BUYBOX ALTI KÂRSIZ → min kârlı fiyat")))</f>
        <v/>
      </c>
      <c r="AJ170" s="10">
        <f>IF($B170="","",IFERROR(VLOOKUP($B170,Maliyetler!$A:$G,6,FALSE),""))</f>
        <v/>
      </c>
      <c r="AK170">
        <f>IF($B170="","",IFERROR(VLOOKUP($B170,Maliyetler!$A:$G,7,FALSE),""))</f>
        <v/>
      </c>
      <c r="AO170" s="21">
        <f>IF($B170="","",IFERROR(VLOOKUP($B170&amp;"",'Plus Tarifeleri'!$C:$Q,11,FALSE),""))</f>
        <v/>
      </c>
      <c r="AP170" s="22">
        <f>IF(AO170="","",IFERROR(IF($AM$1=2,VLOOKUP($B170&amp;"",'Plus Tarifeleri'!$C:$Q,15,FALSE),VLOOKUP($B170&amp;"",'Plus Tarifeleri'!$C:$Q,13,FALSE)),""))</f>
        <v/>
      </c>
      <c r="AQ170" s="21">
        <f>IF(OR(AO170="",AP170="",$D170=""),"",AO170*(1-AP170/100)-$D170-IF(AO170&lt;=199.99,Kargo!$E$2,IF(AO170&lt;=399.99,Kargo!$E$3,$F170)))</f>
        <v/>
      </c>
      <c r="AR170" s="23">
        <f>IF(AQ170="","",AQ170/AO170)</f>
        <v/>
      </c>
      <c r="AS170" s="24">
        <f>IF(OR(AQ170="",AG170=""),"",AQ170-AG170)</f>
        <v/>
      </c>
    </row>
    <row r="171">
      <c r="A171">
        <f>IF('Komisyon Tarifeleri'!A171="","",'Komisyon Tarifeleri'!A171)</f>
        <v/>
      </c>
      <c r="B171">
        <f>IF('Komisyon Tarifeleri'!B171="","",'Komisyon Tarifeleri'!B171&amp;"")</f>
        <v/>
      </c>
      <c r="C171">
        <f>IF($B171="","",'Komisyon Tarifeleri'!F171)</f>
        <v/>
      </c>
      <c r="D171" s="10">
        <f>IF($B171="","",IFERROR(VLOOKUP($B171,Maliyetler!$A:$E,3,FALSE),""))</f>
        <v/>
      </c>
      <c r="E171">
        <f>IF($B171="","",IFERROR(VLOOKUP($B171,Maliyetler!$A:$E,4,FALSE),1))</f>
        <v/>
      </c>
      <c r="F171" s="10">
        <f>IF($B171="","",IFERROR(VLOOKUP(MIN(20,MAX(1,ROUND($E171,0))),Kargo!$A:$B,2,FALSE),99.46))</f>
        <v/>
      </c>
      <c r="G171" s="10">
        <f>IF($B171="","",IF(IF(N('Komisyon Tarifeleri'!AA171)&gt;='Komisyon Tarifeleri'!I171,'Komisyon Tarifeleri'!AA171,'Komisyon Tarifeleri'!I171)="","",IF(N('Komisyon Tarifeleri'!AA171)&gt;='Komisyon Tarifeleri'!I171,'Komisyon Tarifeleri'!AA171,'Komisyon Tarifeleri'!I171)))</f>
        <v/>
      </c>
      <c r="H171" s="11">
        <f>IF(G171="","",IF($AM$1=2,'Komisyon Tarifeleri'!U171,'Komisyon Tarifeleri'!P171))</f>
        <v/>
      </c>
      <c r="I171" s="10">
        <f>IF(OR(G171="",$D171=""),"",G171*(1-H171/100)-$D171-IF(G171&lt;=199.99,Kargo!$E$2,IF(G171&lt;=399.99,Kargo!$E$3,$F171)))</f>
        <v/>
      </c>
      <c r="J171" s="12">
        <f>IF(I171="","",I171/G171)</f>
        <v/>
      </c>
      <c r="K171" s="10">
        <f>IF($B171="","",IF('Komisyon Tarifeleri'!J171="","",'Komisyon Tarifeleri'!J171))</f>
        <v/>
      </c>
      <c r="L171" s="11">
        <f>IF(K171="","",IF($AM$1=2,'Komisyon Tarifeleri'!V171,'Komisyon Tarifeleri'!Q171))</f>
        <v/>
      </c>
      <c r="M171" s="10">
        <f>IF(OR(K171="",$D171=""),"",K171*(1-L171/100)-$D171-IF(K171&lt;=199.99,Kargo!$E$2,IF(K171&lt;=399.99,Kargo!$E$3,$F171)))</f>
        <v/>
      </c>
      <c r="N171" s="12">
        <f>IF(M171="","",M171/K171)</f>
        <v/>
      </c>
      <c r="O171" s="10">
        <f>IF($B171="","",IF('Komisyon Tarifeleri'!L171="","",'Komisyon Tarifeleri'!L171))</f>
        <v/>
      </c>
      <c r="P171" s="11">
        <f>IF(O171="","",IF($AM$1=2,'Komisyon Tarifeleri'!W171,'Komisyon Tarifeleri'!R171))</f>
        <v/>
      </c>
      <c r="Q171" s="10">
        <f>IF(OR(O171="",$D171=""),"",O171*(1-P171/100)-$D171-IF(O171&lt;=199.99,Kargo!$E$2,IF(O171&lt;=399.99,Kargo!$E$3,$F171)))</f>
        <v/>
      </c>
      <c r="R171" s="12">
        <f>IF(Q171="","",Q171/O171)</f>
        <v/>
      </c>
      <c r="S171" s="10">
        <f>IF($B171="","",IF('Komisyon Tarifeleri'!N171="","",'Komisyon Tarifeleri'!N171))</f>
        <v/>
      </c>
      <c r="T171" s="11">
        <f>IF(S171="","",IF($AM$1=2,'Komisyon Tarifeleri'!X171,'Komisyon Tarifeleri'!S171))</f>
        <v/>
      </c>
      <c r="U171" s="10">
        <f>IF(OR(S171="",$D171=""),"",S171*(1-T171/100)-$D171-IF(S171&lt;=199.99,Kargo!$E$2,IF(S171&lt;=399.99,Kargo!$E$3,$F171)))</f>
        <v/>
      </c>
      <c r="V171" s="12">
        <f>IF(U171="","",U171/S171)</f>
        <v/>
      </c>
      <c r="W171" s="12">
        <f>IF($B171="","",IFERROR(VLOOKUP($C171,Hedefler!$A:$C,2,FALSE),0.04))</f>
        <v/>
      </c>
      <c r="X171" s="12">
        <f>IF($B171="","",IFERROR(VLOOKUP($C171,Hedefler!$A:$C,3,FALSE),0.1))</f>
        <v/>
      </c>
      <c r="Y171" s="13">
        <f>IF($B171="","",IFERROR(VLOOKUP($B171,Maliyetler!$A:$E,5,FALSE),""))</f>
        <v/>
      </c>
      <c r="Z171" s="13">
        <f>IF(OR(Y171="",Y171=0),"",Y171-1)</f>
        <v/>
      </c>
      <c r="AA171" s="14">
        <f>IF(Z171="","",IF(Z171&gt;='Komisyon Tarifeleri'!I171,IF($AM$1=2,'Komisyon Tarifeleri'!U171,'Komisyon Tarifeleri'!P171),IF(Z171&gt;='Komisyon Tarifeleri'!K171,IF($AM$1=2,'Komisyon Tarifeleri'!V171,'Komisyon Tarifeleri'!Q171),IF(Z171&gt;='Komisyon Tarifeleri'!M171,IF($AM$1=2,'Komisyon Tarifeleri'!W171,'Komisyon Tarifeleri'!R171),IF($AM$1=2,'Komisyon Tarifeleri'!X171,'Komisyon Tarifeleri'!S171)))))</f>
        <v/>
      </c>
      <c r="AB171" s="13">
        <f>IF(OR(AA171="",$D171=""),"",Z171*(1-AA171/100)-$D171-IF(Z171&lt;=199.99,Kargo!$E$2,IF(Z171&lt;=399.99,Kargo!$E$3,$F171)))</f>
        <v/>
      </c>
      <c r="AC171" s="15">
        <f>IF(AB171="","",AB171/Z171)</f>
        <v/>
      </c>
      <c r="AD171" s="10">
        <f>IF(OR($D171="",$B171=""),"",IF(AND((1-T171/100-W171)&gt;0,CEILING(($D171+$F171)/(1-T171/100-W171),1)&lt;='Komisyon Tarifeleri'!N171),CEILING(($D171+$F171)/(1-T171/100-W171),1),IF(AND((1-P171/100-W171)&gt;0,CEILING(MAX('Komisyon Tarifeleri'!M171,($D171+$F171)/(1-P171/100-W171)),1)&lt;='Komisyon Tarifeleri'!L171),CEILING(MAX('Komisyon Tarifeleri'!M171,($D171+$F171)/(1-P171/100-W171)),1),IF(AND((1-L171/100-W171)&gt;0,CEILING(MAX('Komisyon Tarifeleri'!K171,($D171+$F171)/(1-L171/100-W171)),1)&lt;='Komisyon Tarifeleri'!J171),CEILING(MAX('Komisyon Tarifeleri'!K171,($D171+$F171)/(1-L171/100-W171)),1),IF((1-H171/100-W171)&gt;0,CEILING(MAX('Komisyon Tarifeleri'!I171,($D171+$F171)/(1-H171/100-W171)),1),"İMKÂNSIZ")))))</f>
        <v/>
      </c>
      <c r="AE171" s="10">
        <f>IF(OR($D171="",$B171=""),"",IF(AND((1-T171/100-X171)&gt;0,CEILING(($D171+$F171)/(1-T171/100-X171),1)&lt;='Komisyon Tarifeleri'!N171),CEILING(($D171+$F171)/(1-T171/100-X171),1),IF(AND((1-P171/100-X171)&gt;0,CEILING(MAX('Komisyon Tarifeleri'!M171,($D171+$F171)/(1-P171/100-X171)),1)&lt;='Komisyon Tarifeleri'!L171),CEILING(MAX('Komisyon Tarifeleri'!M171,($D171+$F171)/(1-P171/100-X171)),1),IF(AND((1-L171/100-X171)&gt;0,CEILING(MAX('Komisyon Tarifeleri'!K171,($D171+$F171)/(1-L171/100-X171)),1)&lt;='Komisyon Tarifeleri'!J171),CEILING(MAX('Komisyon Tarifeleri'!K171,($D171+$F171)/(1-L171/100-X171)),1),IF((1-H171/100-X171)&gt;0,CEILING(MAX('Komisyon Tarifeleri'!I171,($D171+$F171)/(1-H171/100-X171)),1),"İMKÂNSIZ")))))</f>
        <v/>
      </c>
      <c r="AF171" s="16">
        <f>IF($D171="","",IF(AND(Y171&lt;&gt;"",AC171&lt;&gt;"",AC171&gt;=W171),Z171,IF(Y171&lt;&gt;"",AD171,AE171)))</f>
        <v/>
      </c>
      <c r="AG171" s="16">
        <f>IF(OR(AF171="",AF171="İMKÂNSIZ"),"",AF171*(1-IF(AF171&gt;='Komisyon Tarifeleri'!I171,IF($AM$1=2,'Komisyon Tarifeleri'!U171,'Komisyon Tarifeleri'!P171),IF(AF171&gt;='Komisyon Tarifeleri'!K171,IF($AM$1=2,'Komisyon Tarifeleri'!V171,'Komisyon Tarifeleri'!Q171),IF(AF171&gt;='Komisyon Tarifeleri'!M171,IF($AM$1=2,'Komisyon Tarifeleri'!W171,'Komisyon Tarifeleri'!R171),IF($AM$1=2,'Komisyon Tarifeleri'!X171,'Komisyon Tarifeleri'!S171))))/100)-$D171-IF(AF171&lt;=199.99,Kargo!$E$2,IF(AF171&lt;=399.99,Kargo!$E$3,$F171)))</f>
        <v/>
      </c>
      <c r="AH171" s="17">
        <f>IF(AG171="","",AG171/AF171)</f>
        <v/>
      </c>
      <c r="AI171" s="18">
        <f>IF($D171="","",IF(Y171="","BUYBOX YOK → hedef kârla min fiyat",IF(AC171&gt;=W171,"✓ BUYBOX ALTINA GİR","BUYBOX ALTI KÂRSIZ → min kârlı fiyat")))</f>
        <v/>
      </c>
      <c r="AJ171" s="10">
        <f>IF($B171="","",IFERROR(VLOOKUP($B171,Maliyetler!$A:$G,6,FALSE),""))</f>
        <v/>
      </c>
      <c r="AK171">
        <f>IF($B171="","",IFERROR(VLOOKUP($B171,Maliyetler!$A:$G,7,FALSE),""))</f>
        <v/>
      </c>
      <c r="AO171" s="21">
        <f>IF($B171="","",IFERROR(VLOOKUP($B171&amp;"",'Plus Tarifeleri'!$C:$Q,11,FALSE),""))</f>
        <v/>
      </c>
      <c r="AP171" s="22">
        <f>IF(AO171="","",IFERROR(IF($AM$1=2,VLOOKUP($B171&amp;"",'Plus Tarifeleri'!$C:$Q,15,FALSE),VLOOKUP($B171&amp;"",'Plus Tarifeleri'!$C:$Q,13,FALSE)),""))</f>
        <v/>
      </c>
      <c r="AQ171" s="21">
        <f>IF(OR(AO171="",AP171="",$D171=""),"",AO171*(1-AP171/100)-$D171-IF(AO171&lt;=199.99,Kargo!$E$2,IF(AO171&lt;=399.99,Kargo!$E$3,$F171)))</f>
        <v/>
      </c>
      <c r="AR171" s="23">
        <f>IF(AQ171="","",AQ171/AO171)</f>
        <v/>
      </c>
      <c r="AS171" s="24">
        <f>IF(OR(AQ171="",AG171=""),"",AQ171-AG171)</f>
        <v/>
      </c>
    </row>
    <row r="172">
      <c r="A172">
        <f>IF('Komisyon Tarifeleri'!A172="","",'Komisyon Tarifeleri'!A172)</f>
        <v/>
      </c>
      <c r="B172">
        <f>IF('Komisyon Tarifeleri'!B172="","",'Komisyon Tarifeleri'!B172&amp;"")</f>
        <v/>
      </c>
      <c r="C172">
        <f>IF($B172="","",'Komisyon Tarifeleri'!F172)</f>
        <v/>
      </c>
      <c r="D172" s="10">
        <f>IF($B172="","",IFERROR(VLOOKUP($B172,Maliyetler!$A:$E,3,FALSE),""))</f>
        <v/>
      </c>
      <c r="E172">
        <f>IF($B172="","",IFERROR(VLOOKUP($B172,Maliyetler!$A:$E,4,FALSE),1))</f>
        <v/>
      </c>
      <c r="F172" s="10">
        <f>IF($B172="","",IFERROR(VLOOKUP(MIN(20,MAX(1,ROUND($E172,0))),Kargo!$A:$B,2,FALSE),99.46))</f>
        <v/>
      </c>
      <c r="G172" s="10">
        <f>IF($B172="","",IF(IF(N('Komisyon Tarifeleri'!AA172)&gt;='Komisyon Tarifeleri'!I172,'Komisyon Tarifeleri'!AA172,'Komisyon Tarifeleri'!I172)="","",IF(N('Komisyon Tarifeleri'!AA172)&gt;='Komisyon Tarifeleri'!I172,'Komisyon Tarifeleri'!AA172,'Komisyon Tarifeleri'!I172)))</f>
        <v/>
      </c>
      <c r="H172" s="11">
        <f>IF(G172="","",IF($AM$1=2,'Komisyon Tarifeleri'!U172,'Komisyon Tarifeleri'!P172))</f>
        <v/>
      </c>
      <c r="I172" s="10">
        <f>IF(OR(G172="",$D172=""),"",G172*(1-H172/100)-$D172-IF(G172&lt;=199.99,Kargo!$E$2,IF(G172&lt;=399.99,Kargo!$E$3,$F172)))</f>
        <v/>
      </c>
      <c r="J172" s="12">
        <f>IF(I172="","",I172/G172)</f>
        <v/>
      </c>
      <c r="K172" s="10">
        <f>IF($B172="","",IF('Komisyon Tarifeleri'!J172="","",'Komisyon Tarifeleri'!J172))</f>
        <v/>
      </c>
      <c r="L172" s="11">
        <f>IF(K172="","",IF($AM$1=2,'Komisyon Tarifeleri'!V172,'Komisyon Tarifeleri'!Q172))</f>
        <v/>
      </c>
      <c r="M172" s="10">
        <f>IF(OR(K172="",$D172=""),"",K172*(1-L172/100)-$D172-IF(K172&lt;=199.99,Kargo!$E$2,IF(K172&lt;=399.99,Kargo!$E$3,$F172)))</f>
        <v/>
      </c>
      <c r="N172" s="12">
        <f>IF(M172="","",M172/K172)</f>
        <v/>
      </c>
      <c r="O172" s="10">
        <f>IF($B172="","",IF('Komisyon Tarifeleri'!L172="","",'Komisyon Tarifeleri'!L172))</f>
        <v/>
      </c>
      <c r="P172" s="11">
        <f>IF(O172="","",IF($AM$1=2,'Komisyon Tarifeleri'!W172,'Komisyon Tarifeleri'!R172))</f>
        <v/>
      </c>
      <c r="Q172" s="10">
        <f>IF(OR(O172="",$D172=""),"",O172*(1-P172/100)-$D172-IF(O172&lt;=199.99,Kargo!$E$2,IF(O172&lt;=399.99,Kargo!$E$3,$F172)))</f>
        <v/>
      </c>
      <c r="R172" s="12">
        <f>IF(Q172="","",Q172/O172)</f>
        <v/>
      </c>
      <c r="S172" s="10">
        <f>IF($B172="","",IF('Komisyon Tarifeleri'!N172="","",'Komisyon Tarifeleri'!N172))</f>
        <v/>
      </c>
      <c r="T172" s="11">
        <f>IF(S172="","",IF($AM$1=2,'Komisyon Tarifeleri'!X172,'Komisyon Tarifeleri'!S172))</f>
        <v/>
      </c>
      <c r="U172" s="10">
        <f>IF(OR(S172="",$D172=""),"",S172*(1-T172/100)-$D172-IF(S172&lt;=199.99,Kargo!$E$2,IF(S172&lt;=399.99,Kargo!$E$3,$F172)))</f>
        <v/>
      </c>
      <c r="V172" s="12">
        <f>IF(U172="","",U172/S172)</f>
        <v/>
      </c>
      <c r="W172" s="12">
        <f>IF($B172="","",IFERROR(VLOOKUP($C172,Hedefler!$A:$C,2,FALSE),0.04))</f>
        <v/>
      </c>
      <c r="X172" s="12">
        <f>IF($B172="","",IFERROR(VLOOKUP($C172,Hedefler!$A:$C,3,FALSE),0.1))</f>
        <v/>
      </c>
      <c r="Y172" s="13">
        <f>IF($B172="","",IFERROR(VLOOKUP($B172,Maliyetler!$A:$E,5,FALSE),""))</f>
        <v/>
      </c>
      <c r="Z172" s="13">
        <f>IF(OR(Y172="",Y172=0),"",Y172-1)</f>
        <v/>
      </c>
      <c r="AA172" s="14">
        <f>IF(Z172="","",IF(Z172&gt;='Komisyon Tarifeleri'!I172,IF($AM$1=2,'Komisyon Tarifeleri'!U172,'Komisyon Tarifeleri'!P172),IF(Z172&gt;='Komisyon Tarifeleri'!K172,IF($AM$1=2,'Komisyon Tarifeleri'!V172,'Komisyon Tarifeleri'!Q172),IF(Z172&gt;='Komisyon Tarifeleri'!M172,IF($AM$1=2,'Komisyon Tarifeleri'!W172,'Komisyon Tarifeleri'!R172),IF($AM$1=2,'Komisyon Tarifeleri'!X172,'Komisyon Tarifeleri'!S172)))))</f>
        <v/>
      </c>
      <c r="AB172" s="13">
        <f>IF(OR(AA172="",$D172=""),"",Z172*(1-AA172/100)-$D172-IF(Z172&lt;=199.99,Kargo!$E$2,IF(Z172&lt;=399.99,Kargo!$E$3,$F172)))</f>
        <v/>
      </c>
      <c r="AC172" s="15">
        <f>IF(AB172="","",AB172/Z172)</f>
        <v/>
      </c>
      <c r="AD172" s="10">
        <f>IF(OR($D172="",$B172=""),"",IF(AND((1-T172/100-W172)&gt;0,CEILING(($D172+$F172)/(1-T172/100-W172),1)&lt;='Komisyon Tarifeleri'!N172),CEILING(($D172+$F172)/(1-T172/100-W172),1),IF(AND((1-P172/100-W172)&gt;0,CEILING(MAX('Komisyon Tarifeleri'!M172,($D172+$F172)/(1-P172/100-W172)),1)&lt;='Komisyon Tarifeleri'!L172),CEILING(MAX('Komisyon Tarifeleri'!M172,($D172+$F172)/(1-P172/100-W172)),1),IF(AND((1-L172/100-W172)&gt;0,CEILING(MAX('Komisyon Tarifeleri'!K172,($D172+$F172)/(1-L172/100-W172)),1)&lt;='Komisyon Tarifeleri'!J172),CEILING(MAX('Komisyon Tarifeleri'!K172,($D172+$F172)/(1-L172/100-W172)),1),IF((1-H172/100-W172)&gt;0,CEILING(MAX('Komisyon Tarifeleri'!I172,($D172+$F172)/(1-H172/100-W172)),1),"İMKÂNSIZ")))))</f>
        <v/>
      </c>
      <c r="AE172" s="10">
        <f>IF(OR($D172="",$B172=""),"",IF(AND((1-T172/100-X172)&gt;0,CEILING(($D172+$F172)/(1-T172/100-X172),1)&lt;='Komisyon Tarifeleri'!N172),CEILING(($D172+$F172)/(1-T172/100-X172),1),IF(AND((1-P172/100-X172)&gt;0,CEILING(MAX('Komisyon Tarifeleri'!M172,($D172+$F172)/(1-P172/100-X172)),1)&lt;='Komisyon Tarifeleri'!L172),CEILING(MAX('Komisyon Tarifeleri'!M172,($D172+$F172)/(1-P172/100-X172)),1),IF(AND((1-L172/100-X172)&gt;0,CEILING(MAX('Komisyon Tarifeleri'!K172,($D172+$F172)/(1-L172/100-X172)),1)&lt;='Komisyon Tarifeleri'!J172),CEILING(MAX('Komisyon Tarifeleri'!K172,($D172+$F172)/(1-L172/100-X172)),1),IF((1-H172/100-X172)&gt;0,CEILING(MAX('Komisyon Tarifeleri'!I172,($D172+$F172)/(1-H172/100-X172)),1),"İMKÂNSIZ")))))</f>
        <v/>
      </c>
      <c r="AF172" s="16">
        <f>IF($D172="","",IF(AND(Y172&lt;&gt;"",AC172&lt;&gt;"",AC172&gt;=W172),Z172,IF(Y172&lt;&gt;"",AD172,AE172)))</f>
        <v/>
      </c>
      <c r="AG172" s="16">
        <f>IF(OR(AF172="",AF172="İMKÂNSIZ"),"",AF172*(1-IF(AF172&gt;='Komisyon Tarifeleri'!I172,IF($AM$1=2,'Komisyon Tarifeleri'!U172,'Komisyon Tarifeleri'!P172),IF(AF172&gt;='Komisyon Tarifeleri'!K172,IF($AM$1=2,'Komisyon Tarifeleri'!V172,'Komisyon Tarifeleri'!Q172),IF(AF172&gt;='Komisyon Tarifeleri'!M172,IF($AM$1=2,'Komisyon Tarifeleri'!W172,'Komisyon Tarifeleri'!R172),IF($AM$1=2,'Komisyon Tarifeleri'!X172,'Komisyon Tarifeleri'!S172))))/100)-$D172-IF(AF172&lt;=199.99,Kargo!$E$2,IF(AF172&lt;=399.99,Kargo!$E$3,$F172)))</f>
        <v/>
      </c>
      <c r="AH172" s="17">
        <f>IF(AG172="","",AG172/AF172)</f>
        <v/>
      </c>
      <c r="AI172" s="18">
        <f>IF($D172="","",IF(Y172="","BUYBOX YOK → hedef kârla min fiyat",IF(AC172&gt;=W172,"✓ BUYBOX ALTINA GİR","BUYBOX ALTI KÂRSIZ → min kârlı fiyat")))</f>
        <v/>
      </c>
      <c r="AJ172" s="10">
        <f>IF($B172="","",IFERROR(VLOOKUP($B172,Maliyetler!$A:$G,6,FALSE),""))</f>
        <v/>
      </c>
      <c r="AK172">
        <f>IF($B172="","",IFERROR(VLOOKUP($B172,Maliyetler!$A:$G,7,FALSE),""))</f>
        <v/>
      </c>
      <c r="AO172" s="21">
        <f>IF($B172="","",IFERROR(VLOOKUP($B172&amp;"",'Plus Tarifeleri'!$C:$Q,11,FALSE),""))</f>
        <v/>
      </c>
      <c r="AP172" s="22">
        <f>IF(AO172="","",IFERROR(IF($AM$1=2,VLOOKUP($B172&amp;"",'Plus Tarifeleri'!$C:$Q,15,FALSE),VLOOKUP($B172&amp;"",'Plus Tarifeleri'!$C:$Q,13,FALSE)),""))</f>
        <v/>
      </c>
      <c r="AQ172" s="21">
        <f>IF(OR(AO172="",AP172="",$D172=""),"",AO172*(1-AP172/100)-$D172-IF(AO172&lt;=199.99,Kargo!$E$2,IF(AO172&lt;=399.99,Kargo!$E$3,$F172)))</f>
        <v/>
      </c>
      <c r="AR172" s="23">
        <f>IF(AQ172="","",AQ172/AO172)</f>
        <v/>
      </c>
      <c r="AS172" s="24">
        <f>IF(OR(AQ172="",AG172=""),"",AQ172-AG172)</f>
        <v/>
      </c>
    </row>
    <row r="173">
      <c r="A173">
        <f>IF('Komisyon Tarifeleri'!A173="","",'Komisyon Tarifeleri'!A173)</f>
        <v/>
      </c>
      <c r="B173">
        <f>IF('Komisyon Tarifeleri'!B173="","",'Komisyon Tarifeleri'!B173&amp;"")</f>
        <v/>
      </c>
      <c r="C173">
        <f>IF($B173="","",'Komisyon Tarifeleri'!F173)</f>
        <v/>
      </c>
      <c r="D173" s="10">
        <f>IF($B173="","",IFERROR(VLOOKUP($B173,Maliyetler!$A:$E,3,FALSE),""))</f>
        <v/>
      </c>
      <c r="E173">
        <f>IF($B173="","",IFERROR(VLOOKUP($B173,Maliyetler!$A:$E,4,FALSE),1))</f>
        <v/>
      </c>
      <c r="F173" s="10">
        <f>IF($B173="","",IFERROR(VLOOKUP(MIN(20,MAX(1,ROUND($E173,0))),Kargo!$A:$B,2,FALSE),99.46))</f>
        <v/>
      </c>
      <c r="G173" s="10">
        <f>IF($B173="","",IF(IF(N('Komisyon Tarifeleri'!AA173)&gt;='Komisyon Tarifeleri'!I173,'Komisyon Tarifeleri'!AA173,'Komisyon Tarifeleri'!I173)="","",IF(N('Komisyon Tarifeleri'!AA173)&gt;='Komisyon Tarifeleri'!I173,'Komisyon Tarifeleri'!AA173,'Komisyon Tarifeleri'!I173)))</f>
        <v/>
      </c>
      <c r="H173" s="11">
        <f>IF(G173="","",IF($AM$1=2,'Komisyon Tarifeleri'!U173,'Komisyon Tarifeleri'!P173))</f>
        <v/>
      </c>
      <c r="I173" s="10">
        <f>IF(OR(G173="",$D173=""),"",G173*(1-H173/100)-$D173-IF(G173&lt;=199.99,Kargo!$E$2,IF(G173&lt;=399.99,Kargo!$E$3,$F173)))</f>
        <v/>
      </c>
      <c r="J173" s="12">
        <f>IF(I173="","",I173/G173)</f>
        <v/>
      </c>
      <c r="K173" s="10">
        <f>IF($B173="","",IF('Komisyon Tarifeleri'!J173="","",'Komisyon Tarifeleri'!J173))</f>
        <v/>
      </c>
      <c r="L173" s="11">
        <f>IF(K173="","",IF($AM$1=2,'Komisyon Tarifeleri'!V173,'Komisyon Tarifeleri'!Q173))</f>
        <v/>
      </c>
      <c r="M173" s="10">
        <f>IF(OR(K173="",$D173=""),"",K173*(1-L173/100)-$D173-IF(K173&lt;=199.99,Kargo!$E$2,IF(K173&lt;=399.99,Kargo!$E$3,$F173)))</f>
        <v/>
      </c>
      <c r="N173" s="12">
        <f>IF(M173="","",M173/K173)</f>
        <v/>
      </c>
      <c r="O173" s="10">
        <f>IF($B173="","",IF('Komisyon Tarifeleri'!L173="","",'Komisyon Tarifeleri'!L173))</f>
        <v/>
      </c>
      <c r="P173" s="11">
        <f>IF(O173="","",IF($AM$1=2,'Komisyon Tarifeleri'!W173,'Komisyon Tarifeleri'!R173))</f>
        <v/>
      </c>
      <c r="Q173" s="10">
        <f>IF(OR(O173="",$D173=""),"",O173*(1-P173/100)-$D173-IF(O173&lt;=199.99,Kargo!$E$2,IF(O173&lt;=399.99,Kargo!$E$3,$F173)))</f>
        <v/>
      </c>
      <c r="R173" s="12">
        <f>IF(Q173="","",Q173/O173)</f>
        <v/>
      </c>
      <c r="S173" s="10">
        <f>IF($B173="","",IF('Komisyon Tarifeleri'!N173="","",'Komisyon Tarifeleri'!N173))</f>
        <v/>
      </c>
      <c r="T173" s="11">
        <f>IF(S173="","",IF($AM$1=2,'Komisyon Tarifeleri'!X173,'Komisyon Tarifeleri'!S173))</f>
        <v/>
      </c>
      <c r="U173" s="10">
        <f>IF(OR(S173="",$D173=""),"",S173*(1-T173/100)-$D173-IF(S173&lt;=199.99,Kargo!$E$2,IF(S173&lt;=399.99,Kargo!$E$3,$F173)))</f>
        <v/>
      </c>
      <c r="V173" s="12">
        <f>IF(U173="","",U173/S173)</f>
        <v/>
      </c>
      <c r="W173" s="12">
        <f>IF($B173="","",IFERROR(VLOOKUP($C173,Hedefler!$A:$C,2,FALSE),0.04))</f>
        <v/>
      </c>
      <c r="X173" s="12">
        <f>IF($B173="","",IFERROR(VLOOKUP($C173,Hedefler!$A:$C,3,FALSE),0.1))</f>
        <v/>
      </c>
      <c r="Y173" s="13">
        <f>IF($B173="","",IFERROR(VLOOKUP($B173,Maliyetler!$A:$E,5,FALSE),""))</f>
        <v/>
      </c>
      <c r="Z173" s="13">
        <f>IF(OR(Y173="",Y173=0),"",Y173-1)</f>
        <v/>
      </c>
      <c r="AA173" s="14">
        <f>IF(Z173="","",IF(Z173&gt;='Komisyon Tarifeleri'!I173,IF($AM$1=2,'Komisyon Tarifeleri'!U173,'Komisyon Tarifeleri'!P173),IF(Z173&gt;='Komisyon Tarifeleri'!K173,IF($AM$1=2,'Komisyon Tarifeleri'!V173,'Komisyon Tarifeleri'!Q173),IF(Z173&gt;='Komisyon Tarifeleri'!M173,IF($AM$1=2,'Komisyon Tarifeleri'!W173,'Komisyon Tarifeleri'!R173),IF($AM$1=2,'Komisyon Tarifeleri'!X173,'Komisyon Tarifeleri'!S173)))))</f>
        <v/>
      </c>
      <c r="AB173" s="13">
        <f>IF(OR(AA173="",$D173=""),"",Z173*(1-AA173/100)-$D173-IF(Z173&lt;=199.99,Kargo!$E$2,IF(Z173&lt;=399.99,Kargo!$E$3,$F173)))</f>
        <v/>
      </c>
      <c r="AC173" s="15">
        <f>IF(AB173="","",AB173/Z173)</f>
        <v/>
      </c>
      <c r="AD173" s="10">
        <f>IF(OR($D173="",$B173=""),"",IF(AND((1-T173/100-W173)&gt;0,CEILING(($D173+$F173)/(1-T173/100-W173),1)&lt;='Komisyon Tarifeleri'!N173),CEILING(($D173+$F173)/(1-T173/100-W173),1),IF(AND((1-P173/100-W173)&gt;0,CEILING(MAX('Komisyon Tarifeleri'!M173,($D173+$F173)/(1-P173/100-W173)),1)&lt;='Komisyon Tarifeleri'!L173),CEILING(MAX('Komisyon Tarifeleri'!M173,($D173+$F173)/(1-P173/100-W173)),1),IF(AND((1-L173/100-W173)&gt;0,CEILING(MAX('Komisyon Tarifeleri'!K173,($D173+$F173)/(1-L173/100-W173)),1)&lt;='Komisyon Tarifeleri'!J173),CEILING(MAX('Komisyon Tarifeleri'!K173,($D173+$F173)/(1-L173/100-W173)),1),IF((1-H173/100-W173)&gt;0,CEILING(MAX('Komisyon Tarifeleri'!I173,($D173+$F173)/(1-H173/100-W173)),1),"İMKÂNSIZ")))))</f>
        <v/>
      </c>
      <c r="AE173" s="10">
        <f>IF(OR($D173="",$B173=""),"",IF(AND((1-T173/100-X173)&gt;0,CEILING(($D173+$F173)/(1-T173/100-X173),1)&lt;='Komisyon Tarifeleri'!N173),CEILING(($D173+$F173)/(1-T173/100-X173),1),IF(AND((1-P173/100-X173)&gt;0,CEILING(MAX('Komisyon Tarifeleri'!M173,($D173+$F173)/(1-P173/100-X173)),1)&lt;='Komisyon Tarifeleri'!L173),CEILING(MAX('Komisyon Tarifeleri'!M173,($D173+$F173)/(1-P173/100-X173)),1),IF(AND((1-L173/100-X173)&gt;0,CEILING(MAX('Komisyon Tarifeleri'!K173,($D173+$F173)/(1-L173/100-X173)),1)&lt;='Komisyon Tarifeleri'!J173),CEILING(MAX('Komisyon Tarifeleri'!K173,($D173+$F173)/(1-L173/100-X173)),1),IF((1-H173/100-X173)&gt;0,CEILING(MAX('Komisyon Tarifeleri'!I173,($D173+$F173)/(1-H173/100-X173)),1),"İMKÂNSIZ")))))</f>
        <v/>
      </c>
      <c r="AF173" s="16">
        <f>IF($D173="","",IF(AND(Y173&lt;&gt;"",AC173&lt;&gt;"",AC173&gt;=W173),Z173,IF(Y173&lt;&gt;"",AD173,AE173)))</f>
        <v/>
      </c>
      <c r="AG173" s="16">
        <f>IF(OR(AF173="",AF173="İMKÂNSIZ"),"",AF173*(1-IF(AF173&gt;='Komisyon Tarifeleri'!I173,IF($AM$1=2,'Komisyon Tarifeleri'!U173,'Komisyon Tarifeleri'!P173),IF(AF173&gt;='Komisyon Tarifeleri'!K173,IF($AM$1=2,'Komisyon Tarifeleri'!V173,'Komisyon Tarifeleri'!Q173),IF(AF173&gt;='Komisyon Tarifeleri'!M173,IF($AM$1=2,'Komisyon Tarifeleri'!W173,'Komisyon Tarifeleri'!R173),IF($AM$1=2,'Komisyon Tarifeleri'!X173,'Komisyon Tarifeleri'!S173))))/100)-$D173-IF(AF173&lt;=199.99,Kargo!$E$2,IF(AF173&lt;=399.99,Kargo!$E$3,$F173)))</f>
        <v/>
      </c>
      <c r="AH173" s="17">
        <f>IF(AG173="","",AG173/AF173)</f>
        <v/>
      </c>
      <c r="AI173" s="18">
        <f>IF($D173="","",IF(Y173="","BUYBOX YOK → hedef kârla min fiyat",IF(AC173&gt;=W173,"✓ BUYBOX ALTINA GİR","BUYBOX ALTI KÂRSIZ → min kârlı fiyat")))</f>
        <v/>
      </c>
      <c r="AJ173" s="10">
        <f>IF($B173="","",IFERROR(VLOOKUP($B173,Maliyetler!$A:$G,6,FALSE),""))</f>
        <v/>
      </c>
      <c r="AK173">
        <f>IF($B173="","",IFERROR(VLOOKUP($B173,Maliyetler!$A:$G,7,FALSE),""))</f>
        <v/>
      </c>
      <c r="AO173" s="21">
        <f>IF($B173="","",IFERROR(VLOOKUP($B173&amp;"",'Plus Tarifeleri'!$C:$Q,11,FALSE),""))</f>
        <v/>
      </c>
      <c r="AP173" s="22">
        <f>IF(AO173="","",IFERROR(IF($AM$1=2,VLOOKUP($B173&amp;"",'Plus Tarifeleri'!$C:$Q,15,FALSE),VLOOKUP($B173&amp;"",'Plus Tarifeleri'!$C:$Q,13,FALSE)),""))</f>
        <v/>
      </c>
      <c r="AQ173" s="21">
        <f>IF(OR(AO173="",AP173="",$D173=""),"",AO173*(1-AP173/100)-$D173-IF(AO173&lt;=199.99,Kargo!$E$2,IF(AO173&lt;=399.99,Kargo!$E$3,$F173)))</f>
        <v/>
      </c>
      <c r="AR173" s="23">
        <f>IF(AQ173="","",AQ173/AO173)</f>
        <v/>
      </c>
      <c r="AS173" s="24">
        <f>IF(OR(AQ173="",AG173=""),"",AQ173-AG173)</f>
        <v/>
      </c>
    </row>
    <row r="174">
      <c r="A174">
        <f>IF('Komisyon Tarifeleri'!A174="","",'Komisyon Tarifeleri'!A174)</f>
        <v/>
      </c>
      <c r="B174">
        <f>IF('Komisyon Tarifeleri'!B174="","",'Komisyon Tarifeleri'!B174&amp;"")</f>
        <v/>
      </c>
      <c r="C174">
        <f>IF($B174="","",'Komisyon Tarifeleri'!F174)</f>
        <v/>
      </c>
      <c r="D174" s="10">
        <f>IF($B174="","",IFERROR(VLOOKUP($B174,Maliyetler!$A:$E,3,FALSE),""))</f>
        <v/>
      </c>
      <c r="E174">
        <f>IF($B174="","",IFERROR(VLOOKUP($B174,Maliyetler!$A:$E,4,FALSE),1))</f>
        <v/>
      </c>
      <c r="F174" s="10">
        <f>IF($B174="","",IFERROR(VLOOKUP(MIN(20,MAX(1,ROUND($E174,0))),Kargo!$A:$B,2,FALSE),99.46))</f>
        <v/>
      </c>
      <c r="G174" s="10">
        <f>IF($B174="","",IF(IF(N('Komisyon Tarifeleri'!AA174)&gt;='Komisyon Tarifeleri'!I174,'Komisyon Tarifeleri'!AA174,'Komisyon Tarifeleri'!I174)="","",IF(N('Komisyon Tarifeleri'!AA174)&gt;='Komisyon Tarifeleri'!I174,'Komisyon Tarifeleri'!AA174,'Komisyon Tarifeleri'!I174)))</f>
        <v/>
      </c>
      <c r="H174" s="11">
        <f>IF(G174="","",IF($AM$1=2,'Komisyon Tarifeleri'!U174,'Komisyon Tarifeleri'!P174))</f>
        <v/>
      </c>
      <c r="I174" s="10">
        <f>IF(OR(G174="",$D174=""),"",G174*(1-H174/100)-$D174-IF(G174&lt;=199.99,Kargo!$E$2,IF(G174&lt;=399.99,Kargo!$E$3,$F174)))</f>
        <v/>
      </c>
      <c r="J174" s="12">
        <f>IF(I174="","",I174/G174)</f>
        <v/>
      </c>
      <c r="K174" s="10">
        <f>IF($B174="","",IF('Komisyon Tarifeleri'!J174="","",'Komisyon Tarifeleri'!J174))</f>
        <v/>
      </c>
      <c r="L174" s="11">
        <f>IF(K174="","",IF($AM$1=2,'Komisyon Tarifeleri'!V174,'Komisyon Tarifeleri'!Q174))</f>
        <v/>
      </c>
      <c r="M174" s="10">
        <f>IF(OR(K174="",$D174=""),"",K174*(1-L174/100)-$D174-IF(K174&lt;=199.99,Kargo!$E$2,IF(K174&lt;=399.99,Kargo!$E$3,$F174)))</f>
        <v/>
      </c>
      <c r="N174" s="12">
        <f>IF(M174="","",M174/K174)</f>
        <v/>
      </c>
      <c r="O174" s="10">
        <f>IF($B174="","",IF('Komisyon Tarifeleri'!L174="","",'Komisyon Tarifeleri'!L174))</f>
        <v/>
      </c>
      <c r="P174" s="11">
        <f>IF(O174="","",IF($AM$1=2,'Komisyon Tarifeleri'!W174,'Komisyon Tarifeleri'!R174))</f>
        <v/>
      </c>
      <c r="Q174" s="10">
        <f>IF(OR(O174="",$D174=""),"",O174*(1-P174/100)-$D174-IF(O174&lt;=199.99,Kargo!$E$2,IF(O174&lt;=399.99,Kargo!$E$3,$F174)))</f>
        <v/>
      </c>
      <c r="R174" s="12">
        <f>IF(Q174="","",Q174/O174)</f>
        <v/>
      </c>
      <c r="S174" s="10">
        <f>IF($B174="","",IF('Komisyon Tarifeleri'!N174="","",'Komisyon Tarifeleri'!N174))</f>
        <v/>
      </c>
      <c r="T174" s="11">
        <f>IF(S174="","",IF($AM$1=2,'Komisyon Tarifeleri'!X174,'Komisyon Tarifeleri'!S174))</f>
        <v/>
      </c>
      <c r="U174" s="10">
        <f>IF(OR(S174="",$D174=""),"",S174*(1-T174/100)-$D174-IF(S174&lt;=199.99,Kargo!$E$2,IF(S174&lt;=399.99,Kargo!$E$3,$F174)))</f>
        <v/>
      </c>
      <c r="V174" s="12">
        <f>IF(U174="","",U174/S174)</f>
        <v/>
      </c>
      <c r="W174" s="12">
        <f>IF($B174="","",IFERROR(VLOOKUP($C174,Hedefler!$A:$C,2,FALSE),0.04))</f>
        <v/>
      </c>
      <c r="X174" s="12">
        <f>IF($B174="","",IFERROR(VLOOKUP($C174,Hedefler!$A:$C,3,FALSE),0.1))</f>
        <v/>
      </c>
      <c r="Y174" s="13">
        <f>IF($B174="","",IFERROR(VLOOKUP($B174,Maliyetler!$A:$E,5,FALSE),""))</f>
        <v/>
      </c>
      <c r="Z174" s="13">
        <f>IF(OR(Y174="",Y174=0),"",Y174-1)</f>
        <v/>
      </c>
      <c r="AA174" s="14">
        <f>IF(Z174="","",IF(Z174&gt;='Komisyon Tarifeleri'!I174,IF($AM$1=2,'Komisyon Tarifeleri'!U174,'Komisyon Tarifeleri'!P174),IF(Z174&gt;='Komisyon Tarifeleri'!K174,IF($AM$1=2,'Komisyon Tarifeleri'!V174,'Komisyon Tarifeleri'!Q174),IF(Z174&gt;='Komisyon Tarifeleri'!M174,IF($AM$1=2,'Komisyon Tarifeleri'!W174,'Komisyon Tarifeleri'!R174),IF($AM$1=2,'Komisyon Tarifeleri'!X174,'Komisyon Tarifeleri'!S174)))))</f>
        <v/>
      </c>
      <c r="AB174" s="13">
        <f>IF(OR(AA174="",$D174=""),"",Z174*(1-AA174/100)-$D174-IF(Z174&lt;=199.99,Kargo!$E$2,IF(Z174&lt;=399.99,Kargo!$E$3,$F174)))</f>
        <v/>
      </c>
      <c r="AC174" s="15">
        <f>IF(AB174="","",AB174/Z174)</f>
        <v/>
      </c>
      <c r="AD174" s="10">
        <f>IF(OR($D174="",$B174=""),"",IF(AND((1-T174/100-W174)&gt;0,CEILING(($D174+$F174)/(1-T174/100-W174),1)&lt;='Komisyon Tarifeleri'!N174),CEILING(($D174+$F174)/(1-T174/100-W174),1),IF(AND((1-P174/100-W174)&gt;0,CEILING(MAX('Komisyon Tarifeleri'!M174,($D174+$F174)/(1-P174/100-W174)),1)&lt;='Komisyon Tarifeleri'!L174),CEILING(MAX('Komisyon Tarifeleri'!M174,($D174+$F174)/(1-P174/100-W174)),1),IF(AND((1-L174/100-W174)&gt;0,CEILING(MAX('Komisyon Tarifeleri'!K174,($D174+$F174)/(1-L174/100-W174)),1)&lt;='Komisyon Tarifeleri'!J174),CEILING(MAX('Komisyon Tarifeleri'!K174,($D174+$F174)/(1-L174/100-W174)),1),IF((1-H174/100-W174)&gt;0,CEILING(MAX('Komisyon Tarifeleri'!I174,($D174+$F174)/(1-H174/100-W174)),1),"İMKÂNSIZ")))))</f>
        <v/>
      </c>
      <c r="AE174" s="10">
        <f>IF(OR($D174="",$B174=""),"",IF(AND((1-T174/100-X174)&gt;0,CEILING(($D174+$F174)/(1-T174/100-X174),1)&lt;='Komisyon Tarifeleri'!N174),CEILING(($D174+$F174)/(1-T174/100-X174),1),IF(AND((1-P174/100-X174)&gt;0,CEILING(MAX('Komisyon Tarifeleri'!M174,($D174+$F174)/(1-P174/100-X174)),1)&lt;='Komisyon Tarifeleri'!L174),CEILING(MAX('Komisyon Tarifeleri'!M174,($D174+$F174)/(1-P174/100-X174)),1),IF(AND((1-L174/100-X174)&gt;0,CEILING(MAX('Komisyon Tarifeleri'!K174,($D174+$F174)/(1-L174/100-X174)),1)&lt;='Komisyon Tarifeleri'!J174),CEILING(MAX('Komisyon Tarifeleri'!K174,($D174+$F174)/(1-L174/100-X174)),1),IF((1-H174/100-X174)&gt;0,CEILING(MAX('Komisyon Tarifeleri'!I174,($D174+$F174)/(1-H174/100-X174)),1),"İMKÂNSIZ")))))</f>
        <v/>
      </c>
      <c r="AF174" s="16">
        <f>IF($D174="","",IF(AND(Y174&lt;&gt;"",AC174&lt;&gt;"",AC174&gt;=W174),Z174,IF(Y174&lt;&gt;"",AD174,AE174)))</f>
        <v/>
      </c>
      <c r="AG174" s="16">
        <f>IF(OR(AF174="",AF174="İMKÂNSIZ"),"",AF174*(1-IF(AF174&gt;='Komisyon Tarifeleri'!I174,IF($AM$1=2,'Komisyon Tarifeleri'!U174,'Komisyon Tarifeleri'!P174),IF(AF174&gt;='Komisyon Tarifeleri'!K174,IF($AM$1=2,'Komisyon Tarifeleri'!V174,'Komisyon Tarifeleri'!Q174),IF(AF174&gt;='Komisyon Tarifeleri'!M174,IF($AM$1=2,'Komisyon Tarifeleri'!W174,'Komisyon Tarifeleri'!R174),IF($AM$1=2,'Komisyon Tarifeleri'!X174,'Komisyon Tarifeleri'!S174))))/100)-$D174-IF(AF174&lt;=199.99,Kargo!$E$2,IF(AF174&lt;=399.99,Kargo!$E$3,$F174)))</f>
        <v/>
      </c>
      <c r="AH174" s="17">
        <f>IF(AG174="","",AG174/AF174)</f>
        <v/>
      </c>
      <c r="AI174" s="18">
        <f>IF($D174="","",IF(Y174="","BUYBOX YOK → hedef kârla min fiyat",IF(AC174&gt;=W174,"✓ BUYBOX ALTINA GİR","BUYBOX ALTI KÂRSIZ → min kârlı fiyat")))</f>
        <v/>
      </c>
      <c r="AJ174" s="10">
        <f>IF($B174="","",IFERROR(VLOOKUP($B174,Maliyetler!$A:$G,6,FALSE),""))</f>
        <v/>
      </c>
      <c r="AK174">
        <f>IF($B174="","",IFERROR(VLOOKUP($B174,Maliyetler!$A:$G,7,FALSE),""))</f>
        <v/>
      </c>
      <c r="AO174" s="21">
        <f>IF($B174="","",IFERROR(VLOOKUP($B174&amp;"",'Plus Tarifeleri'!$C:$Q,11,FALSE),""))</f>
        <v/>
      </c>
      <c r="AP174" s="22">
        <f>IF(AO174="","",IFERROR(IF($AM$1=2,VLOOKUP($B174&amp;"",'Plus Tarifeleri'!$C:$Q,15,FALSE),VLOOKUP($B174&amp;"",'Plus Tarifeleri'!$C:$Q,13,FALSE)),""))</f>
        <v/>
      </c>
      <c r="AQ174" s="21">
        <f>IF(OR(AO174="",AP174="",$D174=""),"",AO174*(1-AP174/100)-$D174-IF(AO174&lt;=199.99,Kargo!$E$2,IF(AO174&lt;=399.99,Kargo!$E$3,$F174)))</f>
        <v/>
      </c>
      <c r="AR174" s="23">
        <f>IF(AQ174="","",AQ174/AO174)</f>
        <v/>
      </c>
      <c r="AS174" s="24">
        <f>IF(OR(AQ174="",AG174=""),"",AQ174-AG174)</f>
        <v/>
      </c>
    </row>
    <row r="175">
      <c r="A175">
        <f>IF('Komisyon Tarifeleri'!A175="","",'Komisyon Tarifeleri'!A175)</f>
        <v/>
      </c>
      <c r="B175">
        <f>IF('Komisyon Tarifeleri'!B175="","",'Komisyon Tarifeleri'!B175&amp;"")</f>
        <v/>
      </c>
      <c r="C175">
        <f>IF($B175="","",'Komisyon Tarifeleri'!F175)</f>
        <v/>
      </c>
      <c r="D175" s="10">
        <f>IF($B175="","",IFERROR(VLOOKUP($B175,Maliyetler!$A:$E,3,FALSE),""))</f>
        <v/>
      </c>
      <c r="E175">
        <f>IF($B175="","",IFERROR(VLOOKUP($B175,Maliyetler!$A:$E,4,FALSE),1))</f>
        <v/>
      </c>
      <c r="F175" s="10">
        <f>IF($B175="","",IFERROR(VLOOKUP(MIN(20,MAX(1,ROUND($E175,0))),Kargo!$A:$B,2,FALSE),99.46))</f>
        <v/>
      </c>
      <c r="G175" s="10">
        <f>IF($B175="","",IF(IF(N('Komisyon Tarifeleri'!AA175)&gt;='Komisyon Tarifeleri'!I175,'Komisyon Tarifeleri'!AA175,'Komisyon Tarifeleri'!I175)="","",IF(N('Komisyon Tarifeleri'!AA175)&gt;='Komisyon Tarifeleri'!I175,'Komisyon Tarifeleri'!AA175,'Komisyon Tarifeleri'!I175)))</f>
        <v/>
      </c>
      <c r="H175" s="11">
        <f>IF(G175="","",IF($AM$1=2,'Komisyon Tarifeleri'!U175,'Komisyon Tarifeleri'!P175))</f>
        <v/>
      </c>
      <c r="I175" s="10">
        <f>IF(OR(G175="",$D175=""),"",G175*(1-H175/100)-$D175-IF(G175&lt;=199.99,Kargo!$E$2,IF(G175&lt;=399.99,Kargo!$E$3,$F175)))</f>
        <v/>
      </c>
      <c r="J175" s="12">
        <f>IF(I175="","",I175/G175)</f>
        <v/>
      </c>
      <c r="K175" s="10">
        <f>IF($B175="","",IF('Komisyon Tarifeleri'!J175="","",'Komisyon Tarifeleri'!J175))</f>
        <v/>
      </c>
      <c r="L175" s="11">
        <f>IF(K175="","",IF($AM$1=2,'Komisyon Tarifeleri'!V175,'Komisyon Tarifeleri'!Q175))</f>
        <v/>
      </c>
      <c r="M175" s="10">
        <f>IF(OR(K175="",$D175=""),"",K175*(1-L175/100)-$D175-IF(K175&lt;=199.99,Kargo!$E$2,IF(K175&lt;=399.99,Kargo!$E$3,$F175)))</f>
        <v/>
      </c>
      <c r="N175" s="12">
        <f>IF(M175="","",M175/K175)</f>
        <v/>
      </c>
      <c r="O175" s="10">
        <f>IF($B175="","",IF('Komisyon Tarifeleri'!L175="","",'Komisyon Tarifeleri'!L175))</f>
        <v/>
      </c>
      <c r="P175" s="11">
        <f>IF(O175="","",IF($AM$1=2,'Komisyon Tarifeleri'!W175,'Komisyon Tarifeleri'!R175))</f>
        <v/>
      </c>
      <c r="Q175" s="10">
        <f>IF(OR(O175="",$D175=""),"",O175*(1-P175/100)-$D175-IF(O175&lt;=199.99,Kargo!$E$2,IF(O175&lt;=399.99,Kargo!$E$3,$F175)))</f>
        <v/>
      </c>
      <c r="R175" s="12">
        <f>IF(Q175="","",Q175/O175)</f>
        <v/>
      </c>
      <c r="S175" s="10">
        <f>IF($B175="","",IF('Komisyon Tarifeleri'!N175="","",'Komisyon Tarifeleri'!N175))</f>
        <v/>
      </c>
      <c r="T175" s="11">
        <f>IF(S175="","",IF($AM$1=2,'Komisyon Tarifeleri'!X175,'Komisyon Tarifeleri'!S175))</f>
        <v/>
      </c>
      <c r="U175" s="10">
        <f>IF(OR(S175="",$D175=""),"",S175*(1-T175/100)-$D175-IF(S175&lt;=199.99,Kargo!$E$2,IF(S175&lt;=399.99,Kargo!$E$3,$F175)))</f>
        <v/>
      </c>
      <c r="V175" s="12">
        <f>IF(U175="","",U175/S175)</f>
        <v/>
      </c>
      <c r="W175" s="12">
        <f>IF($B175="","",IFERROR(VLOOKUP($C175,Hedefler!$A:$C,2,FALSE),0.04))</f>
        <v/>
      </c>
      <c r="X175" s="12">
        <f>IF($B175="","",IFERROR(VLOOKUP($C175,Hedefler!$A:$C,3,FALSE),0.1))</f>
        <v/>
      </c>
      <c r="Y175" s="13">
        <f>IF($B175="","",IFERROR(VLOOKUP($B175,Maliyetler!$A:$E,5,FALSE),""))</f>
        <v/>
      </c>
      <c r="Z175" s="13">
        <f>IF(OR(Y175="",Y175=0),"",Y175-1)</f>
        <v/>
      </c>
      <c r="AA175" s="14">
        <f>IF(Z175="","",IF(Z175&gt;='Komisyon Tarifeleri'!I175,IF($AM$1=2,'Komisyon Tarifeleri'!U175,'Komisyon Tarifeleri'!P175),IF(Z175&gt;='Komisyon Tarifeleri'!K175,IF($AM$1=2,'Komisyon Tarifeleri'!V175,'Komisyon Tarifeleri'!Q175),IF(Z175&gt;='Komisyon Tarifeleri'!M175,IF($AM$1=2,'Komisyon Tarifeleri'!W175,'Komisyon Tarifeleri'!R175),IF($AM$1=2,'Komisyon Tarifeleri'!X175,'Komisyon Tarifeleri'!S175)))))</f>
        <v/>
      </c>
      <c r="AB175" s="13">
        <f>IF(OR(AA175="",$D175=""),"",Z175*(1-AA175/100)-$D175-IF(Z175&lt;=199.99,Kargo!$E$2,IF(Z175&lt;=399.99,Kargo!$E$3,$F175)))</f>
        <v/>
      </c>
      <c r="AC175" s="15">
        <f>IF(AB175="","",AB175/Z175)</f>
        <v/>
      </c>
      <c r="AD175" s="10">
        <f>IF(OR($D175="",$B175=""),"",IF(AND((1-T175/100-W175)&gt;0,CEILING(($D175+$F175)/(1-T175/100-W175),1)&lt;='Komisyon Tarifeleri'!N175),CEILING(($D175+$F175)/(1-T175/100-W175),1),IF(AND((1-P175/100-W175)&gt;0,CEILING(MAX('Komisyon Tarifeleri'!M175,($D175+$F175)/(1-P175/100-W175)),1)&lt;='Komisyon Tarifeleri'!L175),CEILING(MAX('Komisyon Tarifeleri'!M175,($D175+$F175)/(1-P175/100-W175)),1),IF(AND((1-L175/100-W175)&gt;0,CEILING(MAX('Komisyon Tarifeleri'!K175,($D175+$F175)/(1-L175/100-W175)),1)&lt;='Komisyon Tarifeleri'!J175),CEILING(MAX('Komisyon Tarifeleri'!K175,($D175+$F175)/(1-L175/100-W175)),1),IF((1-H175/100-W175)&gt;0,CEILING(MAX('Komisyon Tarifeleri'!I175,($D175+$F175)/(1-H175/100-W175)),1),"İMKÂNSIZ")))))</f>
        <v/>
      </c>
      <c r="AE175" s="10">
        <f>IF(OR($D175="",$B175=""),"",IF(AND((1-T175/100-X175)&gt;0,CEILING(($D175+$F175)/(1-T175/100-X175),1)&lt;='Komisyon Tarifeleri'!N175),CEILING(($D175+$F175)/(1-T175/100-X175),1),IF(AND((1-P175/100-X175)&gt;0,CEILING(MAX('Komisyon Tarifeleri'!M175,($D175+$F175)/(1-P175/100-X175)),1)&lt;='Komisyon Tarifeleri'!L175),CEILING(MAX('Komisyon Tarifeleri'!M175,($D175+$F175)/(1-P175/100-X175)),1),IF(AND((1-L175/100-X175)&gt;0,CEILING(MAX('Komisyon Tarifeleri'!K175,($D175+$F175)/(1-L175/100-X175)),1)&lt;='Komisyon Tarifeleri'!J175),CEILING(MAX('Komisyon Tarifeleri'!K175,($D175+$F175)/(1-L175/100-X175)),1),IF((1-H175/100-X175)&gt;0,CEILING(MAX('Komisyon Tarifeleri'!I175,($D175+$F175)/(1-H175/100-X175)),1),"İMKÂNSIZ")))))</f>
        <v/>
      </c>
      <c r="AF175" s="16">
        <f>IF($D175="","",IF(AND(Y175&lt;&gt;"",AC175&lt;&gt;"",AC175&gt;=W175),Z175,IF(Y175&lt;&gt;"",AD175,AE175)))</f>
        <v/>
      </c>
      <c r="AG175" s="16">
        <f>IF(OR(AF175="",AF175="İMKÂNSIZ"),"",AF175*(1-IF(AF175&gt;='Komisyon Tarifeleri'!I175,IF($AM$1=2,'Komisyon Tarifeleri'!U175,'Komisyon Tarifeleri'!P175),IF(AF175&gt;='Komisyon Tarifeleri'!K175,IF($AM$1=2,'Komisyon Tarifeleri'!V175,'Komisyon Tarifeleri'!Q175),IF(AF175&gt;='Komisyon Tarifeleri'!M175,IF($AM$1=2,'Komisyon Tarifeleri'!W175,'Komisyon Tarifeleri'!R175),IF($AM$1=2,'Komisyon Tarifeleri'!X175,'Komisyon Tarifeleri'!S175))))/100)-$D175-IF(AF175&lt;=199.99,Kargo!$E$2,IF(AF175&lt;=399.99,Kargo!$E$3,$F175)))</f>
        <v/>
      </c>
      <c r="AH175" s="17">
        <f>IF(AG175="","",AG175/AF175)</f>
        <v/>
      </c>
      <c r="AI175" s="18">
        <f>IF($D175="","",IF(Y175="","BUYBOX YOK → hedef kârla min fiyat",IF(AC175&gt;=W175,"✓ BUYBOX ALTINA GİR","BUYBOX ALTI KÂRSIZ → min kârlı fiyat")))</f>
        <v/>
      </c>
      <c r="AJ175" s="10">
        <f>IF($B175="","",IFERROR(VLOOKUP($B175,Maliyetler!$A:$G,6,FALSE),""))</f>
        <v/>
      </c>
      <c r="AK175">
        <f>IF($B175="","",IFERROR(VLOOKUP($B175,Maliyetler!$A:$G,7,FALSE),""))</f>
        <v/>
      </c>
      <c r="AO175" s="21">
        <f>IF($B175="","",IFERROR(VLOOKUP($B175&amp;"",'Plus Tarifeleri'!$C:$Q,11,FALSE),""))</f>
        <v/>
      </c>
      <c r="AP175" s="22">
        <f>IF(AO175="","",IFERROR(IF($AM$1=2,VLOOKUP($B175&amp;"",'Plus Tarifeleri'!$C:$Q,15,FALSE),VLOOKUP($B175&amp;"",'Plus Tarifeleri'!$C:$Q,13,FALSE)),""))</f>
        <v/>
      </c>
      <c r="AQ175" s="21">
        <f>IF(OR(AO175="",AP175="",$D175=""),"",AO175*(1-AP175/100)-$D175-IF(AO175&lt;=199.99,Kargo!$E$2,IF(AO175&lt;=399.99,Kargo!$E$3,$F175)))</f>
        <v/>
      </c>
      <c r="AR175" s="23">
        <f>IF(AQ175="","",AQ175/AO175)</f>
        <v/>
      </c>
      <c r="AS175" s="24">
        <f>IF(OR(AQ175="",AG175=""),"",AQ175-AG175)</f>
        <v/>
      </c>
    </row>
    <row r="176">
      <c r="A176">
        <f>IF('Komisyon Tarifeleri'!A176="","",'Komisyon Tarifeleri'!A176)</f>
        <v/>
      </c>
      <c r="B176">
        <f>IF('Komisyon Tarifeleri'!B176="","",'Komisyon Tarifeleri'!B176&amp;"")</f>
        <v/>
      </c>
      <c r="C176">
        <f>IF($B176="","",'Komisyon Tarifeleri'!F176)</f>
        <v/>
      </c>
      <c r="D176" s="10">
        <f>IF($B176="","",IFERROR(VLOOKUP($B176,Maliyetler!$A:$E,3,FALSE),""))</f>
        <v/>
      </c>
      <c r="E176">
        <f>IF($B176="","",IFERROR(VLOOKUP($B176,Maliyetler!$A:$E,4,FALSE),1))</f>
        <v/>
      </c>
      <c r="F176" s="10">
        <f>IF($B176="","",IFERROR(VLOOKUP(MIN(20,MAX(1,ROUND($E176,0))),Kargo!$A:$B,2,FALSE),99.46))</f>
        <v/>
      </c>
      <c r="G176" s="10">
        <f>IF($B176="","",IF(IF(N('Komisyon Tarifeleri'!AA176)&gt;='Komisyon Tarifeleri'!I176,'Komisyon Tarifeleri'!AA176,'Komisyon Tarifeleri'!I176)="","",IF(N('Komisyon Tarifeleri'!AA176)&gt;='Komisyon Tarifeleri'!I176,'Komisyon Tarifeleri'!AA176,'Komisyon Tarifeleri'!I176)))</f>
        <v/>
      </c>
      <c r="H176" s="11">
        <f>IF(G176="","",IF($AM$1=2,'Komisyon Tarifeleri'!U176,'Komisyon Tarifeleri'!P176))</f>
        <v/>
      </c>
      <c r="I176" s="10">
        <f>IF(OR(G176="",$D176=""),"",G176*(1-H176/100)-$D176-IF(G176&lt;=199.99,Kargo!$E$2,IF(G176&lt;=399.99,Kargo!$E$3,$F176)))</f>
        <v/>
      </c>
      <c r="J176" s="12">
        <f>IF(I176="","",I176/G176)</f>
        <v/>
      </c>
      <c r="K176" s="10">
        <f>IF($B176="","",IF('Komisyon Tarifeleri'!J176="","",'Komisyon Tarifeleri'!J176))</f>
        <v/>
      </c>
      <c r="L176" s="11">
        <f>IF(K176="","",IF($AM$1=2,'Komisyon Tarifeleri'!V176,'Komisyon Tarifeleri'!Q176))</f>
        <v/>
      </c>
      <c r="M176" s="10">
        <f>IF(OR(K176="",$D176=""),"",K176*(1-L176/100)-$D176-IF(K176&lt;=199.99,Kargo!$E$2,IF(K176&lt;=399.99,Kargo!$E$3,$F176)))</f>
        <v/>
      </c>
      <c r="N176" s="12">
        <f>IF(M176="","",M176/K176)</f>
        <v/>
      </c>
      <c r="O176" s="10">
        <f>IF($B176="","",IF('Komisyon Tarifeleri'!L176="","",'Komisyon Tarifeleri'!L176))</f>
        <v/>
      </c>
      <c r="P176" s="11">
        <f>IF(O176="","",IF($AM$1=2,'Komisyon Tarifeleri'!W176,'Komisyon Tarifeleri'!R176))</f>
        <v/>
      </c>
      <c r="Q176" s="10">
        <f>IF(OR(O176="",$D176=""),"",O176*(1-P176/100)-$D176-IF(O176&lt;=199.99,Kargo!$E$2,IF(O176&lt;=399.99,Kargo!$E$3,$F176)))</f>
        <v/>
      </c>
      <c r="R176" s="12">
        <f>IF(Q176="","",Q176/O176)</f>
        <v/>
      </c>
      <c r="S176" s="10">
        <f>IF($B176="","",IF('Komisyon Tarifeleri'!N176="","",'Komisyon Tarifeleri'!N176))</f>
        <v/>
      </c>
      <c r="T176" s="11">
        <f>IF(S176="","",IF($AM$1=2,'Komisyon Tarifeleri'!X176,'Komisyon Tarifeleri'!S176))</f>
        <v/>
      </c>
      <c r="U176" s="10">
        <f>IF(OR(S176="",$D176=""),"",S176*(1-T176/100)-$D176-IF(S176&lt;=199.99,Kargo!$E$2,IF(S176&lt;=399.99,Kargo!$E$3,$F176)))</f>
        <v/>
      </c>
      <c r="V176" s="12">
        <f>IF(U176="","",U176/S176)</f>
        <v/>
      </c>
      <c r="W176" s="12">
        <f>IF($B176="","",IFERROR(VLOOKUP($C176,Hedefler!$A:$C,2,FALSE),0.04))</f>
        <v/>
      </c>
      <c r="X176" s="12">
        <f>IF($B176="","",IFERROR(VLOOKUP($C176,Hedefler!$A:$C,3,FALSE),0.1))</f>
        <v/>
      </c>
      <c r="Y176" s="13">
        <f>IF($B176="","",IFERROR(VLOOKUP($B176,Maliyetler!$A:$E,5,FALSE),""))</f>
        <v/>
      </c>
      <c r="Z176" s="13">
        <f>IF(OR(Y176="",Y176=0),"",Y176-1)</f>
        <v/>
      </c>
      <c r="AA176" s="14">
        <f>IF(Z176="","",IF(Z176&gt;='Komisyon Tarifeleri'!I176,IF($AM$1=2,'Komisyon Tarifeleri'!U176,'Komisyon Tarifeleri'!P176),IF(Z176&gt;='Komisyon Tarifeleri'!K176,IF($AM$1=2,'Komisyon Tarifeleri'!V176,'Komisyon Tarifeleri'!Q176),IF(Z176&gt;='Komisyon Tarifeleri'!M176,IF($AM$1=2,'Komisyon Tarifeleri'!W176,'Komisyon Tarifeleri'!R176),IF($AM$1=2,'Komisyon Tarifeleri'!X176,'Komisyon Tarifeleri'!S176)))))</f>
        <v/>
      </c>
      <c r="AB176" s="13">
        <f>IF(OR(AA176="",$D176=""),"",Z176*(1-AA176/100)-$D176-IF(Z176&lt;=199.99,Kargo!$E$2,IF(Z176&lt;=399.99,Kargo!$E$3,$F176)))</f>
        <v/>
      </c>
      <c r="AC176" s="15">
        <f>IF(AB176="","",AB176/Z176)</f>
        <v/>
      </c>
      <c r="AD176" s="10">
        <f>IF(OR($D176="",$B176=""),"",IF(AND((1-T176/100-W176)&gt;0,CEILING(($D176+$F176)/(1-T176/100-W176),1)&lt;='Komisyon Tarifeleri'!N176),CEILING(($D176+$F176)/(1-T176/100-W176),1),IF(AND((1-P176/100-W176)&gt;0,CEILING(MAX('Komisyon Tarifeleri'!M176,($D176+$F176)/(1-P176/100-W176)),1)&lt;='Komisyon Tarifeleri'!L176),CEILING(MAX('Komisyon Tarifeleri'!M176,($D176+$F176)/(1-P176/100-W176)),1),IF(AND((1-L176/100-W176)&gt;0,CEILING(MAX('Komisyon Tarifeleri'!K176,($D176+$F176)/(1-L176/100-W176)),1)&lt;='Komisyon Tarifeleri'!J176),CEILING(MAX('Komisyon Tarifeleri'!K176,($D176+$F176)/(1-L176/100-W176)),1),IF((1-H176/100-W176)&gt;0,CEILING(MAX('Komisyon Tarifeleri'!I176,($D176+$F176)/(1-H176/100-W176)),1),"İMKÂNSIZ")))))</f>
        <v/>
      </c>
      <c r="AE176" s="10">
        <f>IF(OR($D176="",$B176=""),"",IF(AND((1-T176/100-X176)&gt;0,CEILING(($D176+$F176)/(1-T176/100-X176),1)&lt;='Komisyon Tarifeleri'!N176),CEILING(($D176+$F176)/(1-T176/100-X176),1),IF(AND((1-P176/100-X176)&gt;0,CEILING(MAX('Komisyon Tarifeleri'!M176,($D176+$F176)/(1-P176/100-X176)),1)&lt;='Komisyon Tarifeleri'!L176),CEILING(MAX('Komisyon Tarifeleri'!M176,($D176+$F176)/(1-P176/100-X176)),1),IF(AND((1-L176/100-X176)&gt;0,CEILING(MAX('Komisyon Tarifeleri'!K176,($D176+$F176)/(1-L176/100-X176)),1)&lt;='Komisyon Tarifeleri'!J176),CEILING(MAX('Komisyon Tarifeleri'!K176,($D176+$F176)/(1-L176/100-X176)),1),IF((1-H176/100-X176)&gt;0,CEILING(MAX('Komisyon Tarifeleri'!I176,($D176+$F176)/(1-H176/100-X176)),1),"İMKÂNSIZ")))))</f>
        <v/>
      </c>
      <c r="AF176" s="16">
        <f>IF($D176="","",IF(AND(Y176&lt;&gt;"",AC176&lt;&gt;"",AC176&gt;=W176),Z176,IF(Y176&lt;&gt;"",AD176,AE176)))</f>
        <v/>
      </c>
      <c r="AG176" s="16">
        <f>IF(OR(AF176="",AF176="İMKÂNSIZ"),"",AF176*(1-IF(AF176&gt;='Komisyon Tarifeleri'!I176,IF($AM$1=2,'Komisyon Tarifeleri'!U176,'Komisyon Tarifeleri'!P176),IF(AF176&gt;='Komisyon Tarifeleri'!K176,IF($AM$1=2,'Komisyon Tarifeleri'!V176,'Komisyon Tarifeleri'!Q176),IF(AF176&gt;='Komisyon Tarifeleri'!M176,IF($AM$1=2,'Komisyon Tarifeleri'!W176,'Komisyon Tarifeleri'!R176),IF($AM$1=2,'Komisyon Tarifeleri'!X176,'Komisyon Tarifeleri'!S176))))/100)-$D176-IF(AF176&lt;=199.99,Kargo!$E$2,IF(AF176&lt;=399.99,Kargo!$E$3,$F176)))</f>
        <v/>
      </c>
      <c r="AH176" s="17">
        <f>IF(AG176="","",AG176/AF176)</f>
        <v/>
      </c>
      <c r="AI176" s="18">
        <f>IF($D176="","",IF(Y176="","BUYBOX YOK → hedef kârla min fiyat",IF(AC176&gt;=W176,"✓ BUYBOX ALTINA GİR","BUYBOX ALTI KÂRSIZ → min kârlı fiyat")))</f>
        <v/>
      </c>
      <c r="AJ176" s="10">
        <f>IF($B176="","",IFERROR(VLOOKUP($B176,Maliyetler!$A:$G,6,FALSE),""))</f>
        <v/>
      </c>
      <c r="AK176">
        <f>IF($B176="","",IFERROR(VLOOKUP($B176,Maliyetler!$A:$G,7,FALSE),""))</f>
        <v/>
      </c>
      <c r="AO176" s="21">
        <f>IF($B176="","",IFERROR(VLOOKUP($B176&amp;"",'Plus Tarifeleri'!$C:$Q,11,FALSE),""))</f>
        <v/>
      </c>
      <c r="AP176" s="22">
        <f>IF(AO176="","",IFERROR(IF($AM$1=2,VLOOKUP($B176&amp;"",'Plus Tarifeleri'!$C:$Q,15,FALSE),VLOOKUP($B176&amp;"",'Plus Tarifeleri'!$C:$Q,13,FALSE)),""))</f>
        <v/>
      </c>
      <c r="AQ176" s="21">
        <f>IF(OR(AO176="",AP176="",$D176=""),"",AO176*(1-AP176/100)-$D176-IF(AO176&lt;=199.99,Kargo!$E$2,IF(AO176&lt;=399.99,Kargo!$E$3,$F176)))</f>
        <v/>
      </c>
      <c r="AR176" s="23">
        <f>IF(AQ176="","",AQ176/AO176)</f>
        <v/>
      </c>
      <c r="AS176" s="24">
        <f>IF(OR(AQ176="",AG176=""),"",AQ176-AG176)</f>
        <v/>
      </c>
    </row>
    <row r="177">
      <c r="A177">
        <f>IF('Komisyon Tarifeleri'!A177="","",'Komisyon Tarifeleri'!A177)</f>
        <v/>
      </c>
      <c r="B177">
        <f>IF('Komisyon Tarifeleri'!B177="","",'Komisyon Tarifeleri'!B177&amp;"")</f>
        <v/>
      </c>
      <c r="C177">
        <f>IF($B177="","",'Komisyon Tarifeleri'!F177)</f>
        <v/>
      </c>
      <c r="D177" s="10">
        <f>IF($B177="","",IFERROR(VLOOKUP($B177,Maliyetler!$A:$E,3,FALSE),""))</f>
        <v/>
      </c>
      <c r="E177">
        <f>IF($B177="","",IFERROR(VLOOKUP($B177,Maliyetler!$A:$E,4,FALSE),1))</f>
        <v/>
      </c>
      <c r="F177" s="10">
        <f>IF($B177="","",IFERROR(VLOOKUP(MIN(20,MAX(1,ROUND($E177,0))),Kargo!$A:$B,2,FALSE),99.46))</f>
        <v/>
      </c>
      <c r="G177" s="10">
        <f>IF($B177="","",IF(IF(N('Komisyon Tarifeleri'!AA177)&gt;='Komisyon Tarifeleri'!I177,'Komisyon Tarifeleri'!AA177,'Komisyon Tarifeleri'!I177)="","",IF(N('Komisyon Tarifeleri'!AA177)&gt;='Komisyon Tarifeleri'!I177,'Komisyon Tarifeleri'!AA177,'Komisyon Tarifeleri'!I177)))</f>
        <v/>
      </c>
      <c r="H177" s="11">
        <f>IF(G177="","",IF($AM$1=2,'Komisyon Tarifeleri'!U177,'Komisyon Tarifeleri'!P177))</f>
        <v/>
      </c>
      <c r="I177" s="10">
        <f>IF(OR(G177="",$D177=""),"",G177*(1-H177/100)-$D177-IF(G177&lt;=199.99,Kargo!$E$2,IF(G177&lt;=399.99,Kargo!$E$3,$F177)))</f>
        <v/>
      </c>
      <c r="J177" s="12">
        <f>IF(I177="","",I177/G177)</f>
        <v/>
      </c>
      <c r="K177" s="10">
        <f>IF($B177="","",IF('Komisyon Tarifeleri'!J177="","",'Komisyon Tarifeleri'!J177))</f>
        <v/>
      </c>
      <c r="L177" s="11">
        <f>IF(K177="","",IF($AM$1=2,'Komisyon Tarifeleri'!V177,'Komisyon Tarifeleri'!Q177))</f>
        <v/>
      </c>
      <c r="M177" s="10">
        <f>IF(OR(K177="",$D177=""),"",K177*(1-L177/100)-$D177-IF(K177&lt;=199.99,Kargo!$E$2,IF(K177&lt;=399.99,Kargo!$E$3,$F177)))</f>
        <v/>
      </c>
      <c r="N177" s="12">
        <f>IF(M177="","",M177/K177)</f>
        <v/>
      </c>
      <c r="O177" s="10">
        <f>IF($B177="","",IF('Komisyon Tarifeleri'!L177="","",'Komisyon Tarifeleri'!L177))</f>
        <v/>
      </c>
      <c r="P177" s="11">
        <f>IF(O177="","",IF($AM$1=2,'Komisyon Tarifeleri'!W177,'Komisyon Tarifeleri'!R177))</f>
        <v/>
      </c>
      <c r="Q177" s="10">
        <f>IF(OR(O177="",$D177=""),"",O177*(1-P177/100)-$D177-IF(O177&lt;=199.99,Kargo!$E$2,IF(O177&lt;=399.99,Kargo!$E$3,$F177)))</f>
        <v/>
      </c>
      <c r="R177" s="12">
        <f>IF(Q177="","",Q177/O177)</f>
        <v/>
      </c>
      <c r="S177" s="10">
        <f>IF($B177="","",IF('Komisyon Tarifeleri'!N177="","",'Komisyon Tarifeleri'!N177))</f>
        <v/>
      </c>
      <c r="T177" s="11">
        <f>IF(S177="","",IF($AM$1=2,'Komisyon Tarifeleri'!X177,'Komisyon Tarifeleri'!S177))</f>
        <v/>
      </c>
      <c r="U177" s="10">
        <f>IF(OR(S177="",$D177=""),"",S177*(1-T177/100)-$D177-IF(S177&lt;=199.99,Kargo!$E$2,IF(S177&lt;=399.99,Kargo!$E$3,$F177)))</f>
        <v/>
      </c>
      <c r="V177" s="12">
        <f>IF(U177="","",U177/S177)</f>
        <v/>
      </c>
      <c r="W177" s="12">
        <f>IF($B177="","",IFERROR(VLOOKUP($C177,Hedefler!$A:$C,2,FALSE),0.04))</f>
        <v/>
      </c>
      <c r="X177" s="12">
        <f>IF($B177="","",IFERROR(VLOOKUP($C177,Hedefler!$A:$C,3,FALSE),0.1))</f>
        <v/>
      </c>
      <c r="Y177" s="13">
        <f>IF($B177="","",IFERROR(VLOOKUP($B177,Maliyetler!$A:$E,5,FALSE),""))</f>
        <v/>
      </c>
      <c r="Z177" s="13">
        <f>IF(OR(Y177="",Y177=0),"",Y177-1)</f>
        <v/>
      </c>
      <c r="AA177" s="14">
        <f>IF(Z177="","",IF(Z177&gt;='Komisyon Tarifeleri'!I177,IF($AM$1=2,'Komisyon Tarifeleri'!U177,'Komisyon Tarifeleri'!P177),IF(Z177&gt;='Komisyon Tarifeleri'!K177,IF($AM$1=2,'Komisyon Tarifeleri'!V177,'Komisyon Tarifeleri'!Q177),IF(Z177&gt;='Komisyon Tarifeleri'!M177,IF($AM$1=2,'Komisyon Tarifeleri'!W177,'Komisyon Tarifeleri'!R177),IF($AM$1=2,'Komisyon Tarifeleri'!X177,'Komisyon Tarifeleri'!S177)))))</f>
        <v/>
      </c>
      <c r="AB177" s="13">
        <f>IF(OR(AA177="",$D177=""),"",Z177*(1-AA177/100)-$D177-IF(Z177&lt;=199.99,Kargo!$E$2,IF(Z177&lt;=399.99,Kargo!$E$3,$F177)))</f>
        <v/>
      </c>
      <c r="AC177" s="15">
        <f>IF(AB177="","",AB177/Z177)</f>
        <v/>
      </c>
      <c r="AD177" s="10">
        <f>IF(OR($D177="",$B177=""),"",IF(AND((1-T177/100-W177)&gt;0,CEILING(($D177+$F177)/(1-T177/100-W177),1)&lt;='Komisyon Tarifeleri'!N177),CEILING(($D177+$F177)/(1-T177/100-W177),1),IF(AND((1-P177/100-W177)&gt;0,CEILING(MAX('Komisyon Tarifeleri'!M177,($D177+$F177)/(1-P177/100-W177)),1)&lt;='Komisyon Tarifeleri'!L177),CEILING(MAX('Komisyon Tarifeleri'!M177,($D177+$F177)/(1-P177/100-W177)),1),IF(AND((1-L177/100-W177)&gt;0,CEILING(MAX('Komisyon Tarifeleri'!K177,($D177+$F177)/(1-L177/100-W177)),1)&lt;='Komisyon Tarifeleri'!J177),CEILING(MAX('Komisyon Tarifeleri'!K177,($D177+$F177)/(1-L177/100-W177)),1),IF((1-H177/100-W177)&gt;0,CEILING(MAX('Komisyon Tarifeleri'!I177,($D177+$F177)/(1-H177/100-W177)),1),"İMKÂNSIZ")))))</f>
        <v/>
      </c>
      <c r="AE177" s="10">
        <f>IF(OR($D177="",$B177=""),"",IF(AND((1-T177/100-X177)&gt;0,CEILING(($D177+$F177)/(1-T177/100-X177),1)&lt;='Komisyon Tarifeleri'!N177),CEILING(($D177+$F177)/(1-T177/100-X177),1),IF(AND((1-P177/100-X177)&gt;0,CEILING(MAX('Komisyon Tarifeleri'!M177,($D177+$F177)/(1-P177/100-X177)),1)&lt;='Komisyon Tarifeleri'!L177),CEILING(MAX('Komisyon Tarifeleri'!M177,($D177+$F177)/(1-P177/100-X177)),1),IF(AND((1-L177/100-X177)&gt;0,CEILING(MAX('Komisyon Tarifeleri'!K177,($D177+$F177)/(1-L177/100-X177)),1)&lt;='Komisyon Tarifeleri'!J177),CEILING(MAX('Komisyon Tarifeleri'!K177,($D177+$F177)/(1-L177/100-X177)),1),IF((1-H177/100-X177)&gt;0,CEILING(MAX('Komisyon Tarifeleri'!I177,($D177+$F177)/(1-H177/100-X177)),1),"İMKÂNSIZ")))))</f>
        <v/>
      </c>
      <c r="AF177" s="16">
        <f>IF($D177="","",IF(AND(Y177&lt;&gt;"",AC177&lt;&gt;"",AC177&gt;=W177),Z177,IF(Y177&lt;&gt;"",AD177,AE177)))</f>
        <v/>
      </c>
      <c r="AG177" s="16">
        <f>IF(OR(AF177="",AF177="İMKÂNSIZ"),"",AF177*(1-IF(AF177&gt;='Komisyon Tarifeleri'!I177,IF($AM$1=2,'Komisyon Tarifeleri'!U177,'Komisyon Tarifeleri'!P177),IF(AF177&gt;='Komisyon Tarifeleri'!K177,IF($AM$1=2,'Komisyon Tarifeleri'!V177,'Komisyon Tarifeleri'!Q177),IF(AF177&gt;='Komisyon Tarifeleri'!M177,IF($AM$1=2,'Komisyon Tarifeleri'!W177,'Komisyon Tarifeleri'!R177),IF($AM$1=2,'Komisyon Tarifeleri'!X177,'Komisyon Tarifeleri'!S177))))/100)-$D177-IF(AF177&lt;=199.99,Kargo!$E$2,IF(AF177&lt;=399.99,Kargo!$E$3,$F177)))</f>
        <v/>
      </c>
      <c r="AH177" s="17">
        <f>IF(AG177="","",AG177/AF177)</f>
        <v/>
      </c>
      <c r="AI177" s="18">
        <f>IF($D177="","",IF(Y177="","BUYBOX YOK → hedef kârla min fiyat",IF(AC177&gt;=W177,"✓ BUYBOX ALTINA GİR","BUYBOX ALTI KÂRSIZ → min kârlı fiyat")))</f>
        <v/>
      </c>
      <c r="AJ177" s="10">
        <f>IF($B177="","",IFERROR(VLOOKUP($B177,Maliyetler!$A:$G,6,FALSE),""))</f>
        <v/>
      </c>
      <c r="AK177">
        <f>IF($B177="","",IFERROR(VLOOKUP($B177,Maliyetler!$A:$G,7,FALSE),""))</f>
        <v/>
      </c>
      <c r="AO177" s="21">
        <f>IF($B177="","",IFERROR(VLOOKUP($B177&amp;"",'Plus Tarifeleri'!$C:$Q,11,FALSE),""))</f>
        <v/>
      </c>
      <c r="AP177" s="22">
        <f>IF(AO177="","",IFERROR(IF($AM$1=2,VLOOKUP($B177&amp;"",'Plus Tarifeleri'!$C:$Q,15,FALSE),VLOOKUP($B177&amp;"",'Plus Tarifeleri'!$C:$Q,13,FALSE)),""))</f>
        <v/>
      </c>
      <c r="AQ177" s="21">
        <f>IF(OR(AO177="",AP177="",$D177=""),"",AO177*(1-AP177/100)-$D177-IF(AO177&lt;=199.99,Kargo!$E$2,IF(AO177&lt;=399.99,Kargo!$E$3,$F177)))</f>
        <v/>
      </c>
      <c r="AR177" s="23">
        <f>IF(AQ177="","",AQ177/AO177)</f>
        <v/>
      </c>
      <c r="AS177" s="24">
        <f>IF(OR(AQ177="",AG177=""),"",AQ177-AG177)</f>
        <v/>
      </c>
    </row>
    <row r="178">
      <c r="A178">
        <f>IF('Komisyon Tarifeleri'!A178="","",'Komisyon Tarifeleri'!A178)</f>
        <v/>
      </c>
      <c r="B178">
        <f>IF('Komisyon Tarifeleri'!B178="","",'Komisyon Tarifeleri'!B178&amp;"")</f>
        <v/>
      </c>
      <c r="C178">
        <f>IF($B178="","",'Komisyon Tarifeleri'!F178)</f>
        <v/>
      </c>
      <c r="D178" s="10">
        <f>IF($B178="","",IFERROR(VLOOKUP($B178,Maliyetler!$A:$E,3,FALSE),""))</f>
        <v/>
      </c>
      <c r="E178">
        <f>IF($B178="","",IFERROR(VLOOKUP($B178,Maliyetler!$A:$E,4,FALSE),1))</f>
        <v/>
      </c>
      <c r="F178" s="10">
        <f>IF($B178="","",IFERROR(VLOOKUP(MIN(20,MAX(1,ROUND($E178,0))),Kargo!$A:$B,2,FALSE),99.46))</f>
        <v/>
      </c>
      <c r="G178" s="10">
        <f>IF($B178="","",IF(IF(N('Komisyon Tarifeleri'!AA178)&gt;='Komisyon Tarifeleri'!I178,'Komisyon Tarifeleri'!AA178,'Komisyon Tarifeleri'!I178)="","",IF(N('Komisyon Tarifeleri'!AA178)&gt;='Komisyon Tarifeleri'!I178,'Komisyon Tarifeleri'!AA178,'Komisyon Tarifeleri'!I178)))</f>
        <v/>
      </c>
      <c r="H178" s="11">
        <f>IF(G178="","",IF($AM$1=2,'Komisyon Tarifeleri'!U178,'Komisyon Tarifeleri'!P178))</f>
        <v/>
      </c>
      <c r="I178" s="10">
        <f>IF(OR(G178="",$D178=""),"",G178*(1-H178/100)-$D178-IF(G178&lt;=199.99,Kargo!$E$2,IF(G178&lt;=399.99,Kargo!$E$3,$F178)))</f>
        <v/>
      </c>
      <c r="J178" s="12">
        <f>IF(I178="","",I178/G178)</f>
        <v/>
      </c>
      <c r="K178" s="10">
        <f>IF($B178="","",IF('Komisyon Tarifeleri'!J178="","",'Komisyon Tarifeleri'!J178))</f>
        <v/>
      </c>
      <c r="L178" s="11">
        <f>IF(K178="","",IF($AM$1=2,'Komisyon Tarifeleri'!V178,'Komisyon Tarifeleri'!Q178))</f>
        <v/>
      </c>
      <c r="M178" s="10">
        <f>IF(OR(K178="",$D178=""),"",K178*(1-L178/100)-$D178-IF(K178&lt;=199.99,Kargo!$E$2,IF(K178&lt;=399.99,Kargo!$E$3,$F178)))</f>
        <v/>
      </c>
      <c r="N178" s="12">
        <f>IF(M178="","",M178/K178)</f>
        <v/>
      </c>
      <c r="O178" s="10">
        <f>IF($B178="","",IF('Komisyon Tarifeleri'!L178="","",'Komisyon Tarifeleri'!L178))</f>
        <v/>
      </c>
      <c r="P178" s="11">
        <f>IF(O178="","",IF($AM$1=2,'Komisyon Tarifeleri'!W178,'Komisyon Tarifeleri'!R178))</f>
        <v/>
      </c>
      <c r="Q178" s="10">
        <f>IF(OR(O178="",$D178=""),"",O178*(1-P178/100)-$D178-IF(O178&lt;=199.99,Kargo!$E$2,IF(O178&lt;=399.99,Kargo!$E$3,$F178)))</f>
        <v/>
      </c>
      <c r="R178" s="12">
        <f>IF(Q178="","",Q178/O178)</f>
        <v/>
      </c>
      <c r="S178" s="10">
        <f>IF($B178="","",IF('Komisyon Tarifeleri'!N178="","",'Komisyon Tarifeleri'!N178))</f>
        <v/>
      </c>
      <c r="T178" s="11">
        <f>IF(S178="","",IF($AM$1=2,'Komisyon Tarifeleri'!X178,'Komisyon Tarifeleri'!S178))</f>
        <v/>
      </c>
      <c r="U178" s="10">
        <f>IF(OR(S178="",$D178=""),"",S178*(1-T178/100)-$D178-IF(S178&lt;=199.99,Kargo!$E$2,IF(S178&lt;=399.99,Kargo!$E$3,$F178)))</f>
        <v/>
      </c>
      <c r="V178" s="12">
        <f>IF(U178="","",U178/S178)</f>
        <v/>
      </c>
      <c r="W178" s="12">
        <f>IF($B178="","",IFERROR(VLOOKUP($C178,Hedefler!$A:$C,2,FALSE),0.04))</f>
        <v/>
      </c>
      <c r="X178" s="12">
        <f>IF($B178="","",IFERROR(VLOOKUP($C178,Hedefler!$A:$C,3,FALSE),0.1))</f>
        <v/>
      </c>
      <c r="Y178" s="13">
        <f>IF($B178="","",IFERROR(VLOOKUP($B178,Maliyetler!$A:$E,5,FALSE),""))</f>
        <v/>
      </c>
      <c r="Z178" s="13">
        <f>IF(OR(Y178="",Y178=0),"",Y178-1)</f>
        <v/>
      </c>
      <c r="AA178" s="14">
        <f>IF(Z178="","",IF(Z178&gt;='Komisyon Tarifeleri'!I178,IF($AM$1=2,'Komisyon Tarifeleri'!U178,'Komisyon Tarifeleri'!P178),IF(Z178&gt;='Komisyon Tarifeleri'!K178,IF($AM$1=2,'Komisyon Tarifeleri'!V178,'Komisyon Tarifeleri'!Q178),IF(Z178&gt;='Komisyon Tarifeleri'!M178,IF($AM$1=2,'Komisyon Tarifeleri'!W178,'Komisyon Tarifeleri'!R178),IF($AM$1=2,'Komisyon Tarifeleri'!X178,'Komisyon Tarifeleri'!S178)))))</f>
        <v/>
      </c>
      <c r="AB178" s="13">
        <f>IF(OR(AA178="",$D178=""),"",Z178*(1-AA178/100)-$D178-IF(Z178&lt;=199.99,Kargo!$E$2,IF(Z178&lt;=399.99,Kargo!$E$3,$F178)))</f>
        <v/>
      </c>
      <c r="AC178" s="15">
        <f>IF(AB178="","",AB178/Z178)</f>
        <v/>
      </c>
      <c r="AD178" s="10">
        <f>IF(OR($D178="",$B178=""),"",IF(AND((1-T178/100-W178)&gt;0,CEILING(($D178+$F178)/(1-T178/100-W178),1)&lt;='Komisyon Tarifeleri'!N178),CEILING(($D178+$F178)/(1-T178/100-W178),1),IF(AND((1-P178/100-W178)&gt;0,CEILING(MAX('Komisyon Tarifeleri'!M178,($D178+$F178)/(1-P178/100-W178)),1)&lt;='Komisyon Tarifeleri'!L178),CEILING(MAX('Komisyon Tarifeleri'!M178,($D178+$F178)/(1-P178/100-W178)),1),IF(AND((1-L178/100-W178)&gt;0,CEILING(MAX('Komisyon Tarifeleri'!K178,($D178+$F178)/(1-L178/100-W178)),1)&lt;='Komisyon Tarifeleri'!J178),CEILING(MAX('Komisyon Tarifeleri'!K178,($D178+$F178)/(1-L178/100-W178)),1),IF((1-H178/100-W178)&gt;0,CEILING(MAX('Komisyon Tarifeleri'!I178,($D178+$F178)/(1-H178/100-W178)),1),"İMKÂNSIZ")))))</f>
        <v/>
      </c>
      <c r="AE178" s="10">
        <f>IF(OR($D178="",$B178=""),"",IF(AND((1-T178/100-X178)&gt;0,CEILING(($D178+$F178)/(1-T178/100-X178),1)&lt;='Komisyon Tarifeleri'!N178),CEILING(($D178+$F178)/(1-T178/100-X178),1),IF(AND((1-P178/100-X178)&gt;0,CEILING(MAX('Komisyon Tarifeleri'!M178,($D178+$F178)/(1-P178/100-X178)),1)&lt;='Komisyon Tarifeleri'!L178),CEILING(MAX('Komisyon Tarifeleri'!M178,($D178+$F178)/(1-P178/100-X178)),1),IF(AND((1-L178/100-X178)&gt;0,CEILING(MAX('Komisyon Tarifeleri'!K178,($D178+$F178)/(1-L178/100-X178)),1)&lt;='Komisyon Tarifeleri'!J178),CEILING(MAX('Komisyon Tarifeleri'!K178,($D178+$F178)/(1-L178/100-X178)),1),IF((1-H178/100-X178)&gt;0,CEILING(MAX('Komisyon Tarifeleri'!I178,($D178+$F178)/(1-H178/100-X178)),1),"İMKÂNSIZ")))))</f>
        <v/>
      </c>
      <c r="AF178" s="16">
        <f>IF($D178="","",IF(AND(Y178&lt;&gt;"",AC178&lt;&gt;"",AC178&gt;=W178),Z178,IF(Y178&lt;&gt;"",AD178,AE178)))</f>
        <v/>
      </c>
      <c r="AG178" s="16">
        <f>IF(OR(AF178="",AF178="İMKÂNSIZ"),"",AF178*(1-IF(AF178&gt;='Komisyon Tarifeleri'!I178,IF($AM$1=2,'Komisyon Tarifeleri'!U178,'Komisyon Tarifeleri'!P178),IF(AF178&gt;='Komisyon Tarifeleri'!K178,IF($AM$1=2,'Komisyon Tarifeleri'!V178,'Komisyon Tarifeleri'!Q178),IF(AF178&gt;='Komisyon Tarifeleri'!M178,IF($AM$1=2,'Komisyon Tarifeleri'!W178,'Komisyon Tarifeleri'!R178),IF($AM$1=2,'Komisyon Tarifeleri'!X178,'Komisyon Tarifeleri'!S178))))/100)-$D178-IF(AF178&lt;=199.99,Kargo!$E$2,IF(AF178&lt;=399.99,Kargo!$E$3,$F178)))</f>
        <v/>
      </c>
      <c r="AH178" s="17">
        <f>IF(AG178="","",AG178/AF178)</f>
        <v/>
      </c>
      <c r="AI178" s="18">
        <f>IF($D178="","",IF(Y178="","BUYBOX YOK → hedef kârla min fiyat",IF(AC178&gt;=W178,"✓ BUYBOX ALTINA GİR","BUYBOX ALTI KÂRSIZ → min kârlı fiyat")))</f>
        <v/>
      </c>
      <c r="AJ178" s="10">
        <f>IF($B178="","",IFERROR(VLOOKUP($B178,Maliyetler!$A:$G,6,FALSE),""))</f>
        <v/>
      </c>
      <c r="AK178">
        <f>IF($B178="","",IFERROR(VLOOKUP($B178,Maliyetler!$A:$G,7,FALSE),""))</f>
        <v/>
      </c>
      <c r="AO178" s="21">
        <f>IF($B178="","",IFERROR(VLOOKUP($B178&amp;"",'Plus Tarifeleri'!$C:$Q,11,FALSE),""))</f>
        <v/>
      </c>
      <c r="AP178" s="22">
        <f>IF(AO178="","",IFERROR(IF($AM$1=2,VLOOKUP($B178&amp;"",'Plus Tarifeleri'!$C:$Q,15,FALSE),VLOOKUP($B178&amp;"",'Plus Tarifeleri'!$C:$Q,13,FALSE)),""))</f>
        <v/>
      </c>
      <c r="AQ178" s="21">
        <f>IF(OR(AO178="",AP178="",$D178=""),"",AO178*(1-AP178/100)-$D178-IF(AO178&lt;=199.99,Kargo!$E$2,IF(AO178&lt;=399.99,Kargo!$E$3,$F178)))</f>
        <v/>
      </c>
      <c r="AR178" s="23">
        <f>IF(AQ178="","",AQ178/AO178)</f>
        <v/>
      </c>
      <c r="AS178" s="24">
        <f>IF(OR(AQ178="",AG178=""),"",AQ178-AG178)</f>
        <v/>
      </c>
    </row>
    <row r="179">
      <c r="A179">
        <f>IF('Komisyon Tarifeleri'!A179="","",'Komisyon Tarifeleri'!A179)</f>
        <v/>
      </c>
      <c r="B179">
        <f>IF('Komisyon Tarifeleri'!B179="","",'Komisyon Tarifeleri'!B179&amp;"")</f>
        <v/>
      </c>
      <c r="C179">
        <f>IF($B179="","",'Komisyon Tarifeleri'!F179)</f>
        <v/>
      </c>
      <c r="D179" s="10">
        <f>IF($B179="","",IFERROR(VLOOKUP($B179,Maliyetler!$A:$E,3,FALSE),""))</f>
        <v/>
      </c>
      <c r="E179">
        <f>IF($B179="","",IFERROR(VLOOKUP($B179,Maliyetler!$A:$E,4,FALSE),1))</f>
        <v/>
      </c>
      <c r="F179" s="10">
        <f>IF($B179="","",IFERROR(VLOOKUP(MIN(20,MAX(1,ROUND($E179,0))),Kargo!$A:$B,2,FALSE),99.46))</f>
        <v/>
      </c>
      <c r="G179" s="10">
        <f>IF($B179="","",IF(IF(N('Komisyon Tarifeleri'!AA179)&gt;='Komisyon Tarifeleri'!I179,'Komisyon Tarifeleri'!AA179,'Komisyon Tarifeleri'!I179)="","",IF(N('Komisyon Tarifeleri'!AA179)&gt;='Komisyon Tarifeleri'!I179,'Komisyon Tarifeleri'!AA179,'Komisyon Tarifeleri'!I179)))</f>
        <v/>
      </c>
      <c r="H179" s="11">
        <f>IF(G179="","",IF($AM$1=2,'Komisyon Tarifeleri'!U179,'Komisyon Tarifeleri'!P179))</f>
        <v/>
      </c>
      <c r="I179" s="10">
        <f>IF(OR(G179="",$D179=""),"",G179*(1-H179/100)-$D179-IF(G179&lt;=199.99,Kargo!$E$2,IF(G179&lt;=399.99,Kargo!$E$3,$F179)))</f>
        <v/>
      </c>
      <c r="J179" s="12">
        <f>IF(I179="","",I179/G179)</f>
        <v/>
      </c>
      <c r="K179" s="10">
        <f>IF($B179="","",IF('Komisyon Tarifeleri'!J179="","",'Komisyon Tarifeleri'!J179))</f>
        <v/>
      </c>
      <c r="L179" s="11">
        <f>IF(K179="","",IF($AM$1=2,'Komisyon Tarifeleri'!V179,'Komisyon Tarifeleri'!Q179))</f>
        <v/>
      </c>
      <c r="M179" s="10">
        <f>IF(OR(K179="",$D179=""),"",K179*(1-L179/100)-$D179-IF(K179&lt;=199.99,Kargo!$E$2,IF(K179&lt;=399.99,Kargo!$E$3,$F179)))</f>
        <v/>
      </c>
      <c r="N179" s="12">
        <f>IF(M179="","",M179/K179)</f>
        <v/>
      </c>
      <c r="O179" s="10">
        <f>IF($B179="","",IF('Komisyon Tarifeleri'!L179="","",'Komisyon Tarifeleri'!L179))</f>
        <v/>
      </c>
      <c r="P179" s="11">
        <f>IF(O179="","",IF($AM$1=2,'Komisyon Tarifeleri'!W179,'Komisyon Tarifeleri'!R179))</f>
        <v/>
      </c>
      <c r="Q179" s="10">
        <f>IF(OR(O179="",$D179=""),"",O179*(1-P179/100)-$D179-IF(O179&lt;=199.99,Kargo!$E$2,IF(O179&lt;=399.99,Kargo!$E$3,$F179)))</f>
        <v/>
      </c>
      <c r="R179" s="12">
        <f>IF(Q179="","",Q179/O179)</f>
        <v/>
      </c>
      <c r="S179" s="10">
        <f>IF($B179="","",IF('Komisyon Tarifeleri'!N179="","",'Komisyon Tarifeleri'!N179))</f>
        <v/>
      </c>
      <c r="T179" s="11">
        <f>IF(S179="","",IF($AM$1=2,'Komisyon Tarifeleri'!X179,'Komisyon Tarifeleri'!S179))</f>
        <v/>
      </c>
      <c r="U179" s="10">
        <f>IF(OR(S179="",$D179=""),"",S179*(1-T179/100)-$D179-IF(S179&lt;=199.99,Kargo!$E$2,IF(S179&lt;=399.99,Kargo!$E$3,$F179)))</f>
        <v/>
      </c>
      <c r="V179" s="12">
        <f>IF(U179="","",U179/S179)</f>
        <v/>
      </c>
      <c r="W179" s="12">
        <f>IF($B179="","",IFERROR(VLOOKUP($C179,Hedefler!$A:$C,2,FALSE),0.04))</f>
        <v/>
      </c>
      <c r="X179" s="12">
        <f>IF($B179="","",IFERROR(VLOOKUP($C179,Hedefler!$A:$C,3,FALSE),0.1))</f>
        <v/>
      </c>
      <c r="Y179" s="13">
        <f>IF($B179="","",IFERROR(VLOOKUP($B179,Maliyetler!$A:$E,5,FALSE),""))</f>
        <v/>
      </c>
      <c r="Z179" s="13">
        <f>IF(OR(Y179="",Y179=0),"",Y179-1)</f>
        <v/>
      </c>
      <c r="AA179" s="14">
        <f>IF(Z179="","",IF(Z179&gt;='Komisyon Tarifeleri'!I179,IF($AM$1=2,'Komisyon Tarifeleri'!U179,'Komisyon Tarifeleri'!P179),IF(Z179&gt;='Komisyon Tarifeleri'!K179,IF($AM$1=2,'Komisyon Tarifeleri'!V179,'Komisyon Tarifeleri'!Q179),IF(Z179&gt;='Komisyon Tarifeleri'!M179,IF($AM$1=2,'Komisyon Tarifeleri'!W179,'Komisyon Tarifeleri'!R179),IF($AM$1=2,'Komisyon Tarifeleri'!X179,'Komisyon Tarifeleri'!S179)))))</f>
        <v/>
      </c>
      <c r="AB179" s="13">
        <f>IF(OR(AA179="",$D179=""),"",Z179*(1-AA179/100)-$D179-IF(Z179&lt;=199.99,Kargo!$E$2,IF(Z179&lt;=399.99,Kargo!$E$3,$F179)))</f>
        <v/>
      </c>
      <c r="AC179" s="15">
        <f>IF(AB179="","",AB179/Z179)</f>
        <v/>
      </c>
      <c r="AD179" s="10">
        <f>IF(OR($D179="",$B179=""),"",IF(AND((1-T179/100-W179)&gt;0,CEILING(($D179+$F179)/(1-T179/100-W179),1)&lt;='Komisyon Tarifeleri'!N179),CEILING(($D179+$F179)/(1-T179/100-W179),1),IF(AND((1-P179/100-W179)&gt;0,CEILING(MAX('Komisyon Tarifeleri'!M179,($D179+$F179)/(1-P179/100-W179)),1)&lt;='Komisyon Tarifeleri'!L179),CEILING(MAX('Komisyon Tarifeleri'!M179,($D179+$F179)/(1-P179/100-W179)),1),IF(AND((1-L179/100-W179)&gt;0,CEILING(MAX('Komisyon Tarifeleri'!K179,($D179+$F179)/(1-L179/100-W179)),1)&lt;='Komisyon Tarifeleri'!J179),CEILING(MAX('Komisyon Tarifeleri'!K179,($D179+$F179)/(1-L179/100-W179)),1),IF((1-H179/100-W179)&gt;0,CEILING(MAX('Komisyon Tarifeleri'!I179,($D179+$F179)/(1-H179/100-W179)),1),"İMKÂNSIZ")))))</f>
        <v/>
      </c>
      <c r="AE179" s="10">
        <f>IF(OR($D179="",$B179=""),"",IF(AND((1-T179/100-X179)&gt;0,CEILING(($D179+$F179)/(1-T179/100-X179),1)&lt;='Komisyon Tarifeleri'!N179),CEILING(($D179+$F179)/(1-T179/100-X179),1),IF(AND((1-P179/100-X179)&gt;0,CEILING(MAX('Komisyon Tarifeleri'!M179,($D179+$F179)/(1-P179/100-X179)),1)&lt;='Komisyon Tarifeleri'!L179),CEILING(MAX('Komisyon Tarifeleri'!M179,($D179+$F179)/(1-P179/100-X179)),1),IF(AND((1-L179/100-X179)&gt;0,CEILING(MAX('Komisyon Tarifeleri'!K179,($D179+$F179)/(1-L179/100-X179)),1)&lt;='Komisyon Tarifeleri'!J179),CEILING(MAX('Komisyon Tarifeleri'!K179,($D179+$F179)/(1-L179/100-X179)),1),IF((1-H179/100-X179)&gt;0,CEILING(MAX('Komisyon Tarifeleri'!I179,($D179+$F179)/(1-H179/100-X179)),1),"İMKÂNSIZ")))))</f>
        <v/>
      </c>
      <c r="AF179" s="16">
        <f>IF($D179="","",IF(AND(Y179&lt;&gt;"",AC179&lt;&gt;"",AC179&gt;=W179),Z179,IF(Y179&lt;&gt;"",AD179,AE179)))</f>
        <v/>
      </c>
      <c r="AG179" s="16">
        <f>IF(OR(AF179="",AF179="İMKÂNSIZ"),"",AF179*(1-IF(AF179&gt;='Komisyon Tarifeleri'!I179,IF($AM$1=2,'Komisyon Tarifeleri'!U179,'Komisyon Tarifeleri'!P179),IF(AF179&gt;='Komisyon Tarifeleri'!K179,IF($AM$1=2,'Komisyon Tarifeleri'!V179,'Komisyon Tarifeleri'!Q179),IF(AF179&gt;='Komisyon Tarifeleri'!M179,IF($AM$1=2,'Komisyon Tarifeleri'!W179,'Komisyon Tarifeleri'!R179),IF($AM$1=2,'Komisyon Tarifeleri'!X179,'Komisyon Tarifeleri'!S179))))/100)-$D179-IF(AF179&lt;=199.99,Kargo!$E$2,IF(AF179&lt;=399.99,Kargo!$E$3,$F179)))</f>
        <v/>
      </c>
      <c r="AH179" s="17">
        <f>IF(AG179="","",AG179/AF179)</f>
        <v/>
      </c>
      <c r="AI179" s="18">
        <f>IF($D179="","",IF(Y179="","BUYBOX YOK → hedef kârla min fiyat",IF(AC179&gt;=W179,"✓ BUYBOX ALTINA GİR","BUYBOX ALTI KÂRSIZ → min kârlı fiyat")))</f>
        <v/>
      </c>
      <c r="AJ179" s="10">
        <f>IF($B179="","",IFERROR(VLOOKUP($B179,Maliyetler!$A:$G,6,FALSE),""))</f>
        <v/>
      </c>
      <c r="AK179">
        <f>IF($B179="","",IFERROR(VLOOKUP($B179,Maliyetler!$A:$G,7,FALSE),""))</f>
        <v/>
      </c>
      <c r="AO179" s="21">
        <f>IF($B179="","",IFERROR(VLOOKUP($B179&amp;"",'Plus Tarifeleri'!$C:$Q,11,FALSE),""))</f>
        <v/>
      </c>
      <c r="AP179" s="22">
        <f>IF(AO179="","",IFERROR(IF($AM$1=2,VLOOKUP($B179&amp;"",'Plus Tarifeleri'!$C:$Q,15,FALSE),VLOOKUP($B179&amp;"",'Plus Tarifeleri'!$C:$Q,13,FALSE)),""))</f>
        <v/>
      </c>
      <c r="AQ179" s="21">
        <f>IF(OR(AO179="",AP179="",$D179=""),"",AO179*(1-AP179/100)-$D179-IF(AO179&lt;=199.99,Kargo!$E$2,IF(AO179&lt;=399.99,Kargo!$E$3,$F179)))</f>
        <v/>
      </c>
      <c r="AR179" s="23">
        <f>IF(AQ179="","",AQ179/AO179)</f>
        <v/>
      </c>
      <c r="AS179" s="24">
        <f>IF(OR(AQ179="",AG179=""),"",AQ179-AG179)</f>
        <v/>
      </c>
    </row>
    <row r="180">
      <c r="A180">
        <f>IF('Komisyon Tarifeleri'!A180="","",'Komisyon Tarifeleri'!A180)</f>
        <v/>
      </c>
      <c r="B180">
        <f>IF('Komisyon Tarifeleri'!B180="","",'Komisyon Tarifeleri'!B180&amp;"")</f>
        <v/>
      </c>
      <c r="C180">
        <f>IF($B180="","",'Komisyon Tarifeleri'!F180)</f>
        <v/>
      </c>
      <c r="D180" s="10">
        <f>IF($B180="","",IFERROR(VLOOKUP($B180,Maliyetler!$A:$E,3,FALSE),""))</f>
        <v/>
      </c>
      <c r="E180">
        <f>IF($B180="","",IFERROR(VLOOKUP($B180,Maliyetler!$A:$E,4,FALSE),1))</f>
        <v/>
      </c>
      <c r="F180" s="10">
        <f>IF($B180="","",IFERROR(VLOOKUP(MIN(20,MAX(1,ROUND($E180,0))),Kargo!$A:$B,2,FALSE),99.46))</f>
        <v/>
      </c>
      <c r="G180" s="10">
        <f>IF($B180="","",IF(IF(N('Komisyon Tarifeleri'!AA180)&gt;='Komisyon Tarifeleri'!I180,'Komisyon Tarifeleri'!AA180,'Komisyon Tarifeleri'!I180)="","",IF(N('Komisyon Tarifeleri'!AA180)&gt;='Komisyon Tarifeleri'!I180,'Komisyon Tarifeleri'!AA180,'Komisyon Tarifeleri'!I180)))</f>
        <v/>
      </c>
      <c r="H180" s="11">
        <f>IF(G180="","",IF($AM$1=2,'Komisyon Tarifeleri'!U180,'Komisyon Tarifeleri'!P180))</f>
        <v/>
      </c>
      <c r="I180" s="10">
        <f>IF(OR(G180="",$D180=""),"",G180*(1-H180/100)-$D180-IF(G180&lt;=199.99,Kargo!$E$2,IF(G180&lt;=399.99,Kargo!$E$3,$F180)))</f>
        <v/>
      </c>
      <c r="J180" s="12">
        <f>IF(I180="","",I180/G180)</f>
        <v/>
      </c>
      <c r="K180" s="10">
        <f>IF($B180="","",IF('Komisyon Tarifeleri'!J180="","",'Komisyon Tarifeleri'!J180))</f>
        <v/>
      </c>
      <c r="L180" s="11">
        <f>IF(K180="","",IF($AM$1=2,'Komisyon Tarifeleri'!V180,'Komisyon Tarifeleri'!Q180))</f>
        <v/>
      </c>
      <c r="M180" s="10">
        <f>IF(OR(K180="",$D180=""),"",K180*(1-L180/100)-$D180-IF(K180&lt;=199.99,Kargo!$E$2,IF(K180&lt;=399.99,Kargo!$E$3,$F180)))</f>
        <v/>
      </c>
      <c r="N180" s="12">
        <f>IF(M180="","",M180/K180)</f>
        <v/>
      </c>
      <c r="O180" s="10">
        <f>IF($B180="","",IF('Komisyon Tarifeleri'!L180="","",'Komisyon Tarifeleri'!L180))</f>
        <v/>
      </c>
      <c r="P180" s="11">
        <f>IF(O180="","",IF($AM$1=2,'Komisyon Tarifeleri'!W180,'Komisyon Tarifeleri'!R180))</f>
        <v/>
      </c>
      <c r="Q180" s="10">
        <f>IF(OR(O180="",$D180=""),"",O180*(1-P180/100)-$D180-IF(O180&lt;=199.99,Kargo!$E$2,IF(O180&lt;=399.99,Kargo!$E$3,$F180)))</f>
        <v/>
      </c>
      <c r="R180" s="12">
        <f>IF(Q180="","",Q180/O180)</f>
        <v/>
      </c>
      <c r="S180" s="10">
        <f>IF($B180="","",IF('Komisyon Tarifeleri'!N180="","",'Komisyon Tarifeleri'!N180))</f>
        <v/>
      </c>
      <c r="T180" s="11">
        <f>IF(S180="","",IF($AM$1=2,'Komisyon Tarifeleri'!X180,'Komisyon Tarifeleri'!S180))</f>
        <v/>
      </c>
      <c r="U180" s="10">
        <f>IF(OR(S180="",$D180=""),"",S180*(1-T180/100)-$D180-IF(S180&lt;=199.99,Kargo!$E$2,IF(S180&lt;=399.99,Kargo!$E$3,$F180)))</f>
        <v/>
      </c>
      <c r="V180" s="12">
        <f>IF(U180="","",U180/S180)</f>
        <v/>
      </c>
      <c r="W180" s="12">
        <f>IF($B180="","",IFERROR(VLOOKUP($C180,Hedefler!$A:$C,2,FALSE),0.04))</f>
        <v/>
      </c>
      <c r="X180" s="12">
        <f>IF($B180="","",IFERROR(VLOOKUP($C180,Hedefler!$A:$C,3,FALSE),0.1))</f>
        <v/>
      </c>
      <c r="Y180" s="13">
        <f>IF($B180="","",IFERROR(VLOOKUP($B180,Maliyetler!$A:$E,5,FALSE),""))</f>
        <v/>
      </c>
      <c r="Z180" s="13">
        <f>IF(OR(Y180="",Y180=0),"",Y180-1)</f>
        <v/>
      </c>
      <c r="AA180" s="14">
        <f>IF(Z180="","",IF(Z180&gt;='Komisyon Tarifeleri'!I180,IF($AM$1=2,'Komisyon Tarifeleri'!U180,'Komisyon Tarifeleri'!P180),IF(Z180&gt;='Komisyon Tarifeleri'!K180,IF($AM$1=2,'Komisyon Tarifeleri'!V180,'Komisyon Tarifeleri'!Q180),IF(Z180&gt;='Komisyon Tarifeleri'!M180,IF($AM$1=2,'Komisyon Tarifeleri'!W180,'Komisyon Tarifeleri'!R180),IF($AM$1=2,'Komisyon Tarifeleri'!X180,'Komisyon Tarifeleri'!S180)))))</f>
        <v/>
      </c>
      <c r="AB180" s="13">
        <f>IF(OR(AA180="",$D180=""),"",Z180*(1-AA180/100)-$D180-IF(Z180&lt;=199.99,Kargo!$E$2,IF(Z180&lt;=399.99,Kargo!$E$3,$F180)))</f>
        <v/>
      </c>
      <c r="AC180" s="15">
        <f>IF(AB180="","",AB180/Z180)</f>
        <v/>
      </c>
      <c r="AD180" s="10">
        <f>IF(OR($D180="",$B180=""),"",IF(AND((1-T180/100-W180)&gt;0,CEILING(($D180+$F180)/(1-T180/100-W180),1)&lt;='Komisyon Tarifeleri'!N180),CEILING(($D180+$F180)/(1-T180/100-W180),1),IF(AND((1-P180/100-W180)&gt;0,CEILING(MAX('Komisyon Tarifeleri'!M180,($D180+$F180)/(1-P180/100-W180)),1)&lt;='Komisyon Tarifeleri'!L180),CEILING(MAX('Komisyon Tarifeleri'!M180,($D180+$F180)/(1-P180/100-W180)),1),IF(AND((1-L180/100-W180)&gt;0,CEILING(MAX('Komisyon Tarifeleri'!K180,($D180+$F180)/(1-L180/100-W180)),1)&lt;='Komisyon Tarifeleri'!J180),CEILING(MAX('Komisyon Tarifeleri'!K180,($D180+$F180)/(1-L180/100-W180)),1),IF((1-H180/100-W180)&gt;0,CEILING(MAX('Komisyon Tarifeleri'!I180,($D180+$F180)/(1-H180/100-W180)),1),"İMKÂNSIZ")))))</f>
        <v/>
      </c>
      <c r="AE180" s="10">
        <f>IF(OR($D180="",$B180=""),"",IF(AND((1-T180/100-X180)&gt;0,CEILING(($D180+$F180)/(1-T180/100-X180),1)&lt;='Komisyon Tarifeleri'!N180),CEILING(($D180+$F180)/(1-T180/100-X180),1),IF(AND((1-P180/100-X180)&gt;0,CEILING(MAX('Komisyon Tarifeleri'!M180,($D180+$F180)/(1-P180/100-X180)),1)&lt;='Komisyon Tarifeleri'!L180),CEILING(MAX('Komisyon Tarifeleri'!M180,($D180+$F180)/(1-P180/100-X180)),1),IF(AND((1-L180/100-X180)&gt;0,CEILING(MAX('Komisyon Tarifeleri'!K180,($D180+$F180)/(1-L180/100-X180)),1)&lt;='Komisyon Tarifeleri'!J180),CEILING(MAX('Komisyon Tarifeleri'!K180,($D180+$F180)/(1-L180/100-X180)),1),IF((1-H180/100-X180)&gt;0,CEILING(MAX('Komisyon Tarifeleri'!I180,($D180+$F180)/(1-H180/100-X180)),1),"İMKÂNSIZ")))))</f>
        <v/>
      </c>
      <c r="AF180" s="16">
        <f>IF($D180="","",IF(AND(Y180&lt;&gt;"",AC180&lt;&gt;"",AC180&gt;=W180),Z180,IF(Y180&lt;&gt;"",AD180,AE180)))</f>
        <v/>
      </c>
      <c r="AG180" s="16">
        <f>IF(OR(AF180="",AF180="İMKÂNSIZ"),"",AF180*(1-IF(AF180&gt;='Komisyon Tarifeleri'!I180,IF($AM$1=2,'Komisyon Tarifeleri'!U180,'Komisyon Tarifeleri'!P180),IF(AF180&gt;='Komisyon Tarifeleri'!K180,IF($AM$1=2,'Komisyon Tarifeleri'!V180,'Komisyon Tarifeleri'!Q180),IF(AF180&gt;='Komisyon Tarifeleri'!M180,IF($AM$1=2,'Komisyon Tarifeleri'!W180,'Komisyon Tarifeleri'!R180),IF($AM$1=2,'Komisyon Tarifeleri'!X180,'Komisyon Tarifeleri'!S180))))/100)-$D180-IF(AF180&lt;=199.99,Kargo!$E$2,IF(AF180&lt;=399.99,Kargo!$E$3,$F180)))</f>
        <v/>
      </c>
      <c r="AH180" s="17">
        <f>IF(AG180="","",AG180/AF180)</f>
        <v/>
      </c>
      <c r="AI180" s="18">
        <f>IF($D180="","",IF(Y180="","BUYBOX YOK → hedef kârla min fiyat",IF(AC180&gt;=W180,"✓ BUYBOX ALTINA GİR","BUYBOX ALTI KÂRSIZ → min kârlı fiyat")))</f>
        <v/>
      </c>
      <c r="AJ180" s="10">
        <f>IF($B180="","",IFERROR(VLOOKUP($B180,Maliyetler!$A:$G,6,FALSE),""))</f>
        <v/>
      </c>
      <c r="AK180">
        <f>IF($B180="","",IFERROR(VLOOKUP($B180,Maliyetler!$A:$G,7,FALSE),""))</f>
        <v/>
      </c>
      <c r="AO180" s="21">
        <f>IF($B180="","",IFERROR(VLOOKUP($B180&amp;"",'Plus Tarifeleri'!$C:$Q,11,FALSE),""))</f>
        <v/>
      </c>
      <c r="AP180" s="22">
        <f>IF(AO180="","",IFERROR(IF($AM$1=2,VLOOKUP($B180&amp;"",'Plus Tarifeleri'!$C:$Q,15,FALSE),VLOOKUP($B180&amp;"",'Plus Tarifeleri'!$C:$Q,13,FALSE)),""))</f>
        <v/>
      </c>
      <c r="AQ180" s="21">
        <f>IF(OR(AO180="",AP180="",$D180=""),"",AO180*(1-AP180/100)-$D180-IF(AO180&lt;=199.99,Kargo!$E$2,IF(AO180&lt;=399.99,Kargo!$E$3,$F180)))</f>
        <v/>
      </c>
      <c r="AR180" s="23">
        <f>IF(AQ180="","",AQ180/AO180)</f>
        <v/>
      </c>
      <c r="AS180" s="24">
        <f>IF(OR(AQ180="",AG180=""),"",AQ180-AG180)</f>
        <v/>
      </c>
    </row>
    <row r="181">
      <c r="A181">
        <f>IF('Komisyon Tarifeleri'!A181="","",'Komisyon Tarifeleri'!A181)</f>
        <v/>
      </c>
      <c r="B181">
        <f>IF('Komisyon Tarifeleri'!B181="","",'Komisyon Tarifeleri'!B181&amp;"")</f>
        <v/>
      </c>
      <c r="C181">
        <f>IF($B181="","",'Komisyon Tarifeleri'!F181)</f>
        <v/>
      </c>
      <c r="D181" s="10">
        <f>IF($B181="","",IFERROR(VLOOKUP($B181,Maliyetler!$A:$E,3,FALSE),""))</f>
        <v/>
      </c>
      <c r="E181">
        <f>IF($B181="","",IFERROR(VLOOKUP($B181,Maliyetler!$A:$E,4,FALSE),1))</f>
        <v/>
      </c>
      <c r="F181" s="10">
        <f>IF($B181="","",IFERROR(VLOOKUP(MIN(20,MAX(1,ROUND($E181,0))),Kargo!$A:$B,2,FALSE),99.46))</f>
        <v/>
      </c>
      <c r="G181" s="10">
        <f>IF($B181="","",IF(IF(N('Komisyon Tarifeleri'!AA181)&gt;='Komisyon Tarifeleri'!I181,'Komisyon Tarifeleri'!AA181,'Komisyon Tarifeleri'!I181)="","",IF(N('Komisyon Tarifeleri'!AA181)&gt;='Komisyon Tarifeleri'!I181,'Komisyon Tarifeleri'!AA181,'Komisyon Tarifeleri'!I181)))</f>
        <v/>
      </c>
      <c r="H181" s="11">
        <f>IF(G181="","",IF($AM$1=2,'Komisyon Tarifeleri'!U181,'Komisyon Tarifeleri'!P181))</f>
        <v/>
      </c>
      <c r="I181" s="10">
        <f>IF(OR(G181="",$D181=""),"",G181*(1-H181/100)-$D181-IF(G181&lt;=199.99,Kargo!$E$2,IF(G181&lt;=399.99,Kargo!$E$3,$F181)))</f>
        <v/>
      </c>
      <c r="J181" s="12">
        <f>IF(I181="","",I181/G181)</f>
        <v/>
      </c>
      <c r="K181" s="10">
        <f>IF($B181="","",IF('Komisyon Tarifeleri'!J181="","",'Komisyon Tarifeleri'!J181))</f>
        <v/>
      </c>
      <c r="L181" s="11">
        <f>IF(K181="","",IF($AM$1=2,'Komisyon Tarifeleri'!V181,'Komisyon Tarifeleri'!Q181))</f>
        <v/>
      </c>
      <c r="M181" s="10">
        <f>IF(OR(K181="",$D181=""),"",K181*(1-L181/100)-$D181-IF(K181&lt;=199.99,Kargo!$E$2,IF(K181&lt;=399.99,Kargo!$E$3,$F181)))</f>
        <v/>
      </c>
      <c r="N181" s="12">
        <f>IF(M181="","",M181/K181)</f>
        <v/>
      </c>
      <c r="O181" s="10">
        <f>IF($B181="","",IF('Komisyon Tarifeleri'!L181="","",'Komisyon Tarifeleri'!L181))</f>
        <v/>
      </c>
      <c r="P181" s="11">
        <f>IF(O181="","",IF($AM$1=2,'Komisyon Tarifeleri'!W181,'Komisyon Tarifeleri'!R181))</f>
        <v/>
      </c>
      <c r="Q181" s="10">
        <f>IF(OR(O181="",$D181=""),"",O181*(1-P181/100)-$D181-IF(O181&lt;=199.99,Kargo!$E$2,IF(O181&lt;=399.99,Kargo!$E$3,$F181)))</f>
        <v/>
      </c>
      <c r="R181" s="12">
        <f>IF(Q181="","",Q181/O181)</f>
        <v/>
      </c>
      <c r="S181" s="10">
        <f>IF($B181="","",IF('Komisyon Tarifeleri'!N181="","",'Komisyon Tarifeleri'!N181))</f>
        <v/>
      </c>
      <c r="T181" s="11">
        <f>IF(S181="","",IF($AM$1=2,'Komisyon Tarifeleri'!X181,'Komisyon Tarifeleri'!S181))</f>
        <v/>
      </c>
      <c r="U181" s="10">
        <f>IF(OR(S181="",$D181=""),"",S181*(1-T181/100)-$D181-IF(S181&lt;=199.99,Kargo!$E$2,IF(S181&lt;=399.99,Kargo!$E$3,$F181)))</f>
        <v/>
      </c>
      <c r="V181" s="12">
        <f>IF(U181="","",U181/S181)</f>
        <v/>
      </c>
      <c r="W181" s="12">
        <f>IF($B181="","",IFERROR(VLOOKUP($C181,Hedefler!$A:$C,2,FALSE),0.04))</f>
        <v/>
      </c>
      <c r="X181" s="12">
        <f>IF($B181="","",IFERROR(VLOOKUP($C181,Hedefler!$A:$C,3,FALSE),0.1))</f>
        <v/>
      </c>
      <c r="Y181" s="13">
        <f>IF($B181="","",IFERROR(VLOOKUP($B181,Maliyetler!$A:$E,5,FALSE),""))</f>
        <v/>
      </c>
      <c r="Z181" s="13">
        <f>IF(OR(Y181="",Y181=0),"",Y181-1)</f>
        <v/>
      </c>
      <c r="AA181" s="14">
        <f>IF(Z181="","",IF(Z181&gt;='Komisyon Tarifeleri'!I181,IF($AM$1=2,'Komisyon Tarifeleri'!U181,'Komisyon Tarifeleri'!P181),IF(Z181&gt;='Komisyon Tarifeleri'!K181,IF($AM$1=2,'Komisyon Tarifeleri'!V181,'Komisyon Tarifeleri'!Q181),IF(Z181&gt;='Komisyon Tarifeleri'!M181,IF($AM$1=2,'Komisyon Tarifeleri'!W181,'Komisyon Tarifeleri'!R181),IF($AM$1=2,'Komisyon Tarifeleri'!X181,'Komisyon Tarifeleri'!S181)))))</f>
        <v/>
      </c>
      <c r="AB181" s="13">
        <f>IF(OR(AA181="",$D181=""),"",Z181*(1-AA181/100)-$D181-IF(Z181&lt;=199.99,Kargo!$E$2,IF(Z181&lt;=399.99,Kargo!$E$3,$F181)))</f>
        <v/>
      </c>
      <c r="AC181" s="15">
        <f>IF(AB181="","",AB181/Z181)</f>
        <v/>
      </c>
      <c r="AD181" s="10">
        <f>IF(OR($D181="",$B181=""),"",IF(AND((1-T181/100-W181)&gt;0,CEILING(($D181+$F181)/(1-T181/100-W181),1)&lt;='Komisyon Tarifeleri'!N181),CEILING(($D181+$F181)/(1-T181/100-W181),1),IF(AND((1-P181/100-W181)&gt;0,CEILING(MAX('Komisyon Tarifeleri'!M181,($D181+$F181)/(1-P181/100-W181)),1)&lt;='Komisyon Tarifeleri'!L181),CEILING(MAX('Komisyon Tarifeleri'!M181,($D181+$F181)/(1-P181/100-W181)),1),IF(AND((1-L181/100-W181)&gt;0,CEILING(MAX('Komisyon Tarifeleri'!K181,($D181+$F181)/(1-L181/100-W181)),1)&lt;='Komisyon Tarifeleri'!J181),CEILING(MAX('Komisyon Tarifeleri'!K181,($D181+$F181)/(1-L181/100-W181)),1),IF((1-H181/100-W181)&gt;0,CEILING(MAX('Komisyon Tarifeleri'!I181,($D181+$F181)/(1-H181/100-W181)),1),"İMKÂNSIZ")))))</f>
        <v/>
      </c>
      <c r="AE181" s="10">
        <f>IF(OR($D181="",$B181=""),"",IF(AND((1-T181/100-X181)&gt;0,CEILING(($D181+$F181)/(1-T181/100-X181),1)&lt;='Komisyon Tarifeleri'!N181),CEILING(($D181+$F181)/(1-T181/100-X181),1),IF(AND((1-P181/100-X181)&gt;0,CEILING(MAX('Komisyon Tarifeleri'!M181,($D181+$F181)/(1-P181/100-X181)),1)&lt;='Komisyon Tarifeleri'!L181),CEILING(MAX('Komisyon Tarifeleri'!M181,($D181+$F181)/(1-P181/100-X181)),1),IF(AND((1-L181/100-X181)&gt;0,CEILING(MAX('Komisyon Tarifeleri'!K181,($D181+$F181)/(1-L181/100-X181)),1)&lt;='Komisyon Tarifeleri'!J181),CEILING(MAX('Komisyon Tarifeleri'!K181,($D181+$F181)/(1-L181/100-X181)),1),IF((1-H181/100-X181)&gt;0,CEILING(MAX('Komisyon Tarifeleri'!I181,($D181+$F181)/(1-H181/100-X181)),1),"İMKÂNSIZ")))))</f>
        <v/>
      </c>
      <c r="AF181" s="16">
        <f>IF($D181="","",IF(AND(Y181&lt;&gt;"",AC181&lt;&gt;"",AC181&gt;=W181),Z181,IF(Y181&lt;&gt;"",AD181,AE181)))</f>
        <v/>
      </c>
      <c r="AG181" s="16">
        <f>IF(OR(AF181="",AF181="İMKÂNSIZ"),"",AF181*(1-IF(AF181&gt;='Komisyon Tarifeleri'!I181,IF($AM$1=2,'Komisyon Tarifeleri'!U181,'Komisyon Tarifeleri'!P181),IF(AF181&gt;='Komisyon Tarifeleri'!K181,IF($AM$1=2,'Komisyon Tarifeleri'!V181,'Komisyon Tarifeleri'!Q181),IF(AF181&gt;='Komisyon Tarifeleri'!M181,IF($AM$1=2,'Komisyon Tarifeleri'!W181,'Komisyon Tarifeleri'!R181),IF($AM$1=2,'Komisyon Tarifeleri'!X181,'Komisyon Tarifeleri'!S181))))/100)-$D181-IF(AF181&lt;=199.99,Kargo!$E$2,IF(AF181&lt;=399.99,Kargo!$E$3,$F181)))</f>
        <v/>
      </c>
      <c r="AH181" s="17">
        <f>IF(AG181="","",AG181/AF181)</f>
        <v/>
      </c>
      <c r="AI181" s="18">
        <f>IF($D181="","",IF(Y181="","BUYBOX YOK → hedef kârla min fiyat",IF(AC181&gt;=W181,"✓ BUYBOX ALTINA GİR","BUYBOX ALTI KÂRSIZ → min kârlı fiyat")))</f>
        <v/>
      </c>
      <c r="AJ181" s="10">
        <f>IF($B181="","",IFERROR(VLOOKUP($B181,Maliyetler!$A:$G,6,FALSE),""))</f>
        <v/>
      </c>
      <c r="AK181">
        <f>IF($B181="","",IFERROR(VLOOKUP($B181,Maliyetler!$A:$G,7,FALSE),""))</f>
        <v/>
      </c>
      <c r="AO181" s="21">
        <f>IF($B181="","",IFERROR(VLOOKUP($B181&amp;"",'Plus Tarifeleri'!$C:$Q,11,FALSE),""))</f>
        <v/>
      </c>
      <c r="AP181" s="22">
        <f>IF(AO181="","",IFERROR(IF($AM$1=2,VLOOKUP($B181&amp;"",'Plus Tarifeleri'!$C:$Q,15,FALSE),VLOOKUP($B181&amp;"",'Plus Tarifeleri'!$C:$Q,13,FALSE)),""))</f>
        <v/>
      </c>
      <c r="AQ181" s="21">
        <f>IF(OR(AO181="",AP181="",$D181=""),"",AO181*(1-AP181/100)-$D181-IF(AO181&lt;=199.99,Kargo!$E$2,IF(AO181&lt;=399.99,Kargo!$E$3,$F181)))</f>
        <v/>
      </c>
      <c r="AR181" s="23">
        <f>IF(AQ181="","",AQ181/AO181)</f>
        <v/>
      </c>
      <c r="AS181" s="24">
        <f>IF(OR(AQ181="",AG181=""),"",AQ181-AG181)</f>
        <v/>
      </c>
    </row>
    <row r="182">
      <c r="A182">
        <f>IF('Komisyon Tarifeleri'!A182="","",'Komisyon Tarifeleri'!A182)</f>
        <v/>
      </c>
      <c r="B182">
        <f>IF('Komisyon Tarifeleri'!B182="","",'Komisyon Tarifeleri'!B182&amp;"")</f>
        <v/>
      </c>
      <c r="C182">
        <f>IF($B182="","",'Komisyon Tarifeleri'!F182)</f>
        <v/>
      </c>
      <c r="D182" s="10">
        <f>IF($B182="","",IFERROR(VLOOKUP($B182,Maliyetler!$A:$E,3,FALSE),""))</f>
        <v/>
      </c>
      <c r="E182">
        <f>IF($B182="","",IFERROR(VLOOKUP($B182,Maliyetler!$A:$E,4,FALSE),1))</f>
        <v/>
      </c>
      <c r="F182" s="10">
        <f>IF($B182="","",IFERROR(VLOOKUP(MIN(20,MAX(1,ROUND($E182,0))),Kargo!$A:$B,2,FALSE),99.46))</f>
        <v/>
      </c>
      <c r="G182" s="10">
        <f>IF($B182="","",IF(IF(N('Komisyon Tarifeleri'!AA182)&gt;='Komisyon Tarifeleri'!I182,'Komisyon Tarifeleri'!AA182,'Komisyon Tarifeleri'!I182)="","",IF(N('Komisyon Tarifeleri'!AA182)&gt;='Komisyon Tarifeleri'!I182,'Komisyon Tarifeleri'!AA182,'Komisyon Tarifeleri'!I182)))</f>
        <v/>
      </c>
      <c r="H182" s="11">
        <f>IF(G182="","",IF($AM$1=2,'Komisyon Tarifeleri'!U182,'Komisyon Tarifeleri'!P182))</f>
        <v/>
      </c>
      <c r="I182" s="10">
        <f>IF(OR(G182="",$D182=""),"",G182*(1-H182/100)-$D182-IF(G182&lt;=199.99,Kargo!$E$2,IF(G182&lt;=399.99,Kargo!$E$3,$F182)))</f>
        <v/>
      </c>
      <c r="J182" s="12">
        <f>IF(I182="","",I182/G182)</f>
        <v/>
      </c>
      <c r="K182" s="10">
        <f>IF($B182="","",IF('Komisyon Tarifeleri'!J182="","",'Komisyon Tarifeleri'!J182))</f>
        <v/>
      </c>
      <c r="L182" s="11">
        <f>IF(K182="","",IF($AM$1=2,'Komisyon Tarifeleri'!V182,'Komisyon Tarifeleri'!Q182))</f>
        <v/>
      </c>
      <c r="M182" s="10">
        <f>IF(OR(K182="",$D182=""),"",K182*(1-L182/100)-$D182-IF(K182&lt;=199.99,Kargo!$E$2,IF(K182&lt;=399.99,Kargo!$E$3,$F182)))</f>
        <v/>
      </c>
      <c r="N182" s="12">
        <f>IF(M182="","",M182/K182)</f>
        <v/>
      </c>
      <c r="O182" s="10">
        <f>IF($B182="","",IF('Komisyon Tarifeleri'!L182="","",'Komisyon Tarifeleri'!L182))</f>
        <v/>
      </c>
      <c r="P182" s="11">
        <f>IF(O182="","",IF($AM$1=2,'Komisyon Tarifeleri'!W182,'Komisyon Tarifeleri'!R182))</f>
        <v/>
      </c>
      <c r="Q182" s="10">
        <f>IF(OR(O182="",$D182=""),"",O182*(1-P182/100)-$D182-IF(O182&lt;=199.99,Kargo!$E$2,IF(O182&lt;=399.99,Kargo!$E$3,$F182)))</f>
        <v/>
      </c>
      <c r="R182" s="12">
        <f>IF(Q182="","",Q182/O182)</f>
        <v/>
      </c>
      <c r="S182" s="10">
        <f>IF($B182="","",IF('Komisyon Tarifeleri'!N182="","",'Komisyon Tarifeleri'!N182))</f>
        <v/>
      </c>
      <c r="T182" s="11">
        <f>IF(S182="","",IF($AM$1=2,'Komisyon Tarifeleri'!X182,'Komisyon Tarifeleri'!S182))</f>
        <v/>
      </c>
      <c r="U182" s="10">
        <f>IF(OR(S182="",$D182=""),"",S182*(1-T182/100)-$D182-IF(S182&lt;=199.99,Kargo!$E$2,IF(S182&lt;=399.99,Kargo!$E$3,$F182)))</f>
        <v/>
      </c>
      <c r="V182" s="12">
        <f>IF(U182="","",U182/S182)</f>
        <v/>
      </c>
      <c r="W182" s="12">
        <f>IF($B182="","",IFERROR(VLOOKUP($C182,Hedefler!$A:$C,2,FALSE),0.04))</f>
        <v/>
      </c>
      <c r="X182" s="12">
        <f>IF($B182="","",IFERROR(VLOOKUP($C182,Hedefler!$A:$C,3,FALSE),0.1))</f>
        <v/>
      </c>
      <c r="Y182" s="13">
        <f>IF($B182="","",IFERROR(VLOOKUP($B182,Maliyetler!$A:$E,5,FALSE),""))</f>
        <v/>
      </c>
      <c r="Z182" s="13">
        <f>IF(OR(Y182="",Y182=0),"",Y182-1)</f>
        <v/>
      </c>
      <c r="AA182" s="14">
        <f>IF(Z182="","",IF(Z182&gt;='Komisyon Tarifeleri'!I182,IF($AM$1=2,'Komisyon Tarifeleri'!U182,'Komisyon Tarifeleri'!P182),IF(Z182&gt;='Komisyon Tarifeleri'!K182,IF($AM$1=2,'Komisyon Tarifeleri'!V182,'Komisyon Tarifeleri'!Q182),IF(Z182&gt;='Komisyon Tarifeleri'!M182,IF($AM$1=2,'Komisyon Tarifeleri'!W182,'Komisyon Tarifeleri'!R182),IF($AM$1=2,'Komisyon Tarifeleri'!X182,'Komisyon Tarifeleri'!S182)))))</f>
        <v/>
      </c>
      <c r="AB182" s="13">
        <f>IF(OR(AA182="",$D182=""),"",Z182*(1-AA182/100)-$D182-IF(Z182&lt;=199.99,Kargo!$E$2,IF(Z182&lt;=399.99,Kargo!$E$3,$F182)))</f>
        <v/>
      </c>
      <c r="AC182" s="15">
        <f>IF(AB182="","",AB182/Z182)</f>
        <v/>
      </c>
      <c r="AD182" s="10">
        <f>IF(OR($D182="",$B182=""),"",IF(AND((1-T182/100-W182)&gt;0,CEILING(($D182+$F182)/(1-T182/100-W182),1)&lt;='Komisyon Tarifeleri'!N182),CEILING(($D182+$F182)/(1-T182/100-W182),1),IF(AND((1-P182/100-W182)&gt;0,CEILING(MAX('Komisyon Tarifeleri'!M182,($D182+$F182)/(1-P182/100-W182)),1)&lt;='Komisyon Tarifeleri'!L182),CEILING(MAX('Komisyon Tarifeleri'!M182,($D182+$F182)/(1-P182/100-W182)),1),IF(AND((1-L182/100-W182)&gt;0,CEILING(MAX('Komisyon Tarifeleri'!K182,($D182+$F182)/(1-L182/100-W182)),1)&lt;='Komisyon Tarifeleri'!J182),CEILING(MAX('Komisyon Tarifeleri'!K182,($D182+$F182)/(1-L182/100-W182)),1),IF((1-H182/100-W182)&gt;0,CEILING(MAX('Komisyon Tarifeleri'!I182,($D182+$F182)/(1-H182/100-W182)),1),"İMKÂNSIZ")))))</f>
        <v/>
      </c>
      <c r="AE182" s="10">
        <f>IF(OR($D182="",$B182=""),"",IF(AND((1-T182/100-X182)&gt;0,CEILING(($D182+$F182)/(1-T182/100-X182),1)&lt;='Komisyon Tarifeleri'!N182),CEILING(($D182+$F182)/(1-T182/100-X182),1),IF(AND((1-P182/100-X182)&gt;0,CEILING(MAX('Komisyon Tarifeleri'!M182,($D182+$F182)/(1-P182/100-X182)),1)&lt;='Komisyon Tarifeleri'!L182),CEILING(MAX('Komisyon Tarifeleri'!M182,($D182+$F182)/(1-P182/100-X182)),1),IF(AND((1-L182/100-X182)&gt;0,CEILING(MAX('Komisyon Tarifeleri'!K182,($D182+$F182)/(1-L182/100-X182)),1)&lt;='Komisyon Tarifeleri'!J182),CEILING(MAX('Komisyon Tarifeleri'!K182,($D182+$F182)/(1-L182/100-X182)),1),IF((1-H182/100-X182)&gt;0,CEILING(MAX('Komisyon Tarifeleri'!I182,($D182+$F182)/(1-H182/100-X182)),1),"İMKÂNSIZ")))))</f>
        <v/>
      </c>
      <c r="AF182" s="16">
        <f>IF($D182="","",IF(AND(Y182&lt;&gt;"",AC182&lt;&gt;"",AC182&gt;=W182),Z182,IF(Y182&lt;&gt;"",AD182,AE182)))</f>
        <v/>
      </c>
      <c r="AG182" s="16">
        <f>IF(OR(AF182="",AF182="İMKÂNSIZ"),"",AF182*(1-IF(AF182&gt;='Komisyon Tarifeleri'!I182,IF($AM$1=2,'Komisyon Tarifeleri'!U182,'Komisyon Tarifeleri'!P182),IF(AF182&gt;='Komisyon Tarifeleri'!K182,IF($AM$1=2,'Komisyon Tarifeleri'!V182,'Komisyon Tarifeleri'!Q182),IF(AF182&gt;='Komisyon Tarifeleri'!M182,IF($AM$1=2,'Komisyon Tarifeleri'!W182,'Komisyon Tarifeleri'!R182),IF($AM$1=2,'Komisyon Tarifeleri'!X182,'Komisyon Tarifeleri'!S182))))/100)-$D182-IF(AF182&lt;=199.99,Kargo!$E$2,IF(AF182&lt;=399.99,Kargo!$E$3,$F182)))</f>
        <v/>
      </c>
      <c r="AH182" s="17">
        <f>IF(AG182="","",AG182/AF182)</f>
        <v/>
      </c>
      <c r="AI182" s="18">
        <f>IF($D182="","",IF(Y182="","BUYBOX YOK → hedef kârla min fiyat",IF(AC182&gt;=W182,"✓ BUYBOX ALTINA GİR","BUYBOX ALTI KÂRSIZ → min kârlı fiyat")))</f>
        <v/>
      </c>
      <c r="AJ182" s="10">
        <f>IF($B182="","",IFERROR(VLOOKUP($B182,Maliyetler!$A:$G,6,FALSE),""))</f>
        <v/>
      </c>
      <c r="AK182">
        <f>IF($B182="","",IFERROR(VLOOKUP($B182,Maliyetler!$A:$G,7,FALSE),""))</f>
        <v/>
      </c>
      <c r="AO182" s="21">
        <f>IF($B182="","",IFERROR(VLOOKUP($B182&amp;"",'Plus Tarifeleri'!$C:$Q,11,FALSE),""))</f>
        <v/>
      </c>
      <c r="AP182" s="22">
        <f>IF(AO182="","",IFERROR(IF($AM$1=2,VLOOKUP($B182&amp;"",'Plus Tarifeleri'!$C:$Q,15,FALSE),VLOOKUP($B182&amp;"",'Plus Tarifeleri'!$C:$Q,13,FALSE)),""))</f>
        <v/>
      </c>
      <c r="AQ182" s="21">
        <f>IF(OR(AO182="",AP182="",$D182=""),"",AO182*(1-AP182/100)-$D182-IF(AO182&lt;=199.99,Kargo!$E$2,IF(AO182&lt;=399.99,Kargo!$E$3,$F182)))</f>
        <v/>
      </c>
      <c r="AR182" s="23">
        <f>IF(AQ182="","",AQ182/AO182)</f>
        <v/>
      </c>
      <c r="AS182" s="24">
        <f>IF(OR(AQ182="",AG182=""),"",AQ182-AG182)</f>
        <v/>
      </c>
    </row>
    <row r="183">
      <c r="A183">
        <f>IF('Komisyon Tarifeleri'!A183="","",'Komisyon Tarifeleri'!A183)</f>
        <v/>
      </c>
      <c r="B183">
        <f>IF('Komisyon Tarifeleri'!B183="","",'Komisyon Tarifeleri'!B183&amp;"")</f>
        <v/>
      </c>
      <c r="C183">
        <f>IF($B183="","",'Komisyon Tarifeleri'!F183)</f>
        <v/>
      </c>
      <c r="D183" s="10">
        <f>IF($B183="","",IFERROR(VLOOKUP($B183,Maliyetler!$A:$E,3,FALSE),""))</f>
        <v/>
      </c>
      <c r="E183">
        <f>IF($B183="","",IFERROR(VLOOKUP($B183,Maliyetler!$A:$E,4,FALSE),1))</f>
        <v/>
      </c>
      <c r="F183" s="10">
        <f>IF($B183="","",IFERROR(VLOOKUP(MIN(20,MAX(1,ROUND($E183,0))),Kargo!$A:$B,2,FALSE),99.46))</f>
        <v/>
      </c>
      <c r="G183" s="10">
        <f>IF($B183="","",IF(IF(N('Komisyon Tarifeleri'!AA183)&gt;='Komisyon Tarifeleri'!I183,'Komisyon Tarifeleri'!AA183,'Komisyon Tarifeleri'!I183)="","",IF(N('Komisyon Tarifeleri'!AA183)&gt;='Komisyon Tarifeleri'!I183,'Komisyon Tarifeleri'!AA183,'Komisyon Tarifeleri'!I183)))</f>
        <v/>
      </c>
      <c r="H183" s="11">
        <f>IF(G183="","",IF($AM$1=2,'Komisyon Tarifeleri'!U183,'Komisyon Tarifeleri'!P183))</f>
        <v/>
      </c>
      <c r="I183" s="10">
        <f>IF(OR(G183="",$D183=""),"",G183*(1-H183/100)-$D183-IF(G183&lt;=199.99,Kargo!$E$2,IF(G183&lt;=399.99,Kargo!$E$3,$F183)))</f>
        <v/>
      </c>
      <c r="J183" s="12">
        <f>IF(I183="","",I183/G183)</f>
        <v/>
      </c>
      <c r="K183" s="10">
        <f>IF($B183="","",IF('Komisyon Tarifeleri'!J183="","",'Komisyon Tarifeleri'!J183))</f>
        <v/>
      </c>
      <c r="L183" s="11">
        <f>IF(K183="","",IF($AM$1=2,'Komisyon Tarifeleri'!V183,'Komisyon Tarifeleri'!Q183))</f>
        <v/>
      </c>
      <c r="M183" s="10">
        <f>IF(OR(K183="",$D183=""),"",K183*(1-L183/100)-$D183-IF(K183&lt;=199.99,Kargo!$E$2,IF(K183&lt;=399.99,Kargo!$E$3,$F183)))</f>
        <v/>
      </c>
      <c r="N183" s="12">
        <f>IF(M183="","",M183/K183)</f>
        <v/>
      </c>
      <c r="O183" s="10">
        <f>IF($B183="","",IF('Komisyon Tarifeleri'!L183="","",'Komisyon Tarifeleri'!L183))</f>
        <v/>
      </c>
      <c r="P183" s="11">
        <f>IF(O183="","",IF($AM$1=2,'Komisyon Tarifeleri'!W183,'Komisyon Tarifeleri'!R183))</f>
        <v/>
      </c>
      <c r="Q183" s="10">
        <f>IF(OR(O183="",$D183=""),"",O183*(1-P183/100)-$D183-IF(O183&lt;=199.99,Kargo!$E$2,IF(O183&lt;=399.99,Kargo!$E$3,$F183)))</f>
        <v/>
      </c>
      <c r="R183" s="12">
        <f>IF(Q183="","",Q183/O183)</f>
        <v/>
      </c>
      <c r="S183" s="10">
        <f>IF($B183="","",IF('Komisyon Tarifeleri'!N183="","",'Komisyon Tarifeleri'!N183))</f>
        <v/>
      </c>
      <c r="T183" s="11">
        <f>IF(S183="","",IF($AM$1=2,'Komisyon Tarifeleri'!X183,'Komisyon Tarifeleri'!S183))</f>
        <v/>
      </c>
      <c r="U183" s="10">
        <f>IF(OR(S183="",$D183=""),"",S183*(1-T183/100)-$D183-IF(S183&lt;=199.99,Kargo!$E$2,IF(S183&lt;=399.99,Kargo!$E$3,$F183)))</f>
        <v/>
      </c>
      <c r="V183" s="12">
        <f>IF(U183="","",U183/S183)</f>
        <v/>
      </c>
      <c r="W183" s="12">
        <f>IF($B183="","",IFERROR(VLOOKUP($C183,Hedefler!$A:$C,2,FALSE),0.04))</f>
        <v/>
      </c>
      <c r="X183" s="12">
        <f>IF($B183="","",IFERROR(VLOOKUP($C183,Hedefler!$A:$C,3,FALSE),0.1))</f>
        <v/>
      </c>
      <c r="Y183" s="13">
        <f>IF($B183="","",IFERROR(VLOOKUP($B183,Maliyetler!$A:$E,5,FALSE),""))</f>
        <v/>
      </c>
      <c r="Z183" s="13">
        <f>IF(OR(Y183="",Y183=0),"",Y183-1)</f>
        <v/>
      </c>
      <c r="AA183" s="14">
        <f>IF(Z183="","",IF(Z183&gt;='Komisyon Tarifeleri'!I183,IF($AM$1=2,'Komisyon Tarifeleri'!U183,'Komisyon Tarifeleri'!P183),IF(Z183&gt;='Komisyon Tarifeleri'!K183,IF($AM$1=2,'Komisyon Tarifeleri'!V183,'Komisyon Tarifeleri'!Q183),IF(Z183&gt;='Komisyon Tarifeleri'!M183,IF($AM$1=2,'Komisyon Tarifeleri'!W183,'Komisyon Tarifeleri'!R183),IF($AM$1=2,'Komisyon Tarifeleri'!X183,'Komisyon Tarifeleri'!S183)))))</f>
        <v/>
      </c>
      <c r="AB183" s="13">
        <f>IF(OR(AA183="",$D183=""),"",Z183*(1-AA183/100)-$D183-IF(Z183&lt;=199.99,Kargo!$E$2,IF(Z183&lt;=399.99,Kargo!$E$3,$F183)))</f>
        <v/>
      </c>
      <c r="AC183" s="15">
        <f>IF(AB183="","",AB183/Z183)</f>
        <v/>
      </c>
      <c r="AD183" s="10">
        <f>IF(OR($D183="",$B183=""),"",IF(AND((1-T183/100-W183)&gt;0,CEILING(($D183+$F183)/(1-T183/100-W183),1)&lt;='Komisyon Tarifeleri'!N183),CEILING(($D183+$F183)/(1-T183/100-W183),1),IF(AND((1-P183/100-W183)&gt;0,CEILING(MAX('Komisyon Tarifeleri'!M183,($D183+$F183)/(1-P183/100-W183)),1)&lt;='Komisyon Tarifeleri'!L183),CEILING(MAX('Komisyon Tarifeleri'!M183,($D183+$F183)/(1-P183/100-W183)),1),IF(AND((1-L183/100-W183)&gt;0,CEILING(MAX('Komisyon Tarifeleri'!K183,($D183+$F183)/(1-L183/100-W183)),1)&lt;='Komisyon Tarifeleri'!J183),CEILING(MAX('Komisyon Tarifeleri'!K183,($D183+$F183)/(1-L183/100-W183)),1),IF((1-H183/100-W183)&gt;0,CEILING(MAX('Komisyon Tarifeleri'!I183,($D183+$F183)/(1-H183/100-W183)),1),"İMKÂNSIZ")))))</f>
        <v/>
      </c>
      <c r="AE183" s="10">
        <f>IF(OR($D183="",$B183=""),"",IF(AND((1-T183/100-X183)&gt;0,CEILING(($D183+$F183)/(1-T183/100-X183),1)&lt;='Komisyon Tarifeleri'!N183),CEILING(($D183+$F183)/(1-T183/100-X183),1),IF(AND((1-P183/100-X183)&gt;0,CEILING(MAX('Komisyon Tarifeleri'!M183,($D183+$F183)/(1-P183/100-X183)),1)&lt;='Komisyon Tarifeleri'!L183),CEILING(MAX('Komisyon Tarifeleri'!M183,($D183+$F183)/(1-P183/100-X183)),1),IF(AND((1-L183/100-X183)&gt;0,CEILING(MAX('Komisyon Tarifeleri'!K183,($D183+$F183)/(1-L183/100-X183)),1)&lt;='Komisyon Tarifeleri'!J183),CEILING(MAX('Komisyon Tarifeleri'!K183,($D183+$F183)/(1-L183/100-X183)),1),IF((1-H183/100-X183)&gt;0,CEILING(MAX('Komisyon Tarifeleri'!I183,($D183+$F183)/(1-H183/100-X183)),1),"İMKÂNSIZ")))))</f>
        <v/>
      </c>
      <c r="AF183" s="16">
        <f>IF($D183="","",IF(AND(Y183&lt;&gt;"",AC183&lt;&gt;"",AC183&gt;=W183),Z183,IF(Y183&lt;&gt;"",AD183,AE183)))</f>
        <v/>
      </c>
      <c r="AG183" s="16">
        <f>IF(OR(AF183="",AF183="İMKÂNSIZ"),"",AF183*(1-IF(AF183&gt;='Komisyon Tarifeleri'!I183,IF($AM$1=2,'Komisyon Tarifeleri'!U183,'Komisyon Tarifeleri'!P183),IF(AF183&gt;='Komisyon Tarifeleri'!K183,IF($AM$1=2,'Komisyon Tarifeleri'!V183,'Komisyon Tarifeleri'!Q183),IF(AF183&gt;='Komisyon Tarifeleri'!M183,IF($AM$1=2,'Komisyon Tarifeleri'!W183,'Komisyon Tarifeleri'!R183),IF($AM$1=2,'Komisyon Tarifeleri'!X183,'Komisyon Tarifeleri'!S183))))/100)-$D183-IF(AF183&lt;=199.99,Kargo!$E$2,IF(AF183&lt;=399.99,Kargo!$E$3,$F183)))</f>
        <v/>
      </c>
      <c r="AH183" s="17">
        <f>IF(AG183="","",AG183/AF183)</f>
        <v/>
      </c>
      <c r="AI183" s="18">
        <f>IF($D183="","",IF(Y183="","BUYBOX YOK → hedef kârla min fiyat",IF(AC183&gt;=W183,"✓ BUYBOX ALTINA GİR","BUYBOX ALTI KÂRSIZ → min kârlı fiyat")))</f>
        <v/>
      </c>
      <c r="AJ183" s="10">
        <f>IF($B183="","",IFERROR(VLOOKUP($B183,Maliyetler!$A:$G,6,FALSE),""))</f>
        <v/>
      </c>
      <c r="AK183">
        <f>IF($B183="","",IFERROR(VLOOKUP($B183,Maliyetler!$A:$G,7,FALSE),""))</f>
        <v/>
      </c>
      <c r="AO183" s="21">
        <f>IF($B183="","",IFERROR(VLOOKUP($B183&amp;"",'Plus Tarifeleri'!$C:$Q,11,FALSE),""))</f>
        <v/>
      </c>
      <c r="AP183" s="22">
        <f>IF(AO183="","",IFERROR(IF($AM$1=2,VLOOKUP($B183&amp;"",'Plus Tarifeleri'!$C:$Q,15,FALSE),VLOOKUP($B183&amp;"",'Plus Tarifeleri'!$C:$Q,13,FALSE)),""))</f>
        <v/>
      </c>
      <c r="AQ183" s="21">
        <f>IF(OR(AO183="",AP183="",$D183=""),"",AO183*(1-AP183/100)-$D183-IF(AO183&lt;=199.99,Kargo!$E$2,IF(AO183&lt;=399.99,Kargo!$E$3,$F183)))</f>
        <v/>
      </c>
      <c r="AR183" s="23">
        <f>IF(AQ183="","",AQ183/AO183)</f>
        <v/>
      </c>
      <c r="AS183" s="24">
        <f>IF(OR(AQ183="",AG183=""),"",AQ183-AG183)</f>
        <v/>
      </c>
    </row>
    <row r="184">
      <c r="A184">
        <f>IF('Komisyon Tarifeleri'!A184="","",'Komisyon Tarifeleri'!A184)</f>
        <v/>
      </c>
      <c r="B184">
        <f>IF('Komisyon Tarifeleri'!B184="","",'Komisyon Tarifeleri'!B184&amp;"")</f>
        <v/>
      </c>
      <c r="C184">
        <f>IF($B184="","",'Komisyon Tarifeleri'!F184)</f>
        <v/>
      </c>
      <c r="D184" s="10">
        <f>IF($B184="","",IFERROR(VLOOKUP($B184,Maliyetler!$A:$E,3,FALSE),""))</f>
        <v/>
      </c>
      <c r="E184">
        <f>IF($B184="","",IFERROR(VLOOKUP($B184,Maliyetler!$A:$E,4,FALSE),1))</f>
        <v/>
      </c>
      <c r="F184" s="10">
        <f>IF($B184="","",IFERROR(VLOOKUP(MIN(20,MAX(1,ROUND($E184,0))),Kargo!$A:$B,2,FALSE),99.46))</f>
        <v/>
      </c>
      <c r="G184" s="10">
        <f>IF($B184="","",IF(IF(N('Komisyon Tarifeleri'!AA184)&gt;='Komisyon Tarifeleri'!I184,'Komisyon Tarifeleri'!AA184,'Komisyon Tarifeleri'!I184)="","",IF(N('Komisyon Tarifeleri'!AA184)&gt;='Komisyon Tarifeleri'!I184,'Komisyon Tarifeleri'!AA184,'Komisyon Tarifeleri'!I184)))</f>
        <v/>
      </c>
      <c r="H184" s="11">
        <f>IF(G184="","",IF($AM$1=2,'Komisyon Tarifeleri'!U184,'Komisyon Tarifeleri'!P184))</f>
        <v/>
      </c>
      <c r="I184" s="10">
        <f>IF(OR(G184="",$D184=""),"",G184*(1-H184/100)-$D184-IF(G184&lt;=199.99,Kargo!$E$2,IF(G184&lt;=399.99,Kargo!$E$3,$F184)))</f>
        <v/>
      </c>
      <c r="J184" s="12">
        <f>IF(I184="","",I184/G184)</f>
        <v/>
      </c>
      <c r="K184" s="10">
        <f>IF($B184="","",IF('Komisyon Tarifeleri'!J184="","",'Komisyon Tarifeleri'!J184))</f>
        <v/>
      </c>
      <c r="L184" s="11">
        <f>IF(K184="","",IF($AM$1=2,'Komisyon Tarifeleri'!V184,'Komisyon Tarifeleri'!Q184))</f>
        <v/>
      </c>
      <c r="M184" s="10">
        <f>IF(OR(K184="",$D184=""),"",K184*(1-L184/100)-$D184-IF(K184&lt;=199.99,Kargo!$E$2,IF(K184&lt;=399.99,Kargo!$E$3,$F184)))</f>
        <v/>
      </c>
      <c r="N184" s="12">
        <f>IF(M184="","",M184/K184)</f>
        <v/>
      </c>
      <c r="O184" s="10">
        <f>IF($B184="","",IF('Komisyon Tarifeleri'!L184="","",'Komisyon Tarifeleri'!L184))</f>
        <v/>
      </c>
      <c r="P184" s="11">
        <f>IF(O184="","",IF($AM$1=2,'Komisyon Tarifeleri'!W184,'Komisyon Tarifeleri'!R184))</f>
        <v/>
      </c>
      <c r="Q184" s="10">
        <f>IF(OR(O184="",$D184=""),"",O184*(1-P184/100)-$D184-IF(O184&lt;=199.99,Kargo!$E$2,IF(O184&lt;=399.99,Kargo!$E$3,$F184)))</f>
        <v/>
      </c>
      <c r="R184" s="12">
        <f>IF(Q184="","",Q184/O184)</f>
        <v/>
      </c>
      <c r="S184" s="10">
        <f>IF($B184="","",IF('Komisyon Tarifeleri'!N184="","",'Komisyon Tarifeleri'!N184))</f>
        <v/>
      </c>
      <c r="T184" s="11">
        <f>IF(S184="","",IF($AM$1=2,'Komisyon Tarifeleri'!X184,'Komisyon Tarifeleri'!S184))</f>
        <v/>
      </c>
      <c r="U184" s="10">
        <f>IF(OR(S184="",$D184=""),"",S184*(1-T184/100)-$D184-IF(S184&lt;=199.99,Kargo!$E$2,IF(S184&lt;=399.99,Kargo!$E$3,$F184)))</f>
        <v/>
      </c>
      <c r="V184" s="12">
        <f>IF(U184="","",U184/S184)</f>
        <v/>
      </c>
      <c r="W184" s="12">
        <f>IF($B184="","",IFERROR(VLOOKUP($C184,Hedefler!$A:$C,2,FALSE),0.04))</f>
        <v/>
      </c>
      <c r="X184" s="12">
        <f>IF($B184="","",IFERROR(VLOOKUP($C184,Hedefler!$A:$C,3,FALSE),0.1))</f>
        <v/>
      </c>
      <c r="Y184" s="13">
        <f>IF($B184="","",IFERROR(VLOOKUP($B184,Maliyetler!$A:$E,5,FALSE),""))</f>
        <v/>
      </c>
      <c r="Z184" s="13">
        <f>IF(OR(Y184="",Y184=0),"",Y184-1)</f>
        <v/>
      </c>
      <c r="AA184" s="14">
        <f>IF(Z184="","",IF(Z184&gt;='Komisyon Tarifeleri'!I184,IF($AM$1=2,'Komisyon Tarifeleri'!U184,'Komisyon Tarifeleri'!P184),IF(Z184&gt;='Komisyon Tarifeleri'!K184,IF($AM$1=2,'Komisyon Tarifeleri'!V184,'Komisyon Tarifeleri'!Q184),IF(Z184&gt;='Komisyon Tarifeleri'!M184,IF($AM$1=2,'Komisyon Tarifeleri'!W184,'Komisyon Tarifeleri'!R184),IF($AM$1=2,'Komisyon Tarifeleri'!X184,'Komisyon Tarifeleri'!S184)))))</f>
        <v/>
      </c>
      <c r="AB184" s="13">
        <f>IF(OR(AA184="",$D184=""),"",Z184*(1-AA184/100)-$D184-IF(Z184&lt;=199.99,Kargo!$E$2,IF(Z184&lt;=399.99,Kargo!$E$3,$F184)))</f>
        <v/>
      </c>
      <c r="AC184" s="15">
        <f>IF(AB184="","",AB184/Z184)</f>
        <v/>
      </c>
      <c r="AD184" s="10">
        <f>IF(OR($D184="",$B184=""),"",IF(AND((1-T184/100-W184)&gt;0,CEILING(($D184+$F184)/(1-T184/100-W184),1)&lt;='Komisyon Tarifeleri'!N184),CEILING(($D184+$F184)/(1-T184/100-W184),1),IF(AND((1-P184/100-W184)&gt;0,CEILING(MAX('Komisyon Tarifeleri'!M184,($D184+$F184)/(1-P184/100-W184)),1)&lt;='Komisyon Tarifeleri'!L184),CEILING(MAX('Komisyon Tarifeleri'!M184,($D184+$F184)/(1-P184/100-W184)),1),IF(AND((1-L184/100-W184)&gt;0,CEILING(MAX('Komisyon Tarifeleri'!K184,($D184+$F184)/(1-L184/100-W184)),1)&lt;='Komisyon Tarifeleri'!J184),CEILING(MAX('Komisyon Tarifeleri'!K184,($D184+$F184)/(1-L184/100-W184)),1),IF((1-H184/100-W184)&gt;0,CEILING(MAX('Komisyon Tarifeleri'!I184,($D184+$F184)/(1-H184/100-W184)),1),"İMKÂNSIZ")))))</f>
        <v/>
      </c>
      <c r="AE184" s="10">
        <f>IF(OR($D184="",$B184=""),"",IF(AND((1-T184/100-X184)&gt;0,CEILING(($D184+$F184)/(1-T184/100-X184),1)&lt;='Komisyon Tarifeleri'!N184),CEILING(($D184+$F184)/(1-T184/100-X184),1),IF(AND((1-P184/100-X184)&gt;0,CEILING(MAX('Komisyon Tarifeleri'!M184,($D184+$F184)/(1-P184/100-X184)),1)&lt;='Komisyon Tarifeleri'!L184),CEILING(MAX('Komisyon Tarifeleri'!M184,($D184+$F184)/(1-P184/100-X184)),1),IF(AND((1-L184/100-X184)&gt;0,CEILING(MAX('Komisyon Tarifeleri'!K184,($D184+$F184)/(1-L184/100-X184)),1)&lt;='Komisyon Tarifeleri'!J184),CEILING(MAX('Komisyon Tarifeleri'!K184,($D184+$F184)/(1-L184/100-X184)),1),IF((1-H184/100-X184)&gt;0,CEILING(MAX('Komisyon Tarifeleri'!I184,($D184+$F184)/(1-H184/100-X184)),1),"İMKÂNSIZ")))))</f>
        <v/>
      </c>
      <c r="AF184" s="16">
        <f>IF($D184="","",IF(AND(Y184&lt;&gt;"",AC184&lt;&gt;"",AC184&gt;=W184),Z184,IF(Y184&lt;&gt;"",AD184,AE184)))</f>
        <v/>
      </c>
      <c r="AG184" s="16">
        <f>IF(OR(AF184="",AF184="İMKÂNSIZ"),"",AF184*(1-IF(AF184&gt;='Komisyon Tarifeleri'!I184,IF($AM$1=2,'Komisyon Tarifeleri'!U184,'Komisyon Tarifeleri'!P184),IF(AF184&gt;='Komisyon Tarifeleri'!K184,IF($AM$1=2,'Komisyon Tarifeleri'!V184,'Komisyon Tarifeleri'!Q184),IF(AF184&gt;='Komisyon Tarifeleri'!M184,IF($AM$1=2,'Komisyon Tarifeleri'!W184,'Komisyon Tarifeleri'!R184),IF($AM$1=2,'Komisyon Tarifeleri'!X184,'Komisyon Tarifeleri'!S184))))/100)-$D184-IF(AF184&lt;=199.99,Kargo!$E$2,IF(AF184&lt;=399.99,Kargo!$E$3,$F184)))</f>
        <v/>
      </c>
      <c r="AH184" s="17">
        <f>IF(AG184="","",AG184/AF184)</f>
        <v/>
      </c>
      <c r="AI184" s="18">
        <f>IF($D184="","",IF(Y184="","BUYBOX YOK → hedef kârla min fiyat",IF(AC184&gt;=W184,"✓ BUYBOX ALTINA GİR","BUYBOX ALTI KÂRSIZ → min kârlı fiyat")))</f>
        <v/>
      </c>
      <c r="AJ184" s="10">
        <f>IF($B184="","",IFERROR(VLOOKUP($B184,Maliyetler!$A:$G,6,FALSE),""))</f>
        <v/>
      </c>
      <c r="AK184">
        <f>IF($B184="","",IFERROR(VLOOKUP($B184,Maliyetler!$A:$G,7,FALSE),""))</f>
        <v/>
      </c>
      <c r="AO184" s="21">
        <f>IF($B184="","",IFERROR(VLOOKUP($B184&amp;"",'Plus Tarifeleri'!$C:$Q,11,FALSE),""))</f>
        <v/>
      </c>
      <c r="AP184" s="22">
        <f>IF(AO184="","",IFERROR(IF($AM$1=2,VLOOKUP($B184&amp;"",'Plus Tarifeleri'!$C:$Q,15,FALSE),VLOOKUP($B184&amp;"",'Plus Tarifeleri'!$C:$Q,13,FALSE)),""))</f>
        <v/>
      </c>
      <c r="AQ184" s="21">
        <f>IF(OR(AO184="",AP184="",$D184=""),"",AO184*(1-AP184/100)-$D184-IF(AO184&lt;=199.99,Kargo!$E$2,IF(AO184&lt;=399.99,Kargo!$E$3,$F184)))</f>
        <v/>
      </c>
      <c r="AR184" s="23">
        <f>IF(AQ184="","",AQ184/AO184)</f>
        <v/>
      </c>
      <c r="AS184" s="24">
        <f>IF(OR(AQ184="",AG184=""),"",AQ184-AG184)</f>
        <v/>
      </c>
    </row>
    <row r="185">
      <c r="A185">
        <f>IF('Komisyon Tarifeleri'!A185="","",'Komisyon Tarifeleri'!A185)</f>
        <v/>
      </c>
      <c r="B185">
        <f>IF('Komisyon Tarifeleri'!B185="","",'Komisyon Tarifeleri'!B185&amp;"")</f>
        <v/>
      </c>
      <c r="C185">
        <f>IF($B185="","",'Komisyon Tarifeleri'!F185)</f>
        <v/>
      </c>
      <c r="D185" s="10">
        <f>IF($B185="","",IFERROR(VLOOKUP($B185,Maliyetler!$A:$E,3,FALSE),""))</f>
        <v/>
      </c>
      <c r="E185">
        <f>IF($B185="","",IFERROR(VLOOKUP($B185,Maliyetler!$A:$E,4,FALSE),1))</f>
        <v/>
      </c>
      <c r="F185" s="10">
        <f>IF($B185="","",IFERROR(VLOOKUP(MIN(20,MAX(1,ROUND($E185,0))),Kargo!$A:$B,2,FALSE),99.46))</f>
        <v/>
      </c>
      <c r="G185" s="10">
        <f>IF($B185="","",IF(IF(N('Komisyon Tarifeleri'!AA185)&gt;='Komisyon Tarifeleri'!I185,'Komisyon Tarifeleri'!AA185,'Komisyon Tarifeleri'!I185)="","",IF(N('Komisyon Tarifeleri'!AA185)&gt;='Komisyon Tarifeleri'!I185,'Komisyon Tarifeleri'!AA185,'Komisyon Tarifeleri'!I185)))</f>
        <v/>
      </c>
      <c r="H185" s="11">
        <f>IF(G185="","",IF($AM$1=2,'Komisyon Tarifeleri'!U185,'Komisyon Tarifeleri'!P185))</f>
        <v/>
      </c>
      <c r="I185" s="10">
        <f>IF(OR(G185="",$D185=""),"",G185*(1-H185/100)-$D185-IF(G185&lt;=199.99,Kargo!$E$2,IF(G185&lt;=399.99,Kargo!$E$3,$F185)))</f>
        <v/>
      </c>
      <c r="J185" s="12">
        <f>IF(I185="","",I185/G185)</f>
        <v/>
      </c>
      <c r="K185" s="10">
        <f>IF($B185="","",IF('Komisyon Tarifeleri'!J185="","",'Komisyon Tarifeleri'!J185))</f>
        <v/>
      </c>
      <c r="L185" s="11">
        <f>IF(K185="","",IF($AM$1=2,'Komisyon Tarifeleri'!V185,'Komisyon Tarifeleri'!Q185))</f>
        <v/>
      </c>
      <c r="M185" s="10">
        <f>IF(OR(K185="",$D185=""),"",K185*(1-L185/100)-$D185-IF(K185&lt;=199.99,Kargo!$E$2,IF(K185&lt;=399.99,Kargo!$E$3,$F185)))</f>
        <v/>
      </c>
      <c r="N185" s="12">
        <f>IF(M185="","",M185/K185)</f>
        <v/>
      </c>
      <c r="O185" s="10">
        <f>IF($B185="","",IF('Komisyon Tarifeleri'!L185="","",'Komisyon Tarifeleri'!L185))</f>
        <v/>
      </c>
      <c r="P185" s="11">
        <f>IF(O185="","",IF($AM$1=2,'Komisyon Tarifeleri'!W185,'Komisyon Tarifeleri'!R185))</f>
        <v/>
      </c>
      <c r="Q185" s="10">
        <f>IF(OR(O185="",$D185=""),"",O185*(1-P185/100)-$D185-IF(O185&lt;=199.99,Kargo!$E$2,IF(O185&lt;=399.99,Kargo!$E$3,$F185)))</f>
        <v/>
      </c>
      <c r="R185" s="12">
        <f>IF(Q185="","",Q185/O185)</f>
        <v/>
      </c>
      <c r="S185" s="10">
        <f>IF($B185="","",IF('Komisyon Tarifeleri'!N185="","",'Komisyon Tarifeleri'!N185))</f>
        <v/>
      </c>
      <c r="T185" s="11">
        <f>IF(S185="","",IF($AM$1=2,'Komisyon Tarifeleri'!X185,'Komisyon Tarifeleri'!S185))</f>
        <v/>
      </c>
      <c r="U185" s="10">
        <f>IF(OR(S185="",$D185=""),"",S185*(1-T185/100)-$D185-IF(S185&lt;=199.99,Kargo!$E$2,IF(S185&lt;=399.99,Kargo!$E$3,$F185)))</f>
        <v/>
      </c>
      <c r="V185" s="12">
        <f>IF(U185="","",U185/S185)</f>
        <v/>
      </c>
      <c r="W185" s="12">
        <f>IF($B185="","",IFERROR(VLOOKUP($C185,Hedefler!$A:$C,2,FALSE),0.04))</f>
        <v/>
      </c>
      <c r="X185" s="12">
        <f>IF($B185="","",IFERROR(VLOOKUP($C185,Hedefler!$A:$C,3,FALSE),0.1))</f>
        <v/>
      </c>
      <c r="Y185" s="13">
        <f>IF($B185="","",IFERROR(VLOOKUP($B185,Maliyetler!$A:$E,5,FALSE),""))</f>
        <v/>
      </c>
      <c r="Z185" s="13">
        <f>IF(OR(Y185="",Y185=0),"",Y185-1)</f>
        <v/>
      </c>
      <c r="AA185" s="14">
        <f>IF(Z185="","",IF(Z185&gt;='Komisyon Tarifeleri'!I185,IF($AM$1=2,'Komisyon Tarifeleri'!U185,'Komisyon Tarifeleri'!P185),IF(Z185&gt;='Komisyon Tarifeleri'!K185,IF($AM$1=2,'Komisyon Tarifeleri'!V185,'Komisyon Tarifeleri'!Q185),IF(Z185&gt;='Komisyon Tarifeleri'!M185,IF($AM$1=2,'Komisyon Tarifeleri'!W185,'Komisyon Tarifeleri'!R185),IF($AM$1=2,'Komisyon Tarifeleri'!X185,'Komisyon Tarifeleri'!S185)))))</f>
        <v/>
      </c>
      <c r="AB185" s="13">
        <f>IF(OR(AA185="",$D185=""),"",Z185*(1-AA185/100)-$D185-IF(Z185&lt;=199.99,Kargo!$E$2,IF(Z185&lt;=399.99,Kargo!$E$3,$F185)))</f>
        <v/>
      </c>
      <c r="AC185" s="15">
        <f>IF(AB185="","",AB185/Z185)</f>
        <v/>
      </c>
      <c r="AD185" s="10">
        <f>IF(OR($D185="",$B185=""),"",IF(AND((1-T185/100-W185)&gt;0,CEILING(($D185+$F185)/(1-T185/100-W185),1)&lt;='Komisyon Tarifeleri'!N185),CEILING(($D185+$F185)/(1-T185/100-W185),1),IF(AND((1-P185/100-W185)&gt;0,CEILING(MAX('Komisyon Tarifeleri'!M185,($D185+$F185)/(1-P185/100-W185)),1)&lt;='Komisyon Tarifeleri'!L185),CEILING(MAX('Komisyon Tarifeleri'!M185,($D185+$F185)/(1-P185/100-W185)),1),IF(AND((1-L185/100-W185)&gt;0,CEILING(MAX('Komisyon Tarifeleri'!K185,($D185+$F185)/(1-L185/100-W185)),1)&lt;='Komisyon Tarifeleri'!J185),CEILING(MAX('Komisyon Tarifeleri'!K185,($D185+$F185)/(1-L185/100-W185)),1),IF((1-H185/100-W185)&gt;0,CEILING(MAX('Komisyon Tarifeleri'!I185,($D185+$F185)/(1-H185/100-W185)),1),"İMKÂNSIZ")))))</f>
        <v/>
      </c>
      <c r="AE185" s="10">
        <f>IF(OR($D185="",$B185=""),"",IF(AND((1-T185/100-X185)&gt;0,CEILING(($D185+$F185)/(1-T185/100-X185),1)&lt;='Komisyon Tarifeleri'!N185),CEILING(($D185+$F185)/(1-T185/100-X185),1),IF(AND((1-P185/100-X185)&gt;0,CEILING(MAX('Komisyon Tarifeleri'!M185,($D185+$F185)/(1-P185/100-X185)),1)&lt;='Komisyon Tarifeleri'!L185),CEILING(MAX('Komisyon Tarifeleri'!M185,($D185+$F185)/(1-P185/100-X185)),1),IF(AND((1-L185/100-X185)&gt;0,CEILING(MAX('Komisyon Tarifeleri'!K185,($D185+$F185)/(1-L185/100-X185)),1)&lt;='Komisyon Tarifeleri'!J185),CEILING(MAX('Komisyon Tarifeleri'!K185,($D185+$F185)/(1-L185/100-X185)),1),IF((1-H185/100-X185)&gt;0,CEILING(MAX('Komisyon Tarifeleri'!I185,($D185+$F185)/(1-H185/100-X185)),1),"İMKÂNSIZ")))))</f>
        <v/>
      </c>
      <c r="AF185" s="16">
        <f>IF($D185="","",IF(AND(Y185&lt;&gt;"",AC185&lt;&gt;"",AC185&gt;=W185),Z185,IF(Y185&lt;&gt;"",AD185,AE185)))</f>
        <v/>
      </c>
      <c r="AG185" s="16">
        <f>IF(OR(AF185="",AF185="İMKÂNSIZ"),"",AF185*(1-IF(AF185&gt;='Komisyon Tarifeleri'!I185,IF($AM$1=2,'Komisyon Tarifeleri'!U185,'Komisyon Tarifeleri'!P185),IF(AF185&gt;='Komisyon Tarifeleri'!K185,IF($AM$1=2,'Komisyon Tarifeleri'!V185,'Komisyon Tarifeleri'!Q185),IF(AF185&gt;='Komisyon Tarifeleri'!M185,IF($AM$1=2,'Komisyon Tarifeleri'!W185,'Komisyon Tarifeleri'!R185),IF($AM$1=2,'Komisyon Tarifeleri'!X185,'Komisyon Tarifeleri'!S185))))/100)-$D185-IF(AF185&lt;=199.99,Kargo!$E$2,IF(AF185&lt;=399.99,Kargo!$E$3,$F185)))</f>
        <v/>
      </c>
      <c r="AH185" s="17">
        <f>IF(AG185="","",AG185/AF185)</f>
        <v/>
      </c>
      <c r="AI185" s="18">
        <f>IF($D185="","",IF(Y185="","BUYBOX YOK → hedef kârla min fiyat",IF(AC185&gt;=W185,"✓ BUYBOX ALTINA GİR","BUYBOX ALTI KÂRSIZ → min kârlı fiyat")))</f>
        <v/>
      </c>
      <c r="AJ185" s="10">
        <f>IF($B185="","",IFERROR(VLOOKUP($B185,Maliyetler!$A:$G,6,FALSE),""))</f>
        <v/>
      </c>
      <c r="AK185">
        <f>IF($B185="","",IFERROR(VLOOKUP($B185,Maliyetler!$A:$G,7,FALSE),""))</f>
        <v/>
      </c>
      <c r="AO185" s="21">
        <f>IF($B185="","",IFERROR(VLOOKUP($B185&amp;"",'Plus Tarifeleri'!$C:$Q,11,FALSE),""))</f>
        <v/>
      </c>
      <c r="AP185" s="22">
        <f>IF(AO185="","",IFERROR(IF($AM$1=2,VLOOKUP($B185&amp;"",'Plus Tarifeleri'!$C:$Q,15,FALSE),VLOOKUP($B185&amp;"",'Plus Tarifeleri'!$C:$Q,13,FALSE)),""))</f>
        <v/>
      </c>
      <c r="AQ185" s="21">
        <f>IF(OR(AO185="",AP185="",$D185=""),"",AO185*(1-AP185/100)-$D185-IF(AO185&lt;=199.99,Kargo!$E$2,IF(AO185&lt;=399.99,Kargo!$E$3,$F185)))</f>
        <v/>
      </c>
      <c r="AR185" s="23">
        <f>IF(AQ185="","",AQ185/AO185)</f>
        <v/>
      </c>
      <c r="AS185" s="24">
        <f>IF(OR(AQ185="",AG185=""),"",AQ185-AG185)</f>
        <v/>
      </c>
    </row>
    <row r="186">
      <c r="A186">
        <f>IF('Komisyon Tarifeleri'!A186="","",'Komisyon Tarifeleri'!A186)</f>
        <v/>
      </c>
      <c r="B186">
        <f>IF('Komisyon Tarifeleri'!B186="","",'Komisyon Tarifeleri'!B186&amp;"")</f>
        <v/>
      </c>
      <c r="C186">
        <f>IF($B186="","",'Komisyon Tarifeleri'!F186)</f>
        <v/>
      </c>
      <c r="D186" s="10">
        <f>IF($B186="","",IFERROR(VLOOKUP($B186,Maliyetler!$A:$E,3,FALSE),""))</f>
        <v/>
      </c>
      <c r="E186">
        <f>IF($B186="","",IFERROR(VLOOKUP($B186,Maliyetler!$A:$E,4,FALSE),1))</f>
        <v/>
      </c>
      <c r="F186" s="10">
        <f>IF($B186="","",IFERROR(VLOOKUP(MIN(20,MAX(1,ROUND($E186,0))),Kargo!$A:$B,2,FALSE),99.46))</f>
        <v/>
      </c>
      <c r="G186" s="10">
        <f>IF($B186="","",IF(IF(N('Komisyon Tarifeleri'!AA186)&gt;='Komisyon Tarifeleri'!I186,'Komisyon Tarifeleri'!AA186,'Komisyon Tarifeleri'!I186)="","",IF(N('Komisyon Tarifeleri'!AA186)&gt;='Komisyon Tarifeleri'!I186,'Komisyon Tarifeleri'!AA186,'Komisyon Tarifeleri'!I186)))</f>
        <v/>
      </c>
      <c r="H186" s="11">
        <f>IF(G186="","",IF($AM$1=2,'Komisyon Tarifeleri'!U186,'Komisyon Tarifeleri'!P186))</f>
        <v/>
      </c>
      <c r="I186" s="10">
        <f>IF(OR(G186="",$D186=""),"",G186*(1-H186/100)-$D186-IF(G186&lt;=199.99,Kargo!$E$2,IF(G186&lt;=399.99,Kargo!$E$3,$F186)))</f>
        <v/>
      </c>
      <c r="J186" s="12">
        <f>IF(I186="","",I186/G186)</f>
        <v/>
      </c>
      <c r="K186" s="10">
        <f>IF($B186="","",IF('Komisyon Tarifeleri'!J186="","",'Komisyon Tarifeleri'!J186))</f>
        <v/>
      </c>
      <c r="L186" s="11">
        <f>IF(K186="","",IF($AM$1=2,'Komisyon Tarifeleri'!V186,'Komisyon Tarifeleri'!Q186))</f>
        <v/>
      </c>
      <c r="M186" s="10">
        <f>IF(OR(K186="",$D186=""),"",K186*(1-L186/100)-$D186-IF(K186&lt;=199.99,Kargo!$E$2,IF(K186&lt;=399.99,Kargo!$E$3,$F186)))</f>
        <v/>
      </c>
      <c r="N186" s="12">
        <f>IF(M186="","",M186/K186)</f>
        <v/>
      </c>
      <c r="O186" s="10">
        <f>IF($B186="","",IF('Komisyon Tarifeleri'!L186="","",'Komisyon Tarifeleri'!L186))</f>
        <v/>
      </c>
      <c r="P186" s="11">
        <f>IF(O186="","",IF($AM$1=2,'Komisyon Tarifeleri'!W186,'Komisyon Tarifeleri'!R186))</f>
        <v/>
      </c>
      <c r="Q186" s="10">
        <f>IF(OR(O186="",$D186=""),"",O186*(1-P186/100)-$D186-IF(O186&lt;=199.99,Kargo!$E$2,IF(O186&lt;=399.99,Kargo!$E$3,$F186)))</f>
        <v/>
      </c>
      <c r="R186" s="12">
        <f>IF(Q186="","",Q186/O186)</f>
        <v/>
      </c>
      <c r="S186" s="10">
        <f>IF($B186="","",IF('Komisyon Tarifeleri'!N186="","",'Komisyon Tarifeleri'!N186))</f>
        <v/>
      </c>
      <c r="T186" s="11">
        <f>IF(S186="","",IF($AM$1=2,'Komisyon Tarifeleri'!X186,'Komisyon Tarifeleri'!S186))</f>
        <v/>
      </c>
      <c r="U186" s="10">
        <f>IF(OR(S186="",$D186=""),"",S186*(1-T186/100)-$D186-IF(S186&lt;=199.99,Kargo!$E$2,IF(S186&lt;=399.99,Kargo!$E$3,$F186)))</f>
        <v/>
      </c>
      <c r="V186" s="12">
        <f>IF(U186="","",U186/S186)</f>
        <v/>
      </c>
      <c r="W186" s="12">
        <f>IF($B186="","",IFERROR(VLOOKUP($C186,Hedefler!$A:$C,2,FALSE),0.04))</f>
        <v/>
      </c>
      <c r="X186" s="12">
        <f>IF($B186="","",IFERROR(VLOOKUP($C186,Hedefler!$A:$C,3,FALSE),0.1))</f>
        <v/>
      </c>
      <c r="Y186" s="13">
        <f>IF($B186="","",IFERROR(VLOOKUP($B186,Maliyetler!$A:$E,5,FALSE),""))</f>
        <v/>
      </c>
      <c r="Z186" s="13">
        <f>IF(OR(Y186="",Y186=0),"",Y186-1)</f>
        <v/>
      </c>
      <c r="AA186" s="14">
        <f>IF(Z186="","",IF(Z186&gt;='Komisyon Tarifeleri'!I186,IF($AM$1=2,'Komisyon Tarifeleri'!U186,'Komisyon Tarifeleri'!P186),IF(Z186&gt;='Komisyon Tarifeleri'!K186,IF($AM$1=2,'Komisyon Tarifeleri'!V186,'Komisyon Tarifeleri'!Q186),IF(Z186&gt;='Komisyon Tarifeleri'!M186,IF($AM$1=2,'Komisyon Tarifeleri'!W186,'Komisyon Tarifeleri'!R186),IF($AM$1=2,'Komisyon Tarifeleri'!X186,'Komisyon Tarifeleri'!S186)))))</f>
        <v/>
      </c>
      <c r="AB186" s="13">
        <f>IF(OR(AA186="",$D186=""),"",Z186*(1-AA186/100)-$D186-IF(Z186&lt;=199.99,Kargo!$E$2,IF(Z186&lt;=399.99,Kargo!$E$3,$F186)))</f>
        <v/>
      </c>
      <c r="AC186" s="15">
        <f>IF(AB186="","",AB186/Z186)</f>
        <v/>
      </c>
      <c r="AD186" s="10">
        <f>IF(OR($D186="",$B186=""),"",IF(AND((1-T186/100-W186)&gt;0,CEILING(($D186+$F186)/(1-T186/100-W186),1)&lt;='Komisyon Tarifeleri'!N186),CEILING(($D186+$F186)/(1-T186/100-W186),1),IF(AND((1-P186/100-W186)&gt;0,CEILING(MAX('Komisyon Tarifeleri'!M186,($D186+$F186)/(1-P186/100-W186)),1)&lt;='Komisyon Tarifeleri'!L186),CEILING(MAX('Komisyon Tarifeleri'!M186,($D186+$F186)/(1-P186/100-W186)),1),IF(AND((1-L186/100-W186)&gt;0,CEILING(MAX('Komisyon Tarifeleri'!K186,($D186+$F186)/(1-L186/100-W186)),1)&lt;='Komisyon Tarifeleri'!J186),CEILING(MAX('Komisyon Tarifeleri'!K186,($D186+$F186)/(1-L186/100-W186)),1),IF((1-H186/100-W186)&gt;0,CEILING(MAX('Komisyon Tarifeleri'!I186,($D186+$F186)/(1-H186/100-W186)),1),"İMKÂNSIZ")))))</f>
        <v/>
      </c>
      <c r="AE186" s="10">
        <f>IF(OR($D186="",$B186=""),"",IF(AND((1-T186/100-X186)&gt;0,CEILING(($D186+$F186)/(1-T186/100-X186),1)&lt;='Komisyon Tarifeleri'!N186),CEILING(($D186+$F186)/(1-T186/100-X186),1),IF(AND((1-P186/100-X186)&gt;0,CEILING(MAX('Komisyon Tarifeleri'!M186,($D186+$F186)/(1-P186/100-X186)),1)&lt;='Komisyon Tarifeleri'!L186),CEILING(MAX('Komisyon Tarifeleri'!M186,($D186+$F186)/(1-P186/100-X186)),1),IF(AND((1-L186/100-X186)&gt;0,CEILING(MAX('Komisyon Tarifeleri'!K186,($D186+$F186)/(1-L186/100-X186)),1)&lt;='Komisyon Tarifeleri'!J186),CEILING(MAX('Komisyon Tarifeleri'!K186,($D186+$F186)/(1-L186/100-X186)),1),IF((1-H186/100-X186)&gt;0,CEILING(MAX('Komisyon Tarifeleri'!I186,($D186+$F186)/(1-H186/100-X186)),1),"İMKÂNSIZ")))))</f>
        <v/>
      </c>
      <c r="AF186" s="16">
        <f>IF($D186="","",IF(AND(Y186&lt;&gt;"",AC186&lt;&gt;"",AC186&gt;=W186),Z186,IF(Y186&lt;&gt;"",AD186,AE186)))</f>
        <v/>
      </c>
      <c r="AG186" s="16">
        <f>IF(OR(AF186="",AF186="İMKÂNSIZ"),"",AF186*(1-IF(AF186&gt;='Komisyon Tarifeleri'!I186,IF($AM$1=2,'Komisyon Tarifeleri'!U186,'Komisyon Tarifeleri'!P186),IF(AF186&gt;='Komisyon Tarifeleri'!K186,IF($AM$1=2,'Komisyon Tarifeleri'!V186,'Komisyon Tarifeleri'!Q186),IF(AF186&gt;='Komisyon Tarifeleri'!M186,IF($AM$1=2,'Komisyon Tarifeleri'!W186,'Komisyon Tarifeleri'!R186),IF($AM$1=2,'Komisyon Tarifeleri'!X186,'Komisyon Tarifeleri'!S186))))/100)-$D186-IF(AF186&lt;=199.99,Kargo!$E$2,IF(AF186&lt;=399.99,Kargo!$E$3,$F186)))</f>
        <v/>
      </c>
      <c r="AH186" s="17">
        <f>IF(AG186="","",AG186/AF186)</f>
        <v/>
      </c>
      <c r="AI186" s="18">
        <f>IF($D186="","",IF(Y186="","BUYBOX YOK → hedef kârla min fiyat",IF(AC186&gt;=W186,"✓ BUYBOX ALTINA GİR","BUYBOX ALTI KÂRSIZ → min kârlı fiyat")))</f>
        <v/>
      </c>
      <c r="AJ186" s="10">
        <f>IF($B186="","",IFERROR(VLOOKUP($B186,Maliyetler!$A:$G,6,FALSE),""))</f>
        <v/>
      </c>
      <c r="AK186">
        <f>IF($B186="","",IFERROR(VLOOKUP($B186,Maliyetler!$A:$G,7,FALSE),""))</f>
        <v/>
      </c>
      <c r="AO186" s="21">
        <f>IF($B186="","",IFERROR(VLOOKUP($B186&amp;"",'Plus Tarifeleri'!$C:$Q,11,FALSE),""))</f>
        <v/>
      </c>
      <c r="AP186" s="22">
        <f>IF(AO186="","",IFERROR(IF($AM$1=2,VLOOKUP($B186&amp;"",'Plus Tarifeleri'!$C:$Q,15,FALSE),VLOOKUP($B186&amp;"",'Plus Tarifeleri'!$C:$Q,13,FALSE)),""))</f>
        <v/>
      </c>
      <c r="AQ186" s="21">
        <f>IF(OR(AO186="",AP186="",$D186=""),"",AO186*(1-AP186/100)-$D186-IF(AO186&lt;=199.99,Kargo!$E$2,IF(AO186&lt;=399.99,Kargo!$E$3,$F186)))</f>
        <v/>
      </c>
      <c r="AR186" s="23">
        <f>IF(AQ186="","",AQ186/AO186)</f>
        <v/>
      </c>
      <c r="AS186" s="24">
        <f>IF(OR(AQ186="",AG186=""),"",AQ186-AG186)</f>
        <v/>
      </c>
    </row>
    <row r="187">
      <c r="A187">
        <f>IF('Komisyon Tarifeleri'!A187="","",'Komisyon Tarifeleri'!A187)</f>
        <v/>
      </c>
      <c r="B187">
        <f>IF('Komisyon Tarifeleri'!B187="","",'Komisyon Tarifeleri'!B187&amp;"")</f>
        <v/>
      </c>
      <c r="C187">
        <f>IF($B187="","",'Komisyon Tarifeleri'!F187)</f>
        <v/>
      </c>
      <c r="D187" s="10">
        <f>IF($B187="","",IFERROR(VLOOKUP($B187,Maliyetler!$A:$E,3,FALSE),""))</f>
        <v/>
      </c>
      <c r="E187">
        <f>IF($B187="","",IFERROR(VLOOKUP($B187,Maliyetler!$A:$E,4,FALSE),1))</f>
        <v/>
      </c>
      <c r="F187" s="10">
        <f>IF($B187="","",IFERROR(VLOOKUP(MIN(20,MAX(1,ROUND($E187,0))),Kargo!$A:$B,2,FALSE),99.46))</f>
        <v/>
      </c>
      <c r="G187" s="10">
        <f>IF($B187="","",IF(IF(N('Komisyon Tarifeleri'!AA187)&gt;='Komisyon Tarifeleri'!I187,'Komisyon Tarifeleri'!AA187,'Komisyon Tarifeleri'!I187)="","",IF(N('Komisyon Tarifeleri'!AA187)&gt;='Komisyon Tarifeleri'!I187,'Komisyon Tarifeleri'!AA187,'Komisyon Tarifeleri'!I187)))</f>
        <v/>
      </c>
      <c r="H187" s="11">
        <f>IF(G187="","",IF($AM$1=2,'Komisyon Tarifeleri'!U187,'Komisyon Tarifeleri'!P187))</f>
        <v/>
      </c>
      <c r="I187" s="10">
        <f>IF(OR(G187="",$D187=""),"",G187*(1-H187/100)-$D187-IF(G187&lt;=199.99,Kargo!$E$2,IF(G187&lt;=399.99,Kargo!$E$3,$F187)))</f>
        <v/>
      </c>
      <c r="J187" s="12">
        <f>IF(I187="","",I187/G187)</f>
        <v/>
      </c>
      <c r="K187" s="10">
        <f>IF($B187="","",IF('Komisyon Tarifeleri'!J187="","",'Komisyon Tarifeleri'!J187))</f>
        <v/>
      </c>
      <c r="L187" s="11">
        <f>IF(K187="","",IF($AM$1=2,'Komisyon Tarifeleri'!V187,'Komisyon Tarifeleri'!Q187))</f>
        <v/>
      </c>
      <c r="M187" s="10">
        <f>IF(OR(K187="",$D187=""),"",K187*(1-L187/100)-$D187-IF(K187&lt;=199.99,Kargo!$E$2,IF(K187&lt;=399.99,Kargo!$E$3,$F187)))</f>
        <v/>
      </c>
      <c r="N187" s="12">
        <f>IF(M187="","",M187/K187)</f>
        <v/>
      </c>
      <c r="O187" s="10">
        <f>IF($B187="","",IF('Komisyon Tarifeleri'!L187="","",'Komisyon Tarifeleri'!L187))</f>
        <v/>
      </c>
      <c r="P187" s="11">
        <f>IF(O187="","",IF($AM$1=2,'Komisyon Tarifeleri'!W187,'Komisyon Tarifeleri'!R187))</f>
        <v/>
      </c>
      <c r="Q187" s="10">
        <f>IF(OR(O187="",$D187=""),"",O187*(1-P187/100)-$D187-IF(O187&lt;=199.99,Kargo!$E$2,IF(O187&lt;=399.99,Kargo!$E$3,$F187)))</f>
        <v/>
      </c>
      <c r="R187" s="12">
        <f>IF(Q187="","",Q187/O187)</f>
        <v/>
      </c>
      <c r="S187" s="10">
        <f>IF($B187="","",IF('Komisyon Tarifeleri'!N187="","",'Komisyon Tarifeleri'!N187))</f>
        <v/>
      </c>
      <c r="T187" s="11">
        <f>IF(S187="","",IF($AM$1=2,'Komisyon Tarifeleri'!X187,'Komisyon Tarifeleri'!S187))</f>
        <v/>
      </c>
      <c r="U187" s="10">
        <f>IF(OR(S187="",$D187=""),"",S187*(1-T187/100)-$D187-IF(S187&lt;=199.99,Kargo!$E$2,IF(S187&lt;=399.99,Kargo!$E$3,$F187)))</f>
        <v/>
      </c>
      <c r="V187" s="12">
        <f>IF(U187="","",U187/S187)</f>
        <v/>
      </c>
      <c r="W187" s="12">
        <f>IF($B187="","",IFERROR(VLOOKUP($C187,Hedefler!$A:$C,2,FALSE),0.04))</f>
        <v/>
      </c>
      <c r="X187" s="12">
        <f>IF($B187="","",IFERROR(VLOOKUP($C187,Hedefler!$A:$C,3,FALSE),0.1))</f>
        <v/>
      </c>
      <c r="Y187" s="13">
        <f>IF($B187="","",IFERROR(VLOOKUP($B187,Maliyetler!$A:$E,5,FALSE),""))</f>
        <v/>
      </c>
      <c r="Z187" s="13">
        <f>IF(OR(Y187="",Y187=0),"",Y187-1)</f>
        <v/>
      </c>
      <c r="AA187" s="14">
        <f>IF(Z187="","",IF(Z187&gt;='Komisyon Tarifeleri'!I187,IF($AM$1=2,'Komisyon Tarifeleri'!U187,'Komisyon Tarifeleri'!P187),IF(Z187&gt;='Komisyon Tarifeleri'!K187,IF($AM$1=2,'Komisyon Tarifeleri'!V187,'Komisyon Tarifeleri'!Q187),IF(Z187&gt;='Komisyon Tarifeleri'!M187,IF($AM$1=2,'Komisyon Tarifeleri'!W187,'Komisyon Tarifeleri'!R187),IF($AM$1=2,'Komisyon Tarifeleri'!X187,'Komisyon Tarifeleri'!S187)))))</f>
        <v/>
      </c>
      <c r="AB187" s="13">
        <f>IF(OR(AA187="",$D187=""),"",Z187*(1-AA187/100)-$D187-IF(Z187&lt;=199.99,Kargo!$E$2,IF(Z187&lt;=399.99,Kargo!$E$3,$F187)))</f>
        <v/>
      </c>
      <c r="AC187" s="15">
        <f>IF(AB187="","",AB187/Z187)</f>
        <v/>
      </c>
      <c r="AD187" s="10">
        <f>IF(OR($D187="",$B187=""),"",IF(AND((1-T187/100-W187)&gt;0,CEILING(($D187+$F187)/(1-T187/100-W187),1)&lt;='Komisyon Tarifeleri'!N187),CEILING(($D187+$F187)/(1-T187/100-W187),1),IF(AND((1-P187/100-W187)&gt;0,CEILING(MAX('Komisyon Tarifeleri'!M187,($D187+$F187)/(1-P187/100-W187)),1)&lt;='Komisyon Tarifeleri'!L187),CEILING(MAX('Komisyon Tarifeleri'!M187,($D187+$F187)/(1-P187/100-W187)),1),IF(AND((1-L187/100-W187)&gt;0,CEILING(MAX('Komisyon Tarifeleri'!K187,($D187+$F187)/(1-L187/100-W187)),1)&lt;='Komisyon Tarifeleri'!J187),CEILING(MAX('Komisyon Tarifeleri'!K187,($D187+$F187)/(1-L187/100-W187)),1),IF((1-H187/100-W187)&gt;0,CEILING(MAX('Komisyon Tarifeleri'!I187,($D187+$F187)/(1-H187/100-W187)),1),"İMKÂNSIZ")))))</f>
        <v/>
      </c>
      <c r="AE187" s="10">
        <f>IF(OR($D187="",$B187=""),"",IF(AND((1-T187/100-X187)&gt;0,CEILING(($D187+$F187)/(1-T187/100-X187),1)&lt;='Komisyon Tarifeleri'!N187),CEILING(($D187+$F187)/(1-T187/100-X187),1),IF(AND((1-P187/100-X187)&gt;0,CEILING(MAX('Komisyon Tarifeleri'!M187,($D187+$F187)/(1-P187/100-X187)),1)&lt;='Komisyon Tarifeleri'!L187),CEILING(MAX('Komisyon Tarifeleri'!M187,($D187+$F187)/(1-P187/100-X187)),1),IF(AND((1-L187/100-X187)&gt;0,CEILING(MAX('Komisyon Tarifeleri'!K187,($D187+$F187)/(1-L187/100-X187)),1)&lt;='Komisyon Tarifeleri'!J187),CEILING(MAX('Komisyon Tarifeleri'!K187,($D187+$F187)/(1-L187/100-X187)),1),IF((1-H187/100-X187)&gt;0,CEILING(MAX('Komisyon Tarifeleri'!I187,($D187+$F187)/(1-H187/100-X187)),1),"İMKÂNSIZ")))))</f>
        <v/>
      </c>
      <c r="AF187" s="16">
        <f>IF($D187="","",IF(AND(Y187&lt;&gt;"",AC187&lt;&gt;"",AC187&gt;=W187),Z187,IF(Y187&lt;&gt;"",AD187,AE187)))</f>
        <v/>
      </c>
      <c r="AG187" s="16">
        <f>IF(OR(AF187="",AF187="İMKÂNSIZ"),"",AF187*(1-IF(AF187&gt;='Komisyon Tarifeleri'!I187,IF($AM$1=2,'Komisyon Tarifeleri'!U187,'Komisyon Tarifeleri'!P187),IF(AF187&gt;='Komisyon Tarifeleri'!K187,IF($AM$1=2,'Komisyon Tarifeleri'!V187,'Komisyon Tarifeleri'!Q187),IF(AF187&gt;='Komisyon Tarifeleri'!M187,IF($AM$1=2,'Komisyon Tarifeleri'!W187,'Komisyon Tarifeleri'!R187),IF($AM$1=2,'Komisyon Tarifeleri'!X187,'Komisyon Tarifeleri'!S187))))/100)-$D187-IF(AF187&lt;=199.99,Kargo!$E$2,IF(AF187&lt;=399.99,Kargo!$E$3,$F187)))</f>
        <v/>
      </c>
      <c r="AH187" s="17">
        <f>IF(AG187="","",AG187/AF187)</f>
        <v/>
      </c>
      <c r="AI187" s="18">
        <f>IF($D187="","",IF(Y187="","BUYBOX YOK → hedef kârla min fiyat",IF(AC187&gt;=W187,"✓ BUYBOX ALTINA GİR","BUYBOX ALTI KÂRSIZ → min kârlı fiyat")))</f>
        <v/>
      </c>
      <c r="AJ187" s="10">
        <f>IF($B187="","",IFERROR(VLOOKUP($B187,Maliyetler!$A:$G,6,FALSE),""))</f>
        <v/>
      </c>
      <c r="AK187">
        <f>IF($B187="","",IFERROR(VLOOKUP($B187,Maliyetler!$A:$G,7,FALSE),""))</f>
        <v/>
      </c>
      <c r="AO187" s="21">
        <f>IF($B187="","",IFERROR(VLOOKUP($B187&amp;"",'Plus Tarifeleri'!$C:$Q,11,FALSE),""))</f>
        <v/>
      </c>
      <c r="AP187" s="22">
        <f>IF(AO187="","",IFERROR(IF($AM$1=2,VLOOKUP($B187&amp;"",'Plus Tarifeleri'!$C:$Q,15,FALSE),VLOOKUP($B187&amp;"",'Plus Tarifeleri'!$C:$Q,13,FALSE)),""))</f>
        <v/>
      </c>
      <c r="AQ187" s="21">
        <f>IF(OR(AO187="",AP187="",$D187=""),"",AO187*(1-AP187/100)-$D187-IF(AO187&lt;=199.99,Kargo!$E$2,IF(AO187&lt;=399.99,Kargo!$E$3,$F187)))</f>
        <v/>
      </c>
      <c r="AR187" s="23">
        <f>IF(AQ187="","",AQ187/AO187)</f>
        <v/>
      </c>
      <c r="AS187" s="24">
        <f>IF(OR(AQ187="",AG187=""),"",AQ187-AG187)</f>
        <v/>
      </c>
    </row>
    <row r="188">
      <c r="A188">
        <f>IF('Komisyon Tarifeleri'!A188="","",'Komisyon Tarifeleri'!A188)</f>
        <v/>
      </c>
      <c r="B188">
        <f>IF('Komisyon Tarifeleri'!B188="","",'Komisyon Tarifeleri'!B188&amp;"")</f>
        <v/>
      </c>
      <c r="C188">
        <f>IF($B188="","",'Komisyon Tarifeleri'!F188)</f>
        <v/>
      </c>
      <c r="D188" s="10">
        <f>IF($B188="","",IFERROR(VLOOKUP($B188,Maliyetler!$A:$E,3,FALSE),""))</f>
        <v/>
      </c>
      <c r="E188">
        <f>IF($B188="","",IFERROR(VLOOKUP($B188,Maliyetler!$A:$E,4,FALSE),1))</f>
        <v/>
      </c>
      <c r="F188" s="10">
        <f>IF($B188="","",IFERROR(VLOOKUP(MIN(20,MAX(1,ROUND($E188,0))),Kargo!$A:$B,2,FALSE),99.46))</f>
        <v/>
      </c>
      <c r="G188" s="10">
        <f>IF($B188="","",IF(IF(N('Komisyon Tarifeleri'!AA188)&gt;='Komisyon Tarifeleri'!I188,'Komisyon Tarifeleri'!AA188,'Komisyon Tarifeleri'!I188)="","",IF(N('Komisyon Tarifeleri'!AA188)&gt;='Komisyon Tarifeleri'!I188,'Komisyon Tarifeleri'!AA188,'Komisyon Tarifeleri'!I188)))</f>
        <v/>
      </c>
      <c r="H188" s="11">
        <f>IF(G188="","",IF($AM$1=2,'Komisyon Tarifeleri'!U188,'Komisyon Tarifeleri'!P188))</f>
        <v/>
      </c>
      <c r="I188" s="10">
        <f>IF(OR(G188="",$D188=""),"",G188*(1-H188/100)-$D188-IF(G188&lt;=199.99,Kargo!$E$2,IF(G188&lt;=399.99,Kargo!$E$3,$F188)))</f>
        <v/>
      </c>
      <c r="J188" s="12">
        <f>IF(I188="","",I188/G188)</f>
        <v/>
      </c>
      <c r="K188" s="10">
        <f>IF($B188="","",IF('Komisyon Tarifeleri'!J188="","",'Komisyon Tarifeleri'!J188))</f>
        <v/>
      </c>
      <c r="L188" s="11">
        <f>IF(K188="","",IF($AM$1=2,'Komisyon Tarifeleri'!V188,'Komisyon Tarifeleri'!Q188))</f>
        <v/>
      </c>
      <c r="M188" s="10">
        <f>IF(OR(K188="",$D188=""),"",K188*(1-L188/100)-$D188-IF(K188&lt;=199.99,Kargo!$E$2,IF(K188&lt;=399.99,Kargo!$E$3,$F188)))</f>
        <v/>
      </c>
      <c r="N188" s="12">
        <f>IF(M188="","",M188/K188)</f>
        <v/>
      </c>
      <c r="O188" s="10">
        <f>IF($B188="","",IF('Komisyon Tarifeleri'!L188="","",'Komisyon Tarifeleri'!L188))</f>
        <v/>
      </c>
      <c r="P188" s="11">
        <f>IF(O188="","",IF($AM$1=2,'Komisyon Tarifeleri'!W188,'Komisyon Tarifeleri'!R188))</f>
        <v/>
      </c>
      <c r="Q188" s="10">
        <f>IF(OR(O188="",$D188=""),"",O188*(1-P188/100)-$D188-IF(O188&lt;=199.99,Kargo!$E$2,IF(O188&lt;=399.99,Kargo!$E$3,$F188)))</f>
        <v/>
      </c>
      <c r="R188" s="12">
        <f>IF(Q188="","",Q188/O188)</f>
        <v/>
      </c>
      <c r="S188" s="10">
        <f>IF($B188="","",IF('Komisyon Tarifeleri'!N188="","",'Komisyon Tarifeleri'!N188))</f>
        <v/>
      </c>
      <c r="T188" s="11">
        <f>IF(S188="","",IF($AM$1=2,'Komisyon Tarifeleri'!X188,'Komisyon Tarifeleri'!S188))</f>
        <v/>
      </c>
      <c r="U188" s="10">
        <f>IF(OR(S188="",$D188=""),"",S188*(1-T188/100)-$D188-IF(S188&lt;=199.99,Kargo!$E$2,IF(S188&lt;=399.99,Kargo!$E$3,$F188)))</f>
        <v/>
      </c>
      <c r="V188" s="12">
        <f>IF(U188="","",U188/S188)</f>
        <v/>
      </c>
      <c r="W188" s="12">
        <f>IF($B188="","",IFERROR(VLOOKUP($C188,Hedefler!$A:$C,2,FALSE),0.04))</f>
        <v/>
      </c>
      <c r="X188" s="12">
        <f>IF($B188="","",IFERROR(VLOOKUP($C188,Hedefler!$A:$C,3,FALSE),0.1))</f>
        <v/>
      </c>
      <c r="Y188" s="13">
        <f>IF($B188="","",IFERROR(VLOOKUP($B188,Maliyetler!$A:$E,5,FALSE),""))</f>
        <v/>
      </c>
      <c r="Z188" s="13">
        <f>IF(OR(Y188="",Y188=0),"",Y188-1)</f>
        <v/>
      </c>
      <c r="AA188" s="14">
        <f>IF(Z188="","",IF(Z188&gt;='Komisyon Tarifeleri'!I188,IF($AM$1=2,'Komisyon Tarifeleri'!U188,'Komisyon Tarifeleri'!P188),IF(Z188&gt;='Komisyon Tarifeleri'!K188,IF($AM$1=2,'Komisyon Tarifeleri'!V188,'Komisyon Tarifeleri'!Q188),IF(Z188&gt;='Komisyon Tarifeleri'!M188,IF($AM$1=2,'Komisyon Tarifeleri'!W188,'Komisyon Tarifeleri'!R188),IF($AM$1=2,'Komisyon Tarifeleri'!X188,'Komisyon Tarifeleri'!S188)))))</f>
        <v/>
      </c>
      <c r="AB188" s="13">
        <f>IF(OR(AA188="",$D188=""),"",Z188*(1-AA188/100)-$D188-IF(Z188&lt;=199.99,Kargo!$E$2,IF(Z188&lt;=399.99,Kargo!$E$3,$F188)))</f>
        <v/>
      </c>
      <c r="AC188" s="15">
        <f>IF(AB188="","",AB188/Z188)</f>
        <v/>
      </c>
      <c r="AD188" s="10">
        <f>IF(OR($D188="",$B188=""),"",IF(AND((1-T188/100-W188)&gt;0,CEILING(($D188+$F188)/(1-T188/100-W188),1)&lt;='Komisyon Tarifeleri'!N188),CEILING(($D188+$F188)/(1-T188/100-W188),1),IF(AND((1-P188/100-W188)&gt;0,CEILING(MAX('Komisyon Tarifeleri'!M188,($D188+$F188)/(1-P188/100-W188)),1)&lt;='Komisyon Tarifeleri'!L188),CEILING(MAX('Komisyon Tarifeleri'!M188,($D188+$F188)/(1-P188/100-W188)),1),IF(AND((1-L188/100-W188)&gt;0,CEILING(MAX('Komisyon Tarifeleri'!K188,($D188+$F188)/(1-L188/100-W188)),1)&lt;='Komisyon Tarifeleri'!J188),CEILING(MAX('Komisyon Tarifeleri'!K188,($D188+$F188)/(1-L188/100-W188)),1),IF((1-H188/100-W188)&gt;0,CEILING(MAX('Komisyon Tarifeleri'!I188,($D188+$F188)/(1-H188/100-W188)),1),"İMKÂNSIZ")))))</f>
        <v/>
      </c>
      <c r="AE188" s="10">
        <f>IF(OR($D188="",$B188=""),"",IF(AND((1-T188/100-X188)&gt;0,CEILING(($D188+$F188)/(1-T188/100-X188),1)&lt;='Komisyon Tarifeleri'!N188),CEILING(($D188+$F188)/(1-T188/100-X188),1),IF(AND((1-P188/100-X188)&gt;0,CEILING(MAX('Komisyon Tarifeleri'!M188,($D188+$F188)/(1-P188/100-X188)),1)&lt;='Komisyon Tarifeleri'!L188),CEILING(MAX('Komisyon Tarifeleri'!M188,($D188+$F188)/(1-P188/100-X188)),1),IF(AND((1-L188/100-X188)&gt;0,CEILING(MAX('Komisyon Tarifeleri'!K188,($D188+$F188)/(1-L188/100-X188)),1)&lt;='Komisyon Tarifeleri'!J188),CEILING(MAX('Komisyon Tarifeleri'!K188,($D188+$F188)/(1-L188/100-X188)),1),IF((1-H188/100-X188)&gt;0,CEILING(MAX('Komisyon Tarifeleri'!I188,($D188+$F188)/(1-H188/100-X188)),1),"İMKÂNSIZ")))))</f>
        <v/>
      </c>
      <c r="AF188" s="16">
        <f>IF($D188="","",IF(AND(Y188&lt;&gt;"",AC188&lt;&gt;"",AC188&gt;=W188),Z188,IF(Y188&lt;&gt;"",AD188,AE188)))</f>
        <v/>
      </c>
      <c r="AG188" s="16">
        <f>IF(OR(AF188="",AF188="İMKÂNSIZ"),"",AF188*(1-IF(AF188&gt;='Komisyon Tarifeleri'!I188,IF($AM$1=2,'Komisyon Tarifeleri'!U188,'Komisyon Tarifeleri'!P188),IF(AF188&gt;='Komisyon Tarifeleri'!K188,IF($AM$1=2,'Komisyon Tarifeleri'!V188,'Komisyon Tarifeleri'!Q188),IF(AF188&gt;='Komisyon Tarifeleri'!M188,IF($AM$1=2,'Komisyon Tarifeleri'!W188,'Komisyon Tarifeleri'!R188),IF($AM$1=2,'Komisyon Tarifeleri'!X188,'Komisyon Tarifeleri'!S188))))/100)-$D188-IF(AF188&lt;=199.99,Kargo!$E$2,IF(AF188&lt;=399.99,Kargo!$E$3,$F188)))</f>
        <v/>
      </c>
      <c r="AH188" s="17">
        <f>IF(AG188="","",AG188/AF188)</f>
        <v/>
      </c>
      <c r="AI188" s="18">
        <f>IF($D188="","",IF(Y188="","BUYBOX YOK → hedef kârla min fiyat",IF(AC188&gt;=W188,"✓ BUYBOX ALTINA GİR","BUYBOX ALTI KÂRSIZ → min kârlı fiyat")))</f>
        <v/>
      </c>
      <c r="AJ188" s="10">
        <f>IF($B188="","",IFERROR(VLOOKUP($B188,Maliyetler!$A:$G,6,FALSE),""))</f>
        <v/>
      </c>
      <c r="AK188">
        <f>IF($B188="","",IFERROR(VLOOKUP($B188,Maliyetler!$A:$G,7,FALSE),""))</f>
        <v/>
      </c>
      <c r="AO188" s="21">
        <f>IF($B188="","",IFERROR(VLOOKUP($B188&amp;"",'Plus Tarifeleri'!$C:$Q,11,FALSE),""))</f>
        <v/>
      </c>
      <c r="AP188" s="22">
        <f>IF(AO188="","",IFERROR(IF($AM$1=2,VLOOKUP($B188&amp;"",'Plus Tarifeleri'!$C:$Q,15,FALSE),VLOOKUP($B188&amp;"",'Plus Tarifeleri'!$C:$Q,13,FALSE)),""))</f>
        <v/>
      </c>
      <c r="AQ188" s="21">
        <f>IF(OR(AO188="",AP188="",$D188=""),"",AO188*(1-AP188/100)-$D188-IF(AO188&lt;=199.99,Kargo!$E$2,IF(AO188&lt;=399.99,Kargo!$E$3,$F188)))</f>
        <v/>
      </c>
      <c r="AR188" s="23">
        <f>IF(AQ188="","",AQ188/AO188)</f>
        <v/>
      </c>
      <c r="AS188" s="24">
        <f>IF(OR(AQ188="",AG188=""),"",AQ188-AG188)</f>
        <v/>
      </c>
    </row>
    <row r="189">
      <c r="A189">
        <f>IF('Komisyon Tarifeleri'!A189="","",'Komisyon Tarifeleri'!A189)</f>
        <v/>
      </c>
      <c r="B189">
        <f>IF('Komisyon Tarifeleri'!B189="","",'Komisyon Tarifeleri'!B189&amp;"")</f>
        <v/>
      </c>
      <c r="C189">
        <f>IF($B189="","",'Komisyon Tarifeleri'!F189)</f>
        <v/>
      </c>
      <c r="D189" s="10">
        <f>IF($B189="","",IFERROR(VLOOKUP($B189,Maliyetler!$A:$E,3,FALSE),""))</f>
        <v/>
      </c>
      <c r="E189">
        <f>IF($B189="","",IFERROR(VLOOKUP($B189,Maliyetler!$A:$E,4,FALSE),1))</f>
        <v/>
      </c>
      <c r="F189" s="10">
        <f>IF($B189="","",IFERROR(VLOOKUP(MIN(20,MAX(1,ROUND($E189,0))),Kargo!$A:$B,2,FALSE),99.46))</f>
        <v/>
      </c>
      <c r="G189" s="10">
        <f>IF($B189="","",IF(IF(N('Komisyon Tarifeleri'!AA189)&gt;='Komisyon Tarifeleri'!I189,'Komisyon Tarifeleri'!AA189,'Komisyon Tarifeleri'!I189)="","",IF(N('Komisyon Tarifeleri'!AA189)&gt;='Komisyon Tarifeleri'!I189,'Komisyon Tarifeleri'!AA189,'Komisyon Tarifeleri'!I189)))</f>
        <v/>
      </c>
      <c r="H189" s="11">
        <f>IF(G189="","",IF($AM$1=2,'Komisyon Tarifeleri'!U189,'Komisyon Tarifeleri'!P189))</f>
        <v/>
      </c>
      <c r="I189" s="10">
        <f>IF(OR(G189="",$D189=""),"",G189*(1-H189/100)-$D189-IF(G189&lt;=199.99,Kargo!$E$2,IF(G189&lt;=399.99,Kargo!$E$3,$F189)))</f>
        <v/>
      </c>
      <c r="J189" s="12">
        <f>IF(I189="","",I189/G189)</f>
        <v/>
      </c>
      <c r="K189" s="10">
        <f>IF($B189="","",IF('Komisyon Tarifeleri'!J189="","",'Komisyon Tarifeleri'!J189))</f>
        <v/>
      </c>
      <c r="L189" s="11">
        <f>IF(K189="","",IF($AM$1=2,'Komisyon Tarifeleri'!V189,'Komisyon Tarifeleri'!Q189))</f>
        <v/>
      </c>
      <c r="M189" s="10">
        <f>IF(OR(K189="",$D189=""),"",K189*(1-L189/100)-$D189-IF(K189&lt;=199.99,Kargo!$E$2,IF(K189&lt;=399.99,Kargo!$E$3,$F189)))</f>
        <v/>
      </c>
      <c r="N189" s="12">
        <f>IF(M189="","",M189/K189)</f>
        <v/>
      </c>
      <c r="O189" s="10">
        <f>IF($B189="","",IF('Komisyon Tarifeleri'!L189="","",'Komisyon Tarifeleri'!L189))</f>
        <v/>
      </c>
      <c r="P189" s="11">
        <f>IF(O189="","",IF($AM$1=2,'Komisyon Tarifeleri'!W189,'Komisyon Tarifeleri'!R189))</f>
        <v/>
      </c>
      <c r="Q189" s="10">
        <f>IF(OR(O189="",$D189=""),"",O189*(1-P189/100)-$D189-IF(O189&lt;=199.99,Kargo!$E$2,IF(O189&lt;=399.99,Kargo!$E$3,$F189)))</f>
        <v/>
      </c>
      <c r="R189" s="12">
        <f>IF(Q189="","",Q189/O189)</f>
        <v/>
      </c>
      <c r="S189" s="10">
        <f>IF($B189="","",IF('Komisyon Tarifeleri'!N189="","",'Komisyon Tarifeleri'!N189))</f>
        <v/>
      </c>
      <c r="T189" s="11">
        <f>IF(S189="","",IF($AM$1=2,'Komisyon Tarifeleri'!X189,'Komisyon Tarifeleri'!S189))</f>
        <v/>
      </c>
      <c r="U189" s="10">
        <f>IF(OR(S189="",$D189=""),"",S189*(1-T189/100)-$D189-IF(S189&lt;=199.99,Kargo!$E$2,IF(S189&lt;=399.99,Kargo!$E$3,$F189)))</f>
        <v/>
      </c>
      <c r="V189" s="12">
        <f>IF(U189="","",U189/S189)</f>
        <v/>
      </c>
      <c r="W189" s="12">
        <f>IF($B189="","",IFERROR(VLOOKUP($C189,Hedefler!$A:$C,2,FALSE),0.04))</f>
        <v/>
      </c>
      <c r="X189" s="12">
        <f>IF($B189="","",IFERROR(VLOOKUP($C189,Hedefler!$A:$C,3,FALSE),0.1))</f>
        <v/>
      </c>
      <c r="Y189" s="13">
        <f>IF($B189="","",IFERROR(VLOOKUP($B189,Maliyetler!$A:$E,5,FALSE),""))</f>
        <v/>
      </c>
      <c r="Z189" s="13">
        <f>IF(OR(Y189="",Y189=0),"",Y189-1)</f>
        <v/>
      </c>
      <c r="AA189" s="14">
        <f>IF(Z189="","",IF(Z189&gt;='Komisyon Tarifeleri'!I189,IF($AM$1=2,'Komisyon Tarifeleri'!U189,'Komisyon Tarifeleri'!P189),IF(Z189&gt;='Komisyon Tarifeleri'!K189,IF($AM$1=2,'Komisyon Tarifeleri'!V189,'Komisyon Tarifeleri'!Q189),IF(Z189&gt;='Komisyon Tarifeleri'!M189,IF($AM$1=2,'Komisyon Tarifeleri'!W189,'Komisyon Tarifeleri'!R189),IF($AM$1=2,'Komisyon Tarifeleri'!X189,'Komisyon Tarifeleri'!S189)))))</f>
        <v/>
      </c>
      <c r="AB189" s="13">
        <f>IF(OR(AA189="",$D189=""),"",Z189*(1-AA189/100)-$D189-IF(Z189&lt;=199.99,Kargo!$E$2,IF(Z189&lt;=399.99,Kargo!$E$3,$F189)))</f>
        <v/>
      </c>
      <c r="AC189" s="15">
        <f>IF(AB189="","",AB189/Z189)</f>
        <v/>
      </c>
      <c r="AD189" s="10">
        <f>IF(OR($D189="",$B189=""),"",IF(AND((1-T189/100-W189)&gt;0,CEILING(($D189+$F189)/(1-T189/100-W189),1)&lt;='Komisyon Tarifeleri'!N189),CEILING(($D189+$F189)/(1-T189/100-W189),1),IF(AND((1-P189/100-W189)&gt;0,CEILING(MAX('Komisyon Tarifeleri'!M189,($D189+$F189)/(1-P189/100-W189)),1)&lt;='Komisyon Tarifeleri'!L189),CEILING(MAX('Komisyon Tarifeleri'!M189,($D189+$F189)/(1-P189/100-W189)),1),IF(AND((1-L189/100-W189)&gt;0,CEILING(MAX('Komisyon Tarifeleri'!K189,($D189+$F189)/(1-L189/100-W189)),1)&lt;='Komisyon Tarifeleri'!J189),CEILING(MAX('Komisyon Tarifeleri'!K189,($D189+$F189)/(1-L189/100-W189)),1),IF((1-H189/100-W189)&gt;0,CEILING(MAX('Komisyon Tarifeleri'!I189,($D189+$F189)/(1-H189/100-W189)),1),"İMKÂNSIZ")))))</f>
        <v/>
      </c>
      <c r="AE189" s="10">
        <f>IF(OR($D189="",$B189=""),"",IF(AND((1-T189/100-X189)&gt;0,CEILING(($D189+$F189)/(1-T189/100-X189),1)&lt;='Komisyon Tarifeleri'!N189),CEILING(($D189+$F189)/(1-T189/100-X189),1),IF(AND((1-P189/100-X189)&gt;0,CEILING(MAX('Komisyon Tarifeleri'!M189,($D189+$F189)/(1-P189/100-X189)),1)&lt;='Komisyon Tarifeleri'!L189),CEILING(MAX('Komisyon Tarifeleri'!M189,($D189+$F189)/(1-P189/100-X189)),1),IF(AND((1-L189/100-X189)&gt;0,CEILING(MAX('Komisyon Tarifeleri'!K189,($D189+$F189)/(1-L189/100-X189)),1)&lt;='Komisyon Tarifeleri'!J189),CEILING(MAX('Komisyon Tarifeleri'!K189,($D189+$F189)/(1-L189/100-X189)),1),IF((1-H189/100-X189)&gt;0,CEILING(MAX('Komisyon Tarifeleri'!I189,($D189+$F189)/(1-H189/100-X189)),1),"İMKÂNSIZ")))))</f>
        <v/>
      </c>
      <c r="AF189" s="16">
        <f>IF($D189="","",IF(AND(Y189&lt;&gt;"",AC189&lt;&gt;"",AC189&gt;=W189),Z189,IF(Y189&lt;&gt;"",AD189,AE189)))</f>
        <v/>
      </c>
      <c r="AG189" s="16">
        <f>IF(OR(AF189="",AF189="İMKÂNSIZ"),"",AF189*(1-IF(AF189&gt;='Komisyon Tarifeleri'!I189,IF($AM$1=2,'Komisyon Tarifeleri'!U189,'Komisyon Tarifeleri'!P189),IF(AF189&gt;='Komisyon Tarifeleri'!K189,IF($AM$1=2,'Komisyon Tarifeleri'!V189,'Komisyon Tarifeleri'!Q189),IF(AF189&gt;='Komisyon Tarifeleri'!M189,IF($AM$1=2,'Komisyon Tarifeleri'!W189,'Komisyon Tarifeleri'!R189),IF($AM$1=2,'Komisyon Tarifeleri'!X189,'Komisyon Tarifeleri'!S189))))/100)-$D189-IF(AF189&lt;=199.99,Kargo!$E$2,IF(AF189&lt;=399.99,Kargo!$E$3,$F189)))</f>
        <v/>
      </c>
      <c r="AH189" s="17">
        <f>IF(AG189="","",AG189/AF189)</f>
        <v/>
      </c>
      <c r="AI189" s="18">
        <f>IF($D189="","",IF(Y189="","BUYBOX YOK → hedef kârla min fiyat",IF(AC189&gt;=W189,"✓ BUYBOX ALTINA GİR","BUYBOX ALTI KÂRSIZ → min kârlı fiyat")))</f>
        <v/>
      </c>
      <c r="AJ189" s="10">
        <f>IF($B189="","",IFERROR(VLOOKUP($B189,Maliyetler!$A:$G,6,FALSE),""))</f>
        <v/>
      </c>
      <c r="AK189">
        <f>IF($B189="","",IFERROR(VLOOKUP($B189,Maliyetler!$A:$G,7,FALSE),""))</f>
        <v/>
      </c>
      <c r="AO189" s="21">
        <f>IF($B189="","",IFERROR(VLOOKUP($B189&amp;"",'Plus Tarifeleri'!$C:$Q,11,FALSE),""))</f>
        <v/>
      </c>
      <c r="AP189" s="22">
        <f>IF(AO189="","",IFERROR(IF($AM$1=2,VLOOKUP($B189&amp;"",'Plus Tarifeleri'!$C:$Q,15,FALSE),VLOOKUP($B189&amp;"",'Plus Tarifeleri'!$C:$Q,13,FALSE)),""))</f>
        <v/>
      </c>
      <c r="AQ189" s="21">
        <f>IF(OR(AO189="",AP189="",$D189=""),"",AO189*(1-AP189/100)-$D189-IF(AO189&lt;=199.99,Kargo!$E$2,IF(AO189&lt;=399.99,Kargo!$E$3,$F189)))</f>
        <v/>
      </c>
      <c r="AR189" s="23">
        <f>IF(AQ189="","",AQ189/AO189)</f>
        <v/>
      </c>
      <c r="AS189" s="24">
        <f>IF(OR(AQ189="",AG189=""),"",AQ189-AG189)</f>
        <v/>
      </c>
    </row>
    <row r="190">
      <c r="A190">
        <f>IF('Komisyon Tarifeleri'!A190="","",'Komisyon Tarifeleri'!A190)</f>
        <v/>
      </c>
      <c r="B190">
        <f>IF('Komisyon Tarifeleri'!B190="","",'Komisyon Tarifeleri'!B190&amp;"")</f>
        <v/>
      </c>
      <c r="C190">
        <f>IF($B190="","",'Komisyon Tarifeleri'!F190)</f>
        <v/>
      </c>
      <c r="D190" s="10">
        <f>IF($B190="","",IFERROR(VLOOKUP($B190,Maliyetler!$A:$E,3,FALSE),""))</f>
        <v/>
      </c>
      <c r="E190">
        <f>IF($B190="","",IFERROR(VLOOKUP($B190,Maliyetler!$A:$E,4,FALSE),1))</f>
        <v/>
      </c>
      <c r="F190" s="10">
        <f>IF($B190="","",IFERROR(VLOOKUP(MIN(20,MAX(1,ROUND($E190,0))),Kargo!$A:$B,2,FALSE),99.46))</f>
        <v/>
      </c>
      <c r="G190" s="10">
        <f>IF($B190="","",IF(IF(N('Komisyon Tarifeleri'!AA190)&gt;='Komisyon Tarifeleri'!I190,'Komisyon Tarifeleri'!AA190,'Komisyon Tarifeleri'!I190)="","",IF(N('Komisyon Tarifeleri'!AA190)&gt;='Komisyon Tarifeleri'!I190,'Komisyon Tarifeleri'!AA190,'Komisyon Tarifeleri'!I190)))</f>
        <v/>
      </c>
      <c r="H190" s="11">
        <f>IF(G190="","",IF($AM$1=2,'Komisyon Tarifeleri'!U190,'Komisyon Tarifeleri'!P190))</f>
        <v/>
      </c>
      <c r="I190" s="10">
        <f>IF(OR(G190="",$D190=""),"",G190*(1-H190/100)-$D190-IF(G190&lt;=199.99,Kargo!$E$2,IF(G190&lt;=399.99,Kargo!$E$3,$F190)))</f>
        <v/>
      </c>
      <c r="J190" s="12">
        <f>IF(I190="","",I190/G190)</f>
        <v/>
      </c>
      <c r="K190" s="10">
        <f>IF($B190="","",IF('Komisyon Tarifeleri'!J190="","",'Komisyon Tarifeleri'!J190))</f>
        <v/>
      </c>
      <c r="L190" s="11">
        <f>IF(K190="","",IF($AM$1=2,'Komisyon Tarifeleri'!V190,'Komisyon Tarifeleri'!Q190))</f>
        <v/>
      </c>
      <c r="M190" s="10">
        <f>IF(OR(K190="",$D190=""),"",K190*(1-L190/100)-$D190-IF(K190&lt;=199.99,Kargo!$E$2,IF(K190&lt;=399.99,Kargo!$E$3,$F190)))</f>
        <v/>
      </c>
      <c r="N190" s="12">
        <f>IF(M190="","",M190/K190)</f>
        <v/>
      </c>
      <c r="O190" s="10">
        <f>IF($B190="","",IF('Komisyon Tarifeleri'!L190="","",'Komisyon Tarifeleri'!L190))</f>
        <v/>
      </c>
      <c r="P190" s="11">
        <f>IF(O190="","",IF($AM$1=2,'Komisyon Tarifeleri'!W190,'Komisyon Tarifeleri'!R190))</f>
        <v/>
      </c>
      <c r="Q190" s="10">
        <f>IF(OR(O190="",$D190=""),"",O190*(1-P190/100)-$D190-IF(O190&lt;=199.99,Kargo!$E$2,IF(O190&lt;=399.99,Kargo!$E$3,$F190)))</f>
        <v/>
      </c>
      <c r="R190" s="12">
        <f>IF(Q190="","",Q190/O190)</f>
        <v/>
      </c>
      <c r="S190" s="10">
        <f>IF($B190="","",IF('Komisyon Tarifeleri'!N190="","",'Komisyon Tarifeleri'!N190))</f>
        <v/>
      </c>
      <c r="T190" s="11">
        <f>IF(S190="","",IF($AM$1=2,'Komisyon Tarifeleri'!X190,'Komisyon Tarifeleri'!S190))</f>
        <v/>
      </c>
      <c r="U190" s="10">
        <f>IF(OR(S190="",$D190=""),"",S190*(1-T190/100)-$D190-IF(S190&lt;=199.99,Kargo!$E$2,IF(S190&lt;=399.99,Kargo!$E$3,$F190)))</f>
        <v/>
      </c>
      <c r="V190" s="12">
        <f>IF(U190="","",U190/S190)</f>
        <v/>
      </c>
      <c r="W190" s="12">
        <f>IF($B190="","",IFERROR(VLOOKUP($C190,Hedefler!$A:$C,2,FALSE),0.04))</f>
        <v/>
      </c>
      <c r="X190" s="12">
        <f>IF($B190="","",IFERROR(VLOOKUP($C190,Hedefler!$A:$C,3,FALSE),0.1))</f>
        <v/>
      </c>
      <c r="Y190" s="13">
        <f>IF($B190="","",IFERROR(VLOOKUP($B190,Maliyetler!$A:$E,5,FALSE),""))</f>
        <v/>
      </c>
      <c r="Z190" s="13">
        <f>IF(OR(Y190="",Y190=0),"",Y190-1)</f>
        <v/>
      </c>
      <c r="AA190" s="14">
        <f>IF(Z190="","",IF(Z190&gt;='Komisyon Tarifeleri'!I190,IF($AM$1=2,'Komisyon Tarifeleri'!U190,'Komisyon Tarifeleri'!P190),IF(Z190&gt;='Komisyon Tarifeleri'!K190,IF($AM$1=2,'Komisyon Tarifeleri'!V190,'Komisyon Tarifeleri'!Q190),IF(Z190&gt;='Komisyon Tarifeleri'!M190,IF($AM$1=2,'Komisyon Tarifeleri'!W190,'Komisyon Tarifeleri'!R190),IF($AM$1=2,'Komisyon Tarifeleri'!X190,'Komisyon Tarifeleri'!S190)))))</f>
        <v/>
      </c>
      <c r="AB190" s="13">
        <f>IF(OR(AA190="",$D190=""),"",Z190*(1-AA190/100)-$D190-IF(Z190&lt;=199.99,Kargo!$E$2,IF(Z190&lt;=399.99,Kargo!$E$3,$F190)))</f>
        <v/>
      </c>
      <c r="AC190" s="15">
        <f>IF(AB190="","",AB190/Z190)</f>
        <v/>
      </c>
      <c r="AD190" s="10">
        <f>IF(OR($D190="",$B190=""),"",IF(AND((1-T190/100-W190)&gt;0,CEILING(($D190+$F190)/(1-T190/100-W190),1)&lt;='Komisyon Tarifeleri'!N190),CEILING(($D190+$F190)/(1-T190/100-W190),1),IF(AND((1-P190/100-W190)&gt;0,CEILING(MAX('Komisyon Tarifeleri'!M190,($D190+$F190)/(1-P190/100-W190)),1)&lt;='Komisyon Tarifeleri'!L190),CEILING(MAX('Komisyon Tarifeleri'!M190,($D190+$F190)/(1-P190/100-W190)),1),IF(AND((1-L190/100-W190)&gt;0,CEILING(MAX('Komisyon Tarifeleri'!K190,($D190+$F190)/(1-L190/100-W190)),1)&lt;='Komisyon Tarifeleri'!J190),CEILING(MAX('Komisyon Tarifeleri'!K190,($D190+$F190)/(1-L190/100-W190)),1),IF((1-H190/100-W190)&gt;0,CEILING(MAX('Komisyon Tarifeleri'!I190,($D190+$F190)/(1-H190/100-W190)),1),"İMKÂNSIZ")))))</f>
        <v/>
      </c>
      <c r="AE190" s="10">
        <f>IF(OR($D190="",$B190=""),"",IF(AND((1-T190/100-X190)&gt;0,CEILING(($D190+$F190)/(1-T190/100-X190),1)&lt;='Komisyon Tarifeleri'!N190),CEILING(($D190+$F190)/(1-T190/100-X190),1),IF(AND((1-P190/100-X190)&gt;0,CEILING(MAX('Komisyon Tarifeleri'!M190,($D190+$F190)/(1-P190/100-X190)),1)&lt;='Komisyon Tarifeleri'!L190),CEILING(MAX('Komisyon Tarifeleri'!M190,($D190+$F190)/(1-P190/100-X190)),1),IF(AND((1-L190/100-X190)&gt;0,CEILING(MAX('Komisyon Tarifeleri'!K190,($D190+$F190)/(1-L190/100-X190)),1)&lt;='Komisyon Tarifeleri'!J190),CEILING(MAX('Komisyon Tarifeleri'!K190,($D190+$F190)/(1-L190/100-X190)),1),IF((1-H190/100-X190)&gt;0,CEILING(MAX('Komisyon Tarifeleri'!I190,($D190+$F190)/(1-H190/100-X190)),1),"İMKÂNSIZ")))))</f>
        <v/>
      </c>
      <c r="AF190" s="16">
        <f>IF($D190="","",IF(AND(Y190&lt;&gt;"",AC190&lt;&gt;"",AC190&gt;=W190),Z190,IF(Y190&lt;&gt;"",AD190,AE190)))</f>
        <v/>
      </c>
      <c r="AG190" s="16">
        <f>IF(OR(AF190="",AF190="İMKÂNSIZ"),"",AF190*(1-IF(AF190&gt;='Komisyon Tarifeleri'!I190,IF($AM$1=2,'Komisyon Tarifeleri'!U190,'Komisyon Tarifeleri'!P190),IF(AF190&gt;='Komisyon Tarifeleri'!K190,IF($AM$1=2,'Komisyon Tarifeleri'!V190,'Komisyon Tarifeleri'!Q190),IF(AF190&gt;='Komisyon Tarifeleri'!M190,IF($AM$1=2,'Komisyon Tarifeleri'!W190,'Komisyon Tarifeleri'!R190),IF($AM$1=2,'Komisyon Tarifeleri'!X190,'Komisyon Tarifeleri'!S190))))/100)-$D190-IF(AF190&lt;=199.99,Kargo!$E$2,IF(AF190&lt;=399.99,Kargo!$E$3,$F190)))</f>
        <v/>
      </c>
      <c r="AH190" s="17">
        <f>IF(AG190="","",AG190/AF190)</f>
        <v/>
      </c>
      <c r="AI190" s="18">
        <f>IF($D190="","",IF(Y190="","BUYBOX YOK → hedef kârla min fiyat",IF(AC190&gt;=W190,"✓ BUYBOX ALTINA GİR","BUYBOX ALTI KÂRSIZ → min kârlı fiyat")))</f>
        <v/>
      </c>
      <c r="AJ190" s="10">
        <f>IF($B190="","",IFERROR(VLOOKUP($B190,Maliyetler!$A:$G,6,FALSE),""))</f>
        <v/>
      </c>
      <c r="AK190">
        <f>IF($B190="","",IFERROR(VLOOKUP($B190,Maliyetler!$A:$G,7,FALSE),""))</f>
        <v/>
      </c>
      <c r="AO190" s="21">
        <f>IF($B190="","",IFERROR(VLOOKUP($B190&amp;"",'Plus Tarifeleri'!$C:$Q,11,FALSE),""))</f>
        <v/>
      </c>
      <c r="AP190" s="22">
        <f>IF(AO190="","",IFERROR(IF($AM$1=2,VLOOKUP($B190&amp;"",'Plus Tarifeleri'!$C:$Q,15,FALSE),VLOOKUP($B190&amp;"",'Plus Tarifeleri'!$C:$Q,13,FALSE)),""))</f>
        <v/>
      </c>
      <c r="AQ190" s="21">
        <f>IF(OR(AO190="",AP190="",$D190=""),"",AO190*(1-AP190/100)-$D190-IF(AO190&lt;=199.99,Kargo!$E$2,IF(AO190&lt;=399.99,Kargo!$E$3,$F190)))</f>
        <v/>
      </c>
      <c r="AR190" s="23">
        <f>IF(AQ190="","",AQ190/AO190)</f>
        <v/>
      </c>
      <c r="AS190" s="24">
        <f>IF(OR(AQ190="",AG190=""),"",AQ190-AG190)</f>
        <v/>
      </c>
    </row>
    <row r="191">
      <c r="A191">
        <f>IF('Komisyon Tarifeleri'!A191="","",'Komisyon Tarifeleri'!A191)</f>
        <v/>
      </c>
      <c r="B191">
        <f>IF('Komisyon Tarifeleri'!B191="","",'Komisyon Tarifeleri'!B191&amp;"")</f>
        <v/>
      </c>
      <c r="C191">
        <f>IF($B191="","",'Komisyon Tarifeleri'!F191)</f>
        <v/>
      </c>
      <c r="D191" s="10">
        <f>IF($B191="","",IFERROR(VLOOKUP($B191,Maliyetler!$A:$E,3,FALSE),""))</f>
        <v/>
      </c>
      <c r="E191">
        <f>IF($B191="","",IFERROR(VLOOKUP($B191,Maliyetler!$A:$E,4,FALSE),1))</f>
        <v/>
      </c>
      <c r="F191" s="10">
        <f>IF($B191="","",IFERROR(VLOOKUP(MIN(20,MAX(1,ROUND($E191,0))),Kargo!$A:$B,2,FALSE),99.46))</f>
        <v/>
      </c>
      <c r="G191" s="10">
        <f>IF($B191="","",IF(IF(N('Komisyon Tarifeleri'!AA191)&gt;='Komisyon Tarifeleri'!I191,'Komisyon Tarifeleri'!AA191,'Komisyon Tarifeleri'!I191)="","",IF(N('Komisyon Tarifeleri'!AA191)&gt;='Komisyon Tarifeleri'!I191,'Komisyon Tarifeleri'!AA191,'Komisyon Tarifeleri'!I191)))</f>
        <v/>
      </c>
      <c r="H191" s="11">
        <f>IF(G191="","",IF($AM$1=2,'Komisyon Tarifeleri'!U191,'Komisyon Tarifeleri'!P191))</f>
        <v/>
      </c>
      <c r="I191" s="10">
        <f>IF(OR(G191="",$D191=""),"",G191*(1-H191/100)-$D191-IF(G191&lt;=199.99,Kargo!$E$2,IF(G191&lt;=399.99,Kargo!$E$3,$F191)))</f>
        <v/>
      </c>
      <c r="J191" s="12">
        <f>IF(I191="","",I191/G191)</f>
        <v/>
      </c>
      <c r="K191" s="10">
        <f>IF($B191="","",IF('Komisyon Tarifeleri'!J191="","",'Komisyon Tarifeleri'!J191))</f>
        <v/>
      </c>
      <c r="L191" s="11">
        <f>IF(K191="","",IF($AM$1=2,'Komisyon Tarifeleri'!V191,'Komisyon Tarifeleri'!Q191))</f>
        <v/>
      </c>
      <c r="M191" s="10">
        <f>IF(OR(K191="",$D191=""),"",K191*(1-L191/100)-$D191-IF(K191&lt;=199.99,Kargo!$E$2,IF(K191&lt;=399.99,Kargo!$E$3,$F191)))</f>
        <v/>
      </c>
      <c r="N191" s="12">
        <f>IF(M191="","",M191/K191)</f>
        <v/>
      </c>
      <c r="O191" s="10">
        <f>IF($B191="","",IF('Komisyon Tarifeleri'!L191="","",'Komisyon Tarifeleri'!L191))</f>
        <v/>
      </c>
      <c r="P191" s="11">
        <f>IF(O191="","",IF($AM$1=2,'Komisyon Tarifeleri'!W191,'Komisyon Tarifeleri'!R191))</f>
        <v/>
      </c>
      <c r="Q191" s="10">
        <f>IF(OR(O191="",$D191=""),"",O191*(1-P191/100)-$D191-IF(O191&lt;=199.99,Kargo!$E$2,IF(O191&lt;=399.99,Kargo!$E$3,$F191)))</f>
        <v/>
      </c>
      <c r="R191" s="12">
        <f>IF(Q191="","",Q191/O191)</f>
        <v/>
      </c>
      <c r="S191" s="10">
        <f>IF($B191="","",IF('Komisyon Tarifeleri'!N191="","",'Komisyon Tarifeleri'!N191))</f>
        <v/>
      </c>
      <c r="T191" s="11">
        <f>IF(S191="","",IF($AM$1=2,'Komisyon Tarifeleri'!X191,'Komisyon Tarifeleri'!S191))</f>
        <v/>
      </c>
      <c r="U191" s="10">
        <f>IF(OR(S191="",$D191=""),"",S191*(1-T191/100)-$D191-IF(S191&lt;=199.99,Kargo!$E$2,IF(S191&lt;=399.99,Kargo!$E$3,$F191)))</f>
        <v/>
      </c>
      <c r="V191" s="12">
        <f>IF(U191="","",U191/S191)</f>
        <v/>
      </c>
      <c r="W191" s="12">
        <f>IF($B191="","",IFERROR(VLOOKUP($C191,Hedefler!$A:$C,2,FALSE),0.04))</f>
        <v/>
      </c>
      <c r="X191" s="12">
        <f>IF($B191="","",IFERROR(VLOOKUP($C191,Hedefler!$A:$C,3,FALSE),0.1))</f>
        <v/>
      </c>
      <c r="Y191" s="13">
        <f>IF($B191="","",IFERROR(VLOOKUP($B191,Maliyetler!$A:$E,5,FALSE),""))</f>
        <v/>
      </c>
      <c r="Z191" s="13">
        <f>IF(OR(Y191="",Y191=0),"",Y191-1)</f>
        <v/>
      </c>
      <c r="AA191" s="14">
        <f>IF(Z191="","",IF(Z191&gt;='Komisyon Tarifeleri'!I191,IF($AM$1=2,'Komisyon Tarifeleri'!U191,'Komisyon Tarifeleri'!P191),IF(Z191&gt;='Komisyon Tarifeleri'!K191,IF($AM$1=2,'Komisyon Tarifeleri'!V191,'Komisyon Tarifeleri'!Q191),IF(Z191&gt;='Komisyon Tarifeleri'!M191,IF($AM$1=2,'Komisyon Tarifeleri'!W191,'Komisyon Tarifeleri'!R191),IF($AM$1=2,'Komisyon Tarifeleri'!X191,'Komisyon Tarifeleri'!S191)))))</f>
        <v/>
      </c>
      <c r="AB191" s="13">
        <f>IF(OR(AA191="",$D191=""),"",Z191*(1-AA191/100)-$D191-IF(Z191&lt;=199.99,Kargo!$E$2,IF(Z191&lt;=399.99,Kargo!$E$3,$F191)))</f>
        <v/>
      </c>
      <c r="AC191" s="15">
        <f>IF(AB191="","",AB191/Z191)</f>
        <v/>
      </c>
      <c r="AD191" s="10">
        <f>IF(OR($D191="",$B191=""),"",IF(AND((1-T191/100-W191)&gt;0,CEILING(($D191+$F191)/(1-T191/100-W191),1)&lt;='Komisyon Tarifeleri'!N191),CEILING(($D191+$F191)/(1-T191/100-W191),1),IF(AND((1-P191/100-W191)&gt;0,CEILING(MAX('Komisyon Tarifeleri'!M191,($D191+$F191)/(1-P191/100-W191)),1)&lt;='Komisyon Tarifeleri'!L191),CEILING(MAX('Komisyon Tarifeleri'!M191,($D191+$F191)/(1-P191/100-W191)),1),IF(AND((1-L191/100-W191)&gt;0,CEILING(MAX('Komisyon Tarifeleri'!K191,($D191+$F191)/(1-L191/100-W191)),1)&lt;='Komisyon Tarifeleri'!J191),CEILING(MAX('Komisyon Tarifeleri'!K191,($D191+$F191)/(1-L191/100-W191)),1),IF((1-H191/100-W191)&gt;0,CEILING(MAX('Komisyon Tarifeleri'!I191,($D191+$F191)/(1-H191/100-W191)),1),"İMKÂNSIZ")))))</f>
        <v/>
      </c>
      <c r="AE191" s="10">
        <f>IF(OR($D191="",$B191=""),"",IF(AND((1-T191/100-X191)&gt;0,CEILING(($D191+$F191)/(1-T191/100-X191),1)&lt;='Komisyon Tarifeleri'!N191),CEILING(($D191+$F191)/(1-T191/100-X191),1),IF(AND((1-P191/100-X191)&gt;0,CEILING(MAX('Komisyon Tarifeleri'!M191,($D191+$F191)/(1-P191/100-X191)),1)&lt;='Komisyon Tarifeleri'!L191),CEILING(MAX('Komisyon Tarifeleri'!M191,($D191+$F191)/(1-P191/100-X191)),1),IF(AND((1-L191/100-X191)&gt;0,CEILING(MAX('Komisyon Tarifeleri'!K191,($D191+$F191)/(1-L191/100-X191)),1)&lt;='Komisyon Tarifeleri'!J191),CEILING(MAX('Komisyon Tarifeleri'!K191,($D191+$F191)/(1-L191/100-X191)),1),IF((1-H191/100-X191)&gt;0,CEILING(MAX('Komisyon Tarifeleri'!I191,($D191+$F191)/(1-H191/100-X191)),1),"İMKÂNSIZ")))))</f>
        <v/>
      </c>
      <c r="AF191" s="16">
        <f>IF($D191="","",IF(AND(Y191&lt;&gt;"",AC191&lt;&gt;"",AC191&gt;=W191),Z191,IF(Y191&lt;&gt;"",AD191,AE191)))</f>
        <v/>
      </c>
      <c r="AG191" s="16">
        <f>IF(OR(AF191="",AF191="İMKÂNSIZ"),"",AF191*(1-IF(AF191&gt;='Komisyon Tarifeleri'!I191,IF($AM$1=2,'Komisyon Tarifeleri'!U191,'Komisyon Tarifeleri'!P191),IF(AF191&gt;='Komisyon Tarifeleri'!K191,IF($AM$1=2,'Komisyon Tarifeleri'!V191,'Komisyon Tarifeleri'!Q191),IF(AF191&gt;='Komisyon Tarifeleri'!M191,IF($AM$1=2,'Komisyon Tarifeleri'!W191,'Komisyon Tarifeleri'!R191),IF($AM$1=2,'Komisyon Tarifeleri'!X191,'Komisyon Tarifeleri'!S191))))/100)-$D191-IF(AF191&lt;=199.99,Kargo!$E$2,IF(AF191&lt;=399.99,Kargo!$E$3,$F191)))</f>
        <v/>
      </c>
      <c r="AH191" s="17">
        <f>IF(AG191="","",AG191/AF191)</f>
        <v/>
      </c>
      <c r="AI191" s="18">
        <f>IF($D191="","",IF(Y191="","BUYBOX YOK → hedef kârla min fiyat",IF(AC191&gt;=W191,"✓ BUYBOX ALTINA GİR","BUYBOX ALTI KÂRSIZ → min kârlı fiyat")))</f>
        <v/>
      </c>
      <c r="AJ191" s="10">
        <f>IF($B191="","",IFERROR(VLOOKUP($B191,Maliyetler!$A:$G,6,FALSE),""))</f>
        <v/>
      </c>
      <c r="AK191">
        <f>IF($B191="","",IFERROR(VLOOKUP($B191,Maliyetler!$A:$G,7,FALSE),""))</f>
        <v/>
      </c>
      <c r="AO191" s="21">
        <f>IF($B191="","",IFERROR(VLOOKUP($B191&amp;"",'Plus Tarifeleri'!$C:$Q,11,FALSE),""))</f>
        <v/>
      </c>
      <c r="AP191" s="22">
        <f>IF(AO191="","",IFERROR(IF($AM$1=2,VLOOKUP($B191&amp;"",'Plus Tarifeleri'!$C:$Q,15,FALSE),VLOOKUP($B191&amp;"",'Plus Tarifeleri'!$C:$Q,13,FALSE)),""))</f>
        <v/>
      </c>
      <c r="AQ191" s="21">
        <f>IF(OR(AO191="",AP191="",$D191=""),"",AO191*(1-AP191/100)-$D191-IF(AO191&lt;=199.99,Kargo!$E$2,IF(AO191&lt;=399.99,Kargo!$E$3,$F191)))</f>
        <v/>
      </c>
      <c r="AR191" s="23">
        <f>IF(AQ191="","",AQ191/AO191)</f>
        <v/>
      </c>
      <c r="AS191" s="24">
        <f>IF(OR(AQ191="",AG191=""),"",AQ191-AG191)</f>
        <v/>
      </c>
    </row>
    <row r="192">
      <c r="A192">
        <f>IF('Komisyon Tarifeleri'!A192="","",'Komisyon Tarifeleri'!A192)</f>
        <v/>
      </c>
      <c r="B192">
        <f>IF('Komisyon Tarifeleri'!B192="","",'Komisyon Tarifeleri'!B192&amp;"")</f>
        <v/>
      </c>
      <c r="C192">
        <f>IF($B192="","",'Komisyon Tarifeleri'!F192)</f>
        <v/>
      </c>
      <c r="D192" s="10">
        <f>IF($B192="","",IFERROR(VLOOKUP($B192,Maliyetler!$A:$E,3,FALSE),""))</f>
        <v/>
      </c>
      <c r="E192">
        <f>IF($B192="","",IFERROR(VLOOKUP($B192,Maliyetler!$A:$E,4,FALSE),1))</f>
        <v/>
      </c>
      <c r="F192" s="10">
        <f>IF($B192="","",IFERROR(VLOOKUP(MIN(20,MAX(1,ROUND($E192,0))),Kargo!$A:$B,2,FALSE),99.46))</f>
        <v/>
      </c>
      <c r="G192" s="10">
        <f>IF($B192="","",IF(IF(N('Komisyon Tarifeleri'!AA192)&gt;='Komisyon Tarifeleri'!I192,'Komisyon Tarifeleri'!AA192,'Komisyon Tarifeleri'!I192)="","",IF(N('Komisyon Tarifeleri'!AA192)&gt;='Komisyon Tarifeleri'!I192,'Komisyon Tarifeleri'!AA192,'Komisyon Tarifeleri'!I192)))</f>
        <v/>
      </c>
      <c r="H192" s="11">
        <f>IF(G192="","",IF($AM$1=2,'Komisyon Tarifeleri'!U192,'Komisyon Tarifeleri'!P192))</f>
        <v/>
      </c>
      <c r="I192" s="10">
        <f>IF(OR(G192="",$D192=""),"",G192*(1-H192/100)-$D192-IF(G192&lt;=199.99,Kargo!$E$2,IF(G192&lt;=399.99,Kargo!$E$3,$F192)))</f>
        <v/>
      </c>
      <c r="J192" s="12">
        <f>IF(I192="","",I192/G192)</f>
        <v/>
      </c>
      <c r="K192" s="10">
        <f>IF($B192="","",IF('Komisyon Tarifeleri'!J192="","",'Komisyon Tarifeleri'!J192))</f>
        <v/>
      </c>
      <c r="L192" s="11">
        <f>IF(K192="","",IF($AM$1=2,'Komisyon Tarifeleri'!V192,'Komisyon Tarifeleri'!Q192))</f>
        <v/>
      </c>
      <c r="M192" s="10">
        <f>IF(OR(K192="",$D192=""),"",K192*(1-L192/100)-$D192-IF(K192&lt;=199.99,Kargo!$E$2,IF(K192&lt;=399.99,Kargo!$E$3,$F192)))</f>
        <v/>
      </c>
      <c r="N192" s="12">
        <f>IF(M192="","",M192/K192)</f>
        <v/>
      </c>
      <c r="O192" s="10">
        <f>IF($B192="","",IF('Komisyon Tarifeleri'!L192="","",'Komisyon Tarifeleri'!L192))</f>
        <v/>
      </c>
      <c r="P192" s="11">
        <f>IF(O192="","",IF($AM$1=2,'Komisyon Tarifeleri'!W192,'Komisyon Tarifeleri'!R192))</f>
        <v/>
      </c>
      <c r="Q192" s="10">
        <f>IF(OR(O192="",$D192=""),"",O192*(1-P192/100)-$D192-IF(O192&lt;=199.99,Kargo!$E$2,IF(O192&lt;=399.99,Kargo!$E$3,$F192)))</f>
        <v/>
      </c>
      <c r="R192" s="12">
        <f>IF(Q192="","",Q192/O192)</f>
        <v/>
      </c>
      <c r="S192" s="10">
        <f>IF($B192="","",IF('Komisyon Tarifeleri'!N192="","",'Komisyon Tarifeleri'!N192))</f>
        <v/>
      </c>
      <c r="T192" s="11">
        <f>IF(S192="","",IF($AM$1=2,'Komisyon Tarifeleri'!X192,'Komisyon Tarifeleri'!S192))</f>
        <v/>
      </c>
      <c r="U192" s="10">
        <f>IF(OR(S192="",$D192=""),"",S192*(1-T192/100)-$D192-IF(S192&lt;=199.99,Kargo!$E$2,IF(S192&lt;=399.99,Kargo!$E$3,$F192)))</f>
        <v/>
      </c>
      <c r="V192" s="12">
        <f>IF(U192="","",U192/S192)</f>
        <v/>
      </c>
      <c r="W192" s="12">
        <f>IF($B192="","",IFERROR(VLOOKUP($C192,Hedefler!$A:$C,2,FALSE),0.04))</f>
        <v/>
      </c>
      <c r="X192" s="12">
        <f>IF($B192="","",IFERROR(VLOOKUP($C192,Hedefler!$A:$C,3,FALSE),0.1))</f>
        <v/>
      </c>
      <c r="Y192" s="13">
        <f>IF($B192="","",IFERROR(VLOOKUP($B192,Maliyetler!$A:$E,5,FALSE),""))</f>
        <v/>
      </c>
      <c r="Z192" s="13">
        <f>IF(OR(Y192="",Y192=0),"",Y192-1)</f>
        <v/>
      </c>
      <c r="AA192" s="14">
        <f>IF(Z192="","",IF(Z192&gt;='Komisyon Tarifeleri'!I192,IF($AM$1=2,'Komisyon Tarifeleri'!U192,'Komisyon Tarifeleri'!P192),IF(Z192&gt;='Komisyon Tarifeleri'!K192,IF($AM$1=2,'Komisyon Tarifeleri'!V192,'Komisyon Tarifeleri'!Q192),IF(Z192&gt;='Komisyon Tarifeleri'!M192,IF($AM$1=2,'Komisyon Tarifeleri'!W192,'Komisyon Tarifeleri'!R192),IF($AM$1=2,'Komisyon Tarifeleri'!X192,'Komisyon Tarifeleri'!S192)))))</f>
        <v/>
      </c>
      <c r="AB192" s="13">
        <f>IF(OR(AA192="",$D192=""),"",Z192*(1-AA192/100)-$D192-IF(Z192&lt;=199.99,Kargo!$E$2,IF(Z192&lt;=399.99,Kargo!$E$3,$F192)))</f>
        <v/>
      </c>
      <c r="AC192" s="15">
        <f>IF(AB192="","",AB192/Z192)</f>
        <v/>
      </c>
      <c r="AD192" s="10">
        <f>IF(OR($D192="",$B192=""),"",IF(AND((1-T192/100-W192)&gt;0,CEILING(($D192+$F192)/(1-T192/100-W192),1)&lt;='Komisyon Tarifeleri'!N192),CEILING(($D192+$F192)/(1-T192/100-W192),1),IF(AND((1-P192/100-W192)&gt;0,CEILING(MAX('Komisyon Tarifeleri'!M192,($D192+$F192)/(1-P192/100-W192)),1)&lt;='Komisyon Tarifeleri'!L192),CEILING(MAX('Komisyon Tarifeleri'!M192,($D192+$F192)/(1-P192/100-W192)),1),IF(AND((1-L192/100-W192)&gt;0,CEILING(MAX('Komisyon Tarifeleri'!K192,($D192+$F192)/(1-L192/100-W192)),1)&lt;='Komisyon Tarifeleri'!J192),CEILING(MAX('Komisyon Tarifeleri'!K192,($D192+$F192)/(1-L192/100-W192)),1),IF((1-H192/100-W192)&gt;0,CEILING(MAX('Komisyon Tarifeleri'!I192,($D192+$F192)/(1-H192/100-W192)),1),"İMKÂNSIZ")))))</f>
        <v/>
      </c>
      <c r="AE192" s="10">
        <f>IF(OR($D192="",$B192=""),"",IF(AND((1-T192/100-X192)&gt;0,CEILING(($D192+$F192)/(1-T192/100-X192),1)&lt;='Komisyon Tarifeleri'!N192),CEILING(($D192+$F192)/(1-T192/100-X192),1),IF(AND((1-P192/100-X192)&gt;0,CEILING(MAX('Komisyon Tarifeleri'!M192,($D192+$F192)/(1-P192/100-X192)),1)&lt;='Komisyon Tarifeleri'!L192),CEILING(MAX('Komisyon Tarifeleri'!M192,($D192+$F192)/(1-P192/100-X192)),1),IF(AND((1-L192/100-X192)&gt;0,CEILING(MAX('Komisyon Tarifeleri'!K192,($D192+$F192)/(1-L192/100-X192)),1)&lt;='Komisyon Tarifeleri'!J192),CEILING(MAX('Komisyon Tarifeleri'!K192,($D192+$F192)/(1-L192/100-X192)),1),IF((1-H192/100-X192)&gt;0,CEILING(MAX('Komisyon Tarifeleri'!I192,($D192+$F192)/(1-H192/100-X192)),1),"İMKÂNSIZ")))))</f>
        <v/>
      </c>
      <c r="AF192" s="16">
        <f>IF($D192="","",IF(AND(Y192&lt;&gt;"",AC192&lt;&gt;"",AC192&gt;=W192),Z192,IF(Y192&lt;&gt;"",AD192,AE192)))</f>
        <v/>
      </c>
      <c r="AG192" s="16">
        <f>IF(OR(AF192="",AF192="İMKÂNSIZ"),"",AF192*(1-IF(AF192&gt;='Komisyon Tarifeleri'!I192,IF($AM$1=2,'Komisyon Tarifeleri'!U192,'Komisyon Tarifeleri'!P192),IF(AF192&gt;='Komisyon Tarifeleri'!K192,IF($AM$1=2,'Komisyon Tarifeleri'!V192,'Komisyon Tarifeleri'!Q192),IF(AF192&gt;='Komisyon Tarifeleri'!M192,IF($AM$1=2,'Komisyon Tarifeleri'!W192,'Komisyon Tarifeleri'!R192),IF($AM$1=2,'Komisyon Tarifeleri'!X192,'Komisyon Tarifeleri'!S192))))/100)-$D192-IF(AF192&lt;=199.99,Kargo!$E$2,IF(AF192&lt;=399.99,Kargo!$E$3,$F192)))</f>
        <v/>
      </c>
      <c r="AH192" s="17">
        <f>IF(AG192="","",AG192/AF192)</f>
        <v/>
      </c>
      <c r="AI192" s="18">
        <f>IF($D192="","",IF(Y192="","BUYBOX YOK → hedef kârla min fiyat",IF(AC192&gt;=W192,"✓ BUYBOX ALTINA GİR","BUYBOX ALTI KÂRSIZ → min kârlı fiyat")))</f>
        <v/>
      </c>
      <c r="AJ192" s="10">
        <f>IF($B192="","",IFERROR(VLOOKUP($B192,Maliyetler!$A:$G,6,FALSE),""))</f>
        <v/>
      </c>
      <c r="AK192">
        <f>IF($B192="","",IFERROR(VLOOKUP($B192,Maliyetler!$A:$G,7,FALSE),""))</f>
        <v/>
      </c>
      <c r="AO192" s="21">
        <f>IF($B192="","",IFERROR(VLOOKUP($B192&amp;"",'Plus Tarifeleri'!$C:$Q,11,FALSE),""))</f>
        <v/>
      </c>
      <c r="AP192" s="22">
        <f>IF(AO192="","",IFERROR(IF($AM$1=2,VLOOKUP($B192&amp;"",'Plus Tarifeleri'!$C:$Q,15,FALSE),VLOOKUP($B192&amp;"",'Plus Tarifeleri'!$C:$Q,13,FALSE)),""))</f>
        <v/>
      </c>
      <c r="AQ192" s="21">
        <f>IF(OR(AO192="",AP192="",$D192=""),"",AO192*(1-AP192/100)-$D192-IF(AO192&lt;=199.99,Kargo!$E$2,IF(AO192&lt;=399.99,Kargo!$E$3,$F192)))</f>
        <v/>
      </c>
      <c r="AR192" s="23">
        <f>IF(AQ192="","",AQ192/AO192)</f>
        <v/>
      </c>
      <c r="AS192" s="24">
        <f>IF(OR(AQ192="",AG192=""),"",AQ192-AG192)</f>
        <v/>
      </c>
    </row>
    <row r="193">
      <c r="A193">
        <f>IF('Komisyon Tarifeleri'!A193="","",'Komisyon Tarifeleri'!A193)</f>
        <v/>
      </c>
      <c r="B193">
        <f>IF('Komisyon Tarifeleri'!B193="","",'Komisyon Tarifeleri'!B193&amp;"")</f>
        <v/>
      </c>
      <c r="C193">
        <f>IF($B193="","",'Komisyon Tarifeleri'!F193)</f>
        <v/>
      </c>
      <c r="D193" s="10">
        <f>IF($B193="","",IFERROR(VLOOKUP($B193,Maliyetler!$A:$E,3,FALSE),""))</f>
        <v/>
      </c>
      <c r="E193">
        <f>IF($B193="","",IFERROR(VLOOKUP($B193,Maliyetler!$A:$E,4,FALSE),1))</f>
        <v/>
      </c>
      <c r="F193" s="10">
        <f>IF($B193="","",IFERROR(VLOOKUP(MIN(20,MAX(1,ROUND($E193,0))),Kargo!$A:$B,2,FALSE),99.46))</f>
        <v/>
      </c>
      <c r="G193" s="10">
        <f>IF($B193="","",IF(IF(N('Komisyon Tarifeleri'!AA193)&gt;='Komisyon Tarifeleri'!I193,'Komisyon Tarifeleri'!AA193,'Komisyon Tarifeleri'!I193)="","",IF(N('Komisyon Tarifeleri'!AA193)&gt;='Komisyon Tarifeleri'!I193,'Komisyon Tarifeleri'!AA193,'Komisyon Tarifeleri'!I193)))</f>
        <v/>
      </c>
      <c r="H193" s="11">
        <f>IF(G193="","",IF($AM$1=2,'Komisyon Tarifeleri'!U193,'Komisyon Tarifeleri'!P193))</f>
        <v/>
      </c>
      <c r="I193" s="10">
        <f>IF(OR(G193="",$D193=""),"",G193*(1-H193/100)-$D193-IF(G193&lt;=199.99,Kargo!$E$2,IF(G193&lt;=399.99,Kargo!$E$3,$F193)))</f>
        <v/>
      </c>
      <c r="J193" s="12">
        <f>IF(I193="","",I193/G193)</f>
        <v/>
      </c>
      <c r="K193" s="10">
        <f>IF($B193="","",IF('Komisyon Tarifeleri'!J193="","",'Komisyon Tarifeleri'!J193))</f>
        <v/>
      </c>
      <c r="L193" s="11">
        <f>IF(K193="","",IF($AM$1=2,'Komisyon Tarifeleri'!V193,'Komisyon Tarifeleri'!Q193))</f>
        <v/>
      </c>
      <c r="M193" s="10">
        <f>IF(OR(K193="",$D193=""),"",K193*(1-L193/100)-$D193-IF(K193&lt;=199.99,Kargo!$E$2,IF(K193&lt;=399.99,Kargo!$E$3,$F193)))</f>
        <v/>
      </c>
      <c r="N193" s="12">
        <f>IF(M193="","",M193/K193)</f>
        <v/>
      </c>
      <c r="O193" s="10">
        <f>IF($B193="","",IF('Komisyon Tarifeleri'!L193="","",'Komisyon Tarifeleri'!L193))</f>
        <v/>
      </c>
      <c r="P193" s="11">
        <f>IF(O193="","",IF($AM$1=2,'Komisyon Tarifeleri'!W193,'Komisyon Tarifeleri'!R193))</f>
        <v/>
      </c>
      <c r="Q193" s="10">
        <f>IF(OR(O193="",$D193=""),"",O193*(1-P193/100)-$D193-IF(O193&lt;=199.99,Kargo!$E$2,IF(O193&lt;=399.99,Kargo!$E$3,$F193)))</f>
        <v/>
      </c>
      <c r="R193" s="12">
        <f>IF(Q193="","",Q193/O193)</f>
        <v/>
      </c>
      <c r="S193" s="10">
        <f>IF($B193="","",IF('Komisyon Tarifeleri'!N193="","",'Komisyon Tarifeleri'!N193))</f>
        <v/>
      </c>
      <c r="T193" s="11">
        <f>IF(S193="","",IF($AM$1=2,'Komisyon Tarifeleri'!X193,'Komisyon Tarifeleri'!S193))</f>
        <v/>
      </c>
      <c r="U193" s="10">
        <f>IF(OR(S193="",$D193=""),"",S193*(1-T193/100)-$D193-IF(S193&lt;=199.99,Kargo!$E$2,IF(S193&lt;=399.99,Kargo!$E$3,$F193)))</f>
        <v/>
      </c>
      <c r="V193" s="12">
        <f>IF(U193="","",U193/S193)</f>
        <v/>
      </c>
      <c r="W193" s="12">
        <f>IF($B193="","",IFERROR(VLOOKUP($C193,Hedefler!$A:$C,2,FALSE),0.04))</f>
        <v/>
      </c>
      <c r="X193" s="12">
        <f>IF($B193="","",IFERROR(VLOOKUP($C193,Hedefler!$A:$C,3,FALSE),0.1))</f>
        <v/>
      </c>
      <c r="Y193" s="13">
        <f>IF($B193="","",IFERROR(VLOOKUP($B193,Maliyetler!$A:$E,5,FALSE),""))</f>
        <v/>
      </c>
      <c r="Z193" s="13">
        <f>IF(OR(Y193="",Y193=0),"",Y193-1)</f>
        <v/>
      </c>
      <c r="AA193" s="14">
        <f>IF(Z193="","",IF(Z193&gt;='Komisyon Tarifeleri'!I193,IF($AM$1=2,'Komisyon Tarifeleri'!U193,'Komisyon Tarifeleri'!P193),IF(Z193&gt;='Komisyon Tarifeleri'!K193,IF($AM$1=2,'Komisyon Tarifeleri'!V193,'Komisyon Tarifeleri'!Q193),IF(Z193&gt;='Komisyon Tarifeleri'!M193,IF($AM$1=2,'Komisyon Tarifeleri'!W193,'Komisyon Tarifeleri'!R193),IF($AM$1=2,'Komisyon Tarifeleri'!X193,'Komisyon Tarifeleri'!S193)))))</f>
        <v/>
      </c>
      <c r="AB193" s="13">
        <f>IF(OR(AA193="",$D193=""),"",Z193*(1-AA193/100)-$D193-IF(Z193&lt;=199.99,Kargo!$E$2,IF(Z193&lt;=399.99,Kargo!$E$3,$F193)))</f>
        <v/>
      </c>
      <c r="AC193" s="15">
        <f>IF(AB193="","",AB193/Z193)</f>
        <v/>
      </c>
      <c r="AD193" s="10">
        <f>IF(OR($D193="",$B193=""),"",IF(AND((1-T193/100-W193)&gt;0,CEILING(($D193+$F193)/(1-T193/100-W193),1)&lt;='Komisyon Tarifeleri'!N193),CEILING(($D193+$F193)/(1-T193/100-W193),1),IF(AND((1-P193/100-W193)&gt;0,CEILING(MAX('Komisyon Tarifeleri'!M193,($D193+$F193)/(1-P193/100-W193)),1)&lt;='Komisyon Tarifeleri'!L193),CEILING(MAX('Komisyon Tarifeleri'!M193,($D193+$F193)/(1-P193/100-W193)),1),IF(AND((1-L193/100-W193)&gt;0,CEILING(MAX('Komisyon Tarifeleri'!K193,($D193+$F193)/(1-L193/100-W193)),1)&lt;='Komisyon Tarifeleri'!J193),CEILING(MAX('Komisyon Tarifeleri'!K193,($D193+$F193)/(1-L193/100-W193)),1),IF((1-H193/100-W193)&gt;0,CEILING(MAX('Komisyon Tarifeleri'!I193,($D193+$F193)/(1-H193/100-W193)),1),"İMKÂNSIZ")))))</f>
        <v/>
      </c>
      <c r="AE193" s="10">
        <f>IF(OR($D193="",$B193=""),"",IF(AND((1-T193/100-X193)&gt;0,CEILING(($D193+$F193)/(1-T193/100-X193),1)&lt;='Komisyon Tarifeleri'!N193),CEILING(($D193+$F193)/(1-T193/100-X193),1),IF(AND((1-P193/100-X193)&gt;0,CEILING(MAX('Komisyon Tarifeleri'!M193,($D193+$F193)/(1-P193/100-X193)),1)&lt;='Komisyon Tarifeleri'!L193),CEILING(MAX('Komisyon Tarifeleri'!M193,($D193+$F193)/(1-P193/100-X193)),1),IF(AND((1-L193/100-X193)&gt;0,CEILING(MAX('Komisyon Tarifeleri'!K193,($D193+$F193)/(1-L193/100-X193)),1)&lt;='Komisyon Tarifeleri'!J193),CEILING(MAX('Komisyon Tarifeleri'!K193,($D193+$F193)/(1-L193/100-X193)),1),IF((1-H193/100-X193)&gt;0,CEILING(MAX('Komisyon Tarifeleri'!I193,($D193+$F193)/(1-H193/100-X193)),1),"İMKÂNSIZ")))))</f>
        <v/>
      </c>
      <c r="AF193" s="16">
        <f>IF($D193="","",IF(AND(Y193&lt;&gt;"",AC193&lt;&gt;"",AC193&gt;=W193),Z193,IF(Y193&lt;&gt;"",AD193,AE193)))</f>
        <v/>
      </c>
      <c r="AG193" s="16">
        <f>IF(OR(AF193="",AF193="İMKÂNSIZ"),"",AF193*(1-IF(AF193&gt;='Komisyon Tarifeleri'!I193,IF($AM$1=2,'Komisyon Tarifeleri'!U193,'Komisyon Tarifeleri'!P193),IF(AF193&gt;='Komisyon Tarifeleri'!K193,IF($AM$1=2,'Komisyon Tarifeleri'!V193,'Komisyon Tarifeleri'!Q193),IF(AF193&gt;='Komisyon Tarifeleri'!M193,IF($AM$1=2,'Komisyon Tarifeleri'!W193,'Komisyon Tarifeleri'!R193),IF($AM$1=2,'Komisyon Tarifeleri'!X193,'Komisyon Tarifeleri'!S193))))/100)-$D193-IF(AF193&lt;=199.99,Kargo!$E$2,IF(AF193&lt;=399.99,Kargo!$E$3,$F193)))</f>
        <v/>
      </c>
      <c r="AH193" s="17">
        <f>IF(AG193="","",AG193/AF193)</f>
        <v/>
      </c>
      <c r="AI193" s="18">
        <f>IF($D193="","",IF(Y193="","BUYBOX YOK → hedef kârla min fiyat",IF(AC193&gt;=W193,"✓ BUYBOX ALTINA GİR","BUYBOX ALTI KÂRSIZ → min kârlı fiyat")))</f>
        <v/>
      </c>
      <c r="AJ193" s="10">
        <f>IF($B193="","",IFERROR(VLOOKUP($B193,Maliyetler!$A:$G,6,FALSE),""))</f>
        <v/>
      </c>
      <c r="AK193">
        <f>IF($B193="","",IFERROR(VLOOKUP($B193,Maliyetler!$A:$G,7,FALSE),""))</f>
        <v/>
      </c>
      <c r="AO193" s="21">
        <f>IF($B193="","",IFERROR(VLOOKUP($B193&amp;"",'Plus Tarifeleri'!$C:$Q,11,FALSE),""))</f>
        <v/>
      </c>
      <c r="AP193" s="22">
        <f>IF(AO193="","",IFERROR(IF($AM$1=2,VLOOKUP($B193&amp;"",'Plus Tarifeleri'!$C:$Q,15,FALSE),VLOOKUP($B193&amp;"",'Plus Tarifeleri'!$C:$Q,13,FALSE)),""))</f>
        <v/>
      </c>
      <c r="AQ193" s="21">
        <f>IF(OR(AO193="",AP193="",$D193=""),"",AO193*(1-AP193/100)-$D193-IF(AO193&lt;=199.99,Kargo!$E$2,IF(AO193&lt;=399.99,Kargo!$E$3,$F193)))</f>
        <v/>
      </c>
      <c r="AR193" s="23">
        <f>IF(AQ193="","",AQ193/AO193)</f>
        <v/>
      </c>
      <c r="AS193" s="24">
        <f>IF(OR(AQ193="",AG193=""),"",AQ193-AG193)</f>
        <v/>
      </c>
    </row>
    <row r="194">
      <c r="A194">
        <f>IF('Komisyon Tarifeleri'!A194="","",'Komisyon Tarifeleri'!A194)</f>
        <v/>
      </c>
      <c r="B194">
        <f>IF('Komisyon Tarifeleri'!B194="","",'Komisyon Tarifeleri'!B194&amp;"")</f>
        <v/>
      </c>
      <c r="C194">
        <f>IF($B194="","",'Komisyon Tarifeleri'!F194)</f>
        <v/>
      </c>
      <c r="D194" s="10">
        <f>IF($B194="","",IFERROR(VLOOKUP($B194,Maliyetler!$A:$E,3,FALSE),""))</f>
        <v/>
      </c>
      <c r="E194">
        <f>IF($B194="","",IFERROR(VLOOKUP($B194,Maliyetler!$A:$E,4,FALSE),1))</f>
        <v/>
      </c>
      <c r="F194" s="10">
        <f>IF($B194="","",IFERROR(VLOOKUP(MIN(20,MAX(1,ROUND($E194,0))),Kargo!$A:$B,2,FALSE),99.46))</f>
        <v/>
      </c>
      <c r="G194" s="10">
        <f>IF($B194="","",IF(IF(N('Komisyon Tarifeleri'!AA194)&gt;='Komisyon Tarifeleri'!I194,'Komisyon Tarifeleri'!AA194,'Komisyon Tarifeleri'!I194)="","",IF(N('Komisyon Tarifeleri'!AA194)&gt;='Komisyon Tarifeleri'!I194,'Komisyon Tarifeleri'!AA194,'Komisyon Tarifeleri'!I194)))</f>
        <v/>
      </c>
      <c r="H194" s="11">
        <f>IF(G194="","",IF($AM$1=2,'Komisyon Tarifeleri'!U194,'Komisyon Tarifeleri'!P194))</f>
        <v/>
      </c>
      <c r="I194" s="10">
        <f>IF(OR(G194="",$D194=""),"",G194*(1-H194/100)-$D194-IF(G194&lt;=199.99,Kargo!$E$2,IF(G194&lt;=399.99,Kargo!$E$3,$F194)))</f>
        <v/>
      </c>
      <c r="J194" s="12">
        <f>IF(I194="","",I194/G194)</f>
        <v/>
      </c>
      <c r="K194" s="10">
        <f>IF($B194="","",IF('Komisyon Tarifeleri'!J194="","",'Komisyon Tarifeleri'!J194))</f>
        <v/>
      </c>
      <c r="L194" s="11">
        <f>IF(K194="","",IF($AM$1=2,'Komisyon Tarifeleri'!V194,'Komisyon Tarifeleri'!Q194))</f>
        <v/>
      </c>
      <c r="M194" s="10">
        <f>IF(OR(K194="",$D194=""),"",K194*(1-L194/100)-$D194-IF(K194&lt;=199.99,Kargo!$E$2,IF(K194&lt;=399.99,Kargo!$E$3,$F194)))</f>
        <v/>
      </c>
      <c r="N194" s="12">
        <f>IF(M194="","",M194/K194)</f>
        <v/>
      </c>
      <c r="O194" s="10">
        <f>IF($B194="","",IF('Komisyon Tarifeleri'!L194="","",'Komisyon Tarifeleri'!L194))</f>
        <v/>
      </c>
      <c r="P194" s="11">
        <f>IF(O194="","",IF($AM$1=2,'Komisyon Tarifeleri'!W194,'Komisyon Tarifeleri'!R194))</f>
        <v/>
      </c>
      <c r="Q194" s="10">
        <f>IF(OR(O194="",$D194=""),"",O194*(1-P194/100)-$D194-IF(O194&lt;=199.99,Kargo!$E$2,IF(O194&lt;=399.99,Kargo!$E$3,$F194)))</f>
        <v/>
      </c>
      <c r="R194" s="12">
        <f>IF(Q194="","",Q194/O194)</f>
        <v/>
      </c>
      <c r="S194" s="10">
        <f>IF($B194="","",IF('Komisyon Tarifeleri'!N194="","",'Komisyon Tarifeleri'!N194))</f>
        <v/>
      </c>
      <c r="T194" s="11">
        <f>IF(S194="","",IF($AM$1=2,'Komisyon Tarifeleri'!X194,'Komisyon Tarifeleri'!S194))</f>
        <v/>
      </c>
      <c r="U194" s="10">
        <f>IF(OR(S194="",$D194=""),"",S194*(1-T194/100)-$D194-IF(S194&lt;=199.99,Kargo!$E$2,IF(S194&lt;=399.99,Kargo!$E$3,$F194)))</f>
        <v/>
      </c>
      <c r="V194" s="12">
        <f>IF(U194="","",U194/S194)</f>
        <v/>
      </c>
      <c r="W194" s="12">
        <f>IF($B194="","",IFERROR(VLOOKUP($C194,Hedefler!$A:$C,2,FALSE),0.04))</f>
        <v/>
      </c>
      <c r="X194" s="12">
        <f>IF($B194="","",IFERROR(VLOOKUP($C194,Hedefler!$A:$C,3,FALSE),0.1))</f>
        <v/>
      </c>
      <c r="Y194" s="13">
        <f>IF($B194="","",IFERROR(VLOOKUP($B194,Maliyetler!$A:$E,5,FALSE),""))</f>
        <v/>
      </c>
      <c r="Z194" s="13">
        <f>IF(OR(Y194="",Y194=0),"",Y194-1)</f>
        <v/>
      </c>
      <c r="AA194" s="14">
        <f>IF(Z194="","",IF(Z194&gt;='Komisyon Tarifeleri'!I194,IF($AM$1=2,'Komisyon Tarifeleri'!U194,'Komisyon Tarifeleri'!P194),IF(Z194&gt;='Komisyon Tarifeleri'!K194,IF($AM$1=2,'Komisyon Tarifeleri'!V194,'Komisyon Tarifeleri'!Q194),IF(Z194&gt;='Komisyon Tarifeleri'!M194,IF($AM$1=2,'Komisyon Tarifeleri'!W194,'Komisyon Tarifeleri'!R194),IF($AM$1=2,'Komisyon Tarifeleri'!X194,'Komisyon Tarifeleri'!S194)))))</f>
        <v/>
      </c>
      <c r="AB194" s="13">
        <f>IF(OR(AA194="",$D194=""),"",Z194*(1-AA194/100)-$D194-IF(Z194&lt;=199.99,Kargo!$E$2,IF(Z194&lt;=399.99,Kargo!$E$3,$F194)))</f>
        <v/>
      </c>
      <c r="AC194" s="15">
        <f>IF(AB194="","",AB194/Z194)</f>
        <v/>
      </c>
      <c r="AD194" s="10">
        <f>IF(OR($D194="",$B194=""),"",IF(AND((1-T194/100-W194)&gt;0,CEILING(($D194+$F194)/(1-T194/100-W194),1)&lt;='Komisyon Tarifeleri'!N194),CEILING(($D194+$F194)/(1-T194/100-W194),1),IF(AND((1-P194/100-W194)&gt;0,CEILING(MAX('Komisyon Tarifeleri'!M194,($D194+$F194)/(1-P194/100-W194)),1)&lt;='Komisyon Tarifeleri'!L194),CEILING(MAX('Komisyon Tarifeleri'!M194,($D194+$F194)/(1-P194/100-W194)),1),IF(AND((1-L194/100-W194)&gt;0,CEILING(MAX('Komisyon Tarifeleri'!K194,($D194+$F194)/(1-L194/100-W194)),1)&lt;='Komisyon Tarifeleri'!J194),CEILING(MAX('Komisyon Tarifeleri'!K194,($D194+$F194)/(1-L194/100-W194)),1),IF((1-H194/100-W194)&gt;0,CEILING(MAX('Komisyon Tarifeleri'!I194,($D194+$F194)/(1-H194/100-W194)),1),"İMKÂNSIZ")))))</f>
        <v/>
      </c>
      <c r="AE194" s="10">
        <f>IF(OR($D194="",$B194=""),"",IF(AND((1-T194/100-X194)&gt;0,CEILING(($D194+$F194)/(1-T194/100-X194),1)&lt;='Komisyon Tarifeleri'!N194),CEILING(($D194+$F194)/(1-T194/100-X194),1),IF(AND((1-P194/100-X194)&gt;0,CEILING(MAX('Komisyon Tarifeleri'!M194,($D194+$F194)/(1-P194/100-X194)),1)&lt;='Komisyon Tarifeleri'!L194),CEILING(MAX('Komisyon Tarifeleri'!M194,($D194+$F194)/(1-P194/100-X194)),1),IF(AND((1-L194/100-X194)&gt;0,CEILING(MAX('Komisyon Tarifeleri'!K194,($D194+$F194)/(1-L194/100-X194)),1)&lt;='Komisyon Tarifeleri'!J194),CEILING(MAX('Komisyon Tarifeleri'!K194,($D194+$F194)/(1-L194/100-X194)),1),IF((1-H194/100-X194)&gt;0,CEILING(MAX('Komisyon Tarifeleri'!I194,($D194+$F194)/(1-H194/100-X194)),1),"İMKÂNSIZ")))))</f>
        <v/>
      </c>
      <c r="AF194" s="16">
        <f>IF($D194="","",IF(AND(Y194&lt;&gt;"",AC194&lt;&gt;"",AC194&gt;=W194),Z194,IF(Y194&lt;&gt;"",AD194,AE194)))</f>
        <v/>
      </c>
      <c r="AG194" s="16">
        <f>IF(OR(AF194="",AF194="İMKÂNSIZ"),"",AF194*(1-IF(AF194&gt;='Komisyon Tarifeleri'!I194,IF($AM$1=2,'Komisyon Tarifeleri'!U194,'Komisyon Tarifeleri'!P194),IF(AF194&gt;='Komisyon Tarifeleri'!K194,IF($AM$1=2,'Komisyon Tarifeleri'!V194,'Komisyon Tarifeleri'!Q194),IF(AF194&gt;='Komisyon Tarifeleri'!M194,IF($AM$1=2,'Komisyon Tarifeleri'!W194,'Komisyon Tarifeleri'!R194),IF($AM$1=2,'Komisyon Tarifeleri'!X194,'Komisyon Tarifeleri'!S194))))/100)-$D194-IF(AF194&lt;=199.99,Kargo!$E$2,IF(AF194&lt;=399.99,Kargo!$E$3,$F194)))</f>
        <v/>
      </c>
      <c r="AH194" s="17">
        <f>IF(AG194="","",AG194/AF194)</f>
        <v/>
      </c>
      <c r="AI194" s="18">
        <f>IF($D194="","",IF(Y194="","BUYBOX YOK → hedef kârla min fiyat",IF(AC194&gt;=W194,"✓ BUYBOX ALTINA GİR","BUYBOX ALTI KÂRSIZ → min kârlı fiyat")))</f>
        <v/>
      </c>
      <c r="AJ194" s="10">
        <f>IF($B194="","",IFERROR(VLOOKUP($B194,Maliyetler!$A:$G,6,FALSE),""))</f>
        <v/>
      </c>
      <c r="AK194">
        <f>IF($B194="","",IFERROR(VLOOKUP($B194,Maliyetler!$A:$G,7,FALSE),""))</f>
        <v/>
      </c>
      <c r="AO194" s="21">
        <f>IF($B194="","",IFERROR(VLOOKUP($B194&amp;"",'Plus Tarifeleri'!$C:$Q,11,FALSE),""))</f>
        <v/>
      </c>
      <c r="AP194" s="22">
        <f>IF(AO194="","",IFERROR(IF($AM$1=2,VLOOKUP($B194&amp;"",'Plus Tarifeleri'!$C:$Q,15,FALSE),VLOOKUP($B194&amp;"",'Plus Tarifeleri'!$C:$Q,13,FALSE)),""))</f>
        <v/>
      </c>
      <c r="AQ194" s="21">
        <f>IF(OR(AO194="",AP194="",$D194=""),"",AO194*(1-AP194/100)-$D194-IF(AO194&lt;=199.99,Kargo!$E$2,IF(AO194&lt;=399.99,Kargo!$E$3,$F194)))</f>
        <v/>
      </c>
      <c r="AR194" s="23">
        <f>IF(AQ194="","",AQ194/AO194)</f>
        <v/>
      </c>
      <c r="AS194" s="24">
        <f>IF(OR(AQ194="",AG194=""),"",AQ194-AG194)</f>
        <v/>
      </c>
    </row>
    <row r="195">
      <c r="A195">
        <f>IF('Komisyon Tarifeleri'!A195="","",'Komisyon Tarifeleri'!A195)</f>
        <v/>
      </c>
      <c r="B195">
        <f>IF('Komisyon Tarifeleri'!B195="","",'Komisyon Tarifeleri'!B195&amp;"")</f>
        <v/>
      </c>
      <c r="C195">
        <f>IF($B195="","",'Komisyon Tarifeleri'!F195)</f>
        <v/>
      </c>
      <c r="D195" s="10">
        <f>IF($B195="","",IFERROR(VLOOKUP($B195,Maliyetler!$A:$E,3,FALSE),""))</f>
        <v/>
      </c>
      <c r="E195">
        <f>IF($B195="","",IFERROR(VLOOKUP($B195,Maliyetler!$A:$E,4,FALSE),1))</f>
        <v/>
      </c>
      <c r="F195" s="10">
        <f>IF($B195="","",IFERROR(VLOOKUP(MIN(20,MAX(1,ROUND($E195,0))),Kargo!$A:$B,2,FALSE),99.46))</f>
        <v/>
      </c>
      <c r="G195" s="10">
        <f>IF($B195="","",IF(IF(N('Komisyon Tarifeleri'!AA195)&gt;='Komisyon Tarifeleri'!I195,'Komisyon Tarifeleri'!AA195,'Komisyon Tarifeleri'!I195)="","",IF(N('Komisyon Tarifeleri'!AA195)&gt;='Komisyon Tarifeleri'!I195,'Komisyon Tarifeleri'!AA195,'Komisyon Tarifeleri'!I195)))</f>
        <v/>
      </c>
      <c r="H195" s="11">
        <f>IF(G195="","",IF($AM$1=2,'Komisyon Tarifeleri'!U195,'Komisyon Tarifeleri'!P195))</f>
        <v/>
      </c>
      <c r="I195" s="10">
        <f>IF(OR(G195="",$D195=""),"",G195*(1-H195/100)-$D195-IF(G195&lt;=199.99,Kargo!$E$2,IF(G195&lt;=399.99,Kargo!$E$3,$F195)))</f>
        <v/>
      </c>
      <c r="J195" s="12">
        <f>IF(I195="","",I195/G195)</f>
        <v/>
      </c>
      <c r="K195" s="10">
        <f>IF($B195="","",IF('Komisyon Tarifeleri'!J195="","",'Komisyon Tarifeleri'!J195))</f>
        <v/>
      </c>
      <c r="L195" s="11">
        <f>IF(K195="","",IF($AM$1=2,'Komisyon Tarifeleri'!V195,'Komisyon Tarifeleri'!Q195))</f>
        <v/>
      </c>
      <c r="M195" s="10">
        <f>IF(OR(K195="",$D195=""),"",K195*(1-L195/100)-$D195-IF(K195&lt;=199.99,Kargo!$E$2,IF(K195&lt;=399.99,Kargo!$E$3,$F195)))</f>
        <v/>
      </c>
      <c r="N195" s="12">
        <f>IF(M195="","",M195/K195)</f>
        <v/>
      </c>
      <c r="O195" s="10">
        <f>IF($B195="","",IF('Komisyon Tarifeleri'!L195="","",'Komisyon Tarifeleri'!L195))</f>
        <v/>
      </c>
      <c r="P195" s="11">
        <f>IF(O195="","",IF($AM$1=2,'Komisyon Tarifeleri'!W195,'Komisyon Tarifeleri'!R195))</f>
        <v/>
      </c>
      <c r="Q195" s="10">
        <f>IF(OR(O195="",$D195=""),"",O195*(1-P195/100)-$D195-IF(O195&lt;=199.99,Kargo!$E$2,IF(O195&lt;=399.99,Kargo!$E$3,$F195)))</f>
        <v/>
      </c>
      <c r="R195" s="12">
        <f>IF(Q195="","",Q195/O195)</f>
        <v/>
      </c>
      <c r="S195" s="10">
        <f>IF($B195="","",IF('Komisyon Tarifeleri'!N195="","",'Komisyon Tarifeleri'!N195))</f>
        <v/>
      </c>
      <c r="T195" s="11">
        <f>IF(S195="","",IF($AM$1=2,'Komisyon Tarifeleri'!X195,'Komisyon Tarifeleri'!S195))</f>
        <v/>
      </c>
      <c r="U195" s="10">
        <f>IF(OR(S195="",$D195=""),"",S195*(1-T195/100)-$D195-IF(S195&lt;=199.99,Kargo!$E$2,IF(S195&lt;=399.99,Kargo!$E$3,$F195)))</f>
        <v/>
      </c>
      <c r="V195" s="12">
        <f>IF(U195="","",U195/S195)</f>
        <v/>
      </c>
      <c r="W195" s="12">
        <f>IF($B195="","",IFERROR(VLOOKUP($C195,Hedefler!$A:$C,2,FALSE),0.04))</f>
        <v/>
      </c>
      <c r="X195" s="12">
        <f>IF($B195="","",IFERROR(VLOOKUP($C195,Hedefler!$A:$C,3,FALSE),0.1))</f>
        <v/>
      </c>
      <c r="Y195" s="13">
        <f>IF($B195="","",IFERROR(VLOOKUP($B195,Maliyetler!$A:$E,5,FALSE),""))</f>
        <v/>
      </c>
      <c r="Z195" s="13">
        <f>IF(OR(Y195="",Y195=0),"",Y195-1)</f>
        <v/>
      </c>
      <c r="AA195" s="14">
        <f>IF(Z195="","",IF(Z195&gt;='Komisyon Tarifeleri'!I195,IF($AM$1=2,'Komisyon Tarifeleri'!U195,'Komisyon Tarifeleri'!P195),IF(Z195&gt;='Komisyon Tarifeleri'!K195,IF($AM$1=2,'Komisyon Tarifeleri'!V195,'Komisyon Tarifeleri'!Q195),IF(Z195&gt;='Komisyon Tarifeleri'!M195,IF($AM$1=2,'Komisyon Tarifeleri'!W195,'Komisyon Tarifeleri'!R195),IF($AM$1=2,'Komisyon Tarifeleri'!X195,'Komisyon Tarifeleri'!S195)))))</f>
        <v/>
      </c>
      <c r="AB195" s="13">
        <f>IF(OR(AA195="",$D195=""),"",Z195*(1-AA195/100)-$D195-IF(Z195&lt;=199.99,Kargo!$E$2,IF(Z195&lt;=399.99,Kargo!$E$3,$F195)))</f>
        <v/>
      </c>
      <c r="AC195" s="15">
        <f>IF(AB195="","",AB195/Z195)</f>
        <v/>
      </c>
      <c r="AD195" s="10">
        <f>IF(OR($D195="",$B195=""),"",IF(AND((1-T195/100-W195)&gt;0,CEILING(($D195+$F195)/(1-T195/100-W195),1)&lt;='Komisyon Tarifeleri'!N195),CEILING(($D195+$F195)/(1-T195/100-W195),1),IF(AND((1-P195/100-W195)&gt;0,CEILING(MAX('Komisyon Tarifeleri'!M195,($D195+$F195)/(1-P195/100-W195)),1)&lt;='Komisyon Tarifeleri'!L195),CEILING(MAX('Komisyon Tarifeleri'!M195,($D195+$F195)/(1-P195/100-W195)),1),IF(AND((1-L195/100-W195)&gt;0,CEILING(MAX('Komisyon Tarifeleri'!K195,($D195+$F195)/(1-L195/100-W195)),1)&lt;='Komisyon Tarifeleri'!J195),CEILING(MAX('Komisyon Tarifeleri'!K195,($D195+$F195)/(1-L195/100-W195)),1),IF((1-H195/100-W195)&gt;0,CEILING(MAX('Komisyon Tarifeleri'!I195,($D195+$F195)/(1-H195/100-W195)),1),"İMKÂNSIZ")))))</f>
        <v/>
      </c>
      <c r="AE195" s="10">
        <f>IF(OR($D195="",$B195=""),"",IF(AND((1-T195/100-X195)&gt;0,CEILING(($D195+$F195)/(1-T195/100-X195),1)&lt;='Komisyon Tarifeleri'!N195),CEILING(($D195+$F195)/(1-T195/100-X195),1),IF(AND((1-P195/100-X195)&gt;0,CEILING(MAX('Komisyon Tarifeleri'!M195,($D195+$F195)/(1-P195/100-X195)),1)&lt;='Komisyon Tarifeleri'!L195),CEILING(MAX('Komisyon Tarifeleri'!M195,($D195+$F195)/(1-P195/100-X195)),1),IF(AND((1-L195/100-X195)&gt;0,CEILING(MAX('Komisyon Tarifeleri'!K195,($D195+$F195)/(1-L195/100-X195)),1)&lt;='Komisyon Tarifeleri'!J195),CEILING(MAX('Komisyon Tarifeleri'!K195,($D195+$F195)/(1-L195/100-X195)),1),IF((1-H195/100-X195)&gt;0,CEILING(MAX('Komisyon Tarifeleri'!I195,($D195+$F195)/(1-H195/100-X195)),1),"İMKÂNSIZ")))))</f>
        <v/>
      </c>
      <c r="AF195" s="16">
        <f>IF($D195="","",IF(AND(Y195&lt;&gt;"",AC195&lt;&gt;"",AC195&gt;=W195),Z195,IF(Y195&lt;&gt;"",AD195,AE195)))</f>
        <v/>
      </c>
      <c r="AG195" s="16">
        <f>IF(OR(AF195="",AF195="İMKÂNSIZ"),"",AF195*(1-IF(AF195&gt;='Komisyon Tarifeleri'!I195,IF($AM$1=2,'Komisyon Tarifeleri'!U195,'Komisyon Tarifeleri'!P195),IF(AF195&gt;='Komisyon Tarifeleri'!K195,IF($AM$1=2,'Komisyon Tarifeleri'!V195,'Komisyon Tarifeleri'!Q195),IF(AF195&gt;='Komisyon Tarifeleri'!M195,IF($AM$1=2,'Komisyon Tarifeleri'!W195,'Komisyon Tarifeleri'!R195),IF($AM$1=2,'Komisyon Tarifeleri'!X195,'Komisyon Tarifeleri'!S195))))/100)-$D195-IF(AF195&lt;=199.99,Kargo!$E$2,IF(AF195&lt;=399.99,Kargo!$E$3,$F195)))</f>
        <v/>
      </c>
      <c r="AH195" s="17">
        <f>IF(AG195="","",AG195/AF195)</f>
        <v/>
      </c>
      <c r="AI195" s="18">
        <f>IF($D195="","",IF(Y195="","BUYBOX YOK → hedef kârla min fiyat",IF(AC195&gt;=W195,"✓ BUYBOX ALTINA GİR","BUYBOX ALTI KÂRSIZ → min kârlı fiyat")))</f>
        <v/>
      </c>
      <c r="AJ195" s="10">
        <f>IF($B195="","",IFERROR(VLOOKUP($B195,Maliyetler!$A:$G,6,FALSE),""))</f>
        <v/>
      </c>
      <c r="AK195">
        <f>IF($B195="","",IFERROR(VLOOKUP($B195,Maliyetler!$A:$G,7,FALSE),""))</f>
        <v/>
      </c>
      <c r="AO195" s="21">
        <f>IF($B195="","",IFERROR(VLOOKUP($B195&amp;"",'Plus Tarifeleri'!$C:$Q,11,FALSE),""))</f>
        <v/>
      </c>
      <c r="AP195" s="22">
        <f>IF(AO195="","",IFERROR(IF($AM$1=2,VLOOKUP($B195&amp;"",'Plus Tarifeleri'!$C:$Q,15,FALSE),VLOOKUP($B195&amp;"",'Plus Tarifeleri'!$C:$Q,13,FALSE)),""))</f>
        <v/>
      </c>
      <c r="AQ195" s="21">
        <f>IF(OR(AO195="",AP195="",$D195=""),"",AO195*(1-AP195/100)-$D195-IF(AO195&lt;=199.99,Kargo!$E$2,IF(AO195&lt;=399.99,Kargo!$E$3,$F195)))</f>
        <v/>
      </c>
      <c r="AR195" s="23">
        <f>IF(AQ195="","",AQ195/AO195)</f>
        <v/>
      </c>
      <c r="AS195" s="24">
        <f>IF(OR(AQ195="",AG195=""),"",AQ195-AG195)</f>
        <v/>
      </c>
    </row>
    <row r="196">
      <c r="A196">
        <f>IF('Komisyon Tarifeleri'!A196="","",'Komisyon Tarifeleri'!A196)</f>
        <v/>
      </c>
      <c r="B196">
        <f>IF('Komisyon Tarifeleri'!B196="","",'Komisyon Tarifeleri'!B196&amp;"")</f>
        <v/>
      </c>
      <c r="C196">
        <f>IF($B196="","",'Komisyon Tarifeleri'!F196)</f>
        <v/>
      </c>
      <c r="D196" s="10">
        <f>IF($B196="","",IFERROR(VLOOKUP($B196,Maliyetler!$A:$E,3,FALSE),""))</f>
        <v/>
      </c>
      <c r="E196">
        <f>IF($B196="","",IFERROR(VLOOKUP($B196,Maliyetler!$A:$E,4,FALSE),1))</f>
        <v/>
      </c>
      <c r="F196" s="10">
        <f>IF($B196="","",IFERROR(VLOOKUP(MIN(20,MAX(1,ROUND($E196,0))),Kargo!$A:$B,2,FALSE),99.46))</f>
        <v/>
      </c>
      <c r="G196" s="10">
        <f>IF($B196="","",IF(IF(N('Komisyon Tarifeleri'!AA196)&gt;='Komisyon Tarifeleri'!I196,'Komisyon Tarifeleri'!AA196,'Komisyon Tarifeleri'!I196)="","",IF(N('Komisyon Tarifeleri'!AA196)&gt;='Komisyon Tarifeleri'!I196,'Komisyon Tarifeleri'!AA196,'Komisyon Tarifeleri'!I196)))</f>
        <v/>
      </c>
      <c r="H196" s="11">
        <f>IF(G196="","",IF($AM$1=2,'Komisyon Tarifeleri'!U196,'Komisyon Tarifeleri'!P196))</f>
        <v/>
      </c>
      <c r="I196" s="10">
        <f>IF(OR(G196="",$D196=""),"",G196*(1-H196/100)-$D196-IF(G196&lt;=199.99,Kargo!$E$2,IF(G196&lt;=399.99,Kargo!$E$3,$F196)))</f>
        <v/>
      </c>
      <c r="J196" s="12">
        <f>IF(I196="","",I196/G196)</f>
        <v/>
      </c>
      <c r="K196" s="10">
        <f>IF($B196="","",IF('Komisyon Tarifeleri'!J196="","",'Komisyon Tarifeleri'!J196))</f>
        <v/>
      </c>
      <c r="L196" s="11">
        <f>IF(K196="","",IF($AM$1=2,'Komisyon Tarifeleri'!V196,'Komisyon Tarifeleri'!Q196))</f>
        <v/>
      </c>
      <c r="M196" s="10">
        <f>IF(OR(K196="",$D196=""),"",K196*(1-L196/100)-$D196-IF(K196&lt;=199.99,Kargo!$E$2,IF(K196&lt;=399.99,Kargo!$E$3,$F196)))</f>
        <v/>
      </c>
      <c r="N196" s="12">
        <f>IF(M196="","",M196/K196)</f>
        <v/>
      </c>
      <c r="O196" s="10">
        <f>IF($B196="","",IF('Komisyon Tarifeleri'!L196="","",'Komisyon Tarifeleri'!L196))</f>
        <v/>
      </c>
      <c r="P196" s="11">
        <f>IF(O196="","",IF($AM$1=2,'Komisyon Tarifeleri'!W196,'Komisyon Tarifeleri'!R196))</f>
        <v/>
      </c>
      <c r="Q196" s="10">
        <f>IF(OR(O196="",$D196=""),"",O196*(1-P196/100)-$D196-IF(O196&lt;=199.99,Kargo!$E$2,IF(O196&lt;=399.99,Kargo!$E$3,$F196)))</f>
        <v/>
      </c>
      <c r="R196" s="12">
        <f>IF(Q196="","",Q196/O196)</f>
        <v/>
      </c>
      <c r="S196" s="10">
        <f>IF($B196="","",IF('Komisyon Tarifeleri'!N196="","",'Komisyon Tarifeleri'!N196))</f>
        <v/>
      </c>
      <c r="T196" s="11">
        <f>IF(S196="","",IF($AM$1=2,'Komisyon Tarifeleri'!X196,'Komisyon Tarifeleri'!S196))</f>
        <v/>
      </c>
      <c r="U196" s="10">
        <f>IF(OR(S196="",$D196=""),"",S196*(1-T196/100)-$D196-IF(S196&lt;=199.99,Kargo!$E$2,IF(S196&lt;=399.99,Kargo!$E$3,$F196)))</f>
        <v/>
      </c>
      <c r="V196" s="12">
        <f>IF(U196="","",U196/S196)</f>
        <v/>
      </c>
      <c r="W196" s="12">
        <f>IF($B196="","",IFERROR(VLOOKUP($C196,Hedefler!$A:$C,2,FALSE),0.04))</f>
        <v/>
      </c>
      <c r="X196" s="12">
        <f>IF($B196="","",IFERROR(VLOOKUP($C196,Hedefler!$A:$C,3,FALSE),0.1))</f>
        <v/>
      </c>
      <c r="Y196" s="13">
        <f>IF($B196="","",IFERROR(VLOOKUP($B196,Maliyetler!$A:$E,5,FALSE),""))</f>
        <v/>
      </c>
      <c r="Z196" s="13">
        <f>IF(OR(Y196="",Y196=0),"",Y196-1)</f>
        <v/>
      </c>
      <c r="AA196" s="14">
        <f>IF(Z196="","",IF(Z196&gt;='Komisyon Tarifeleri'!I196,IF($AM$1=2,'Komisyon Tarifeleri'!U196,'Komisyon Tarifeleri'!P196),IF(Z196&gt;='Komisyon Tarifeleri'!K196,IF($AM$1=2,'Komisyon Tarifeleri'!V196,'Komisyon Tarifeleri'!Q196),IF(Z196&gt;='Komisyon Tarifeleri'!M196,IF($AM$1=2,'Komisyon Tarifeleri'!W196,'Komisyon Tarifeleri'!R196),IF($AM$1=2,'Komisyon Tarifeleri'!X196,'Komisyon Tarifeleri'!S196)))))</f>
        <v/>
      </c>
      <c r="AB196" s="13">
        <f>IF(OR(AA196="",$D196=""),"",Z196*(1-AA196/100)-$D196-IF(Z196&lt;=199.99,Kargo!$E$2,IF(Z196&lt;=399.99,Kargo!$E$3,$F196)))</f>
        <v/>
      </c>
      <c r="AC196" s="15">
        <f>IF(AB196="","",AB196/Z196)</f>
        <v/>
      </c>
      <c r="AD196" s="10">
        <f>IF(OR($D196="",$B196=""),"",IF(AND((1-T196/100-W196)&gt;0,CEILING(($D196+$F196)/(1-T196/100-W196),1)&lt;='Komisyon Tarifeleri'!N196),CEILING(($D196+$F196)/(1-T196/100-W196),1),IF(AND((1-P196/100-W196)&gt;0,CEILING(MAX('Komisyon Tarifeleri'!M196,($D196+$F196)/(1-P196/100-W196)),1)&lt;='Komisyon Tarifeleri'!L196),CEILING(MAX('Komisyon Tarifeleri'!M196,($D196+$F196)/(1-P196/100-W196)),1),IF(AND((1-L196/100-W196)&gt;0,CEILING(MAX('Komisyon Tarifeleri'!K196,($D196+$F196)/(1-L196/100-W196)),1)&lt;='Komisyon Tarifeleri'!J196),CEILING(MAX('Komisyon Tarifeleri'!K196,($D196+$F196)/(1-L196/100-W196)),1),IF((1-H196/100-W196)&gt;0,CEILING(MAX('Komisyon Tarifeleri'!I196,($D196+$F196)/(1-H196/100-W196)),1),"İMKÂNSIZ")))))</f>
        <v/>
      </c>
      <c r="AE196" s="10">
        <f>IF(OR($D196="",$B196=""),"",IF(AND((1-T196/100-X196)&gt;0,CEILING(($D196+$F196)/(1-T196/100-X196),1)&lt;='Komisyon Tarifeleri'!N196),CEILING(($D196+$F196)/(1-T196/100-X196),1),IF(AND((1-P196/100-X196)&gt;0,CEILING(MAX('Komisyon Tarifeleri'!M196,($D196+$F196)/(1-P196/100-X196)),1)&lt;='Komisyon Tarifeleri'!L196),CEILING(MAX('Komisyon Tarifeleri'!M196,($D196+$F196)/(1-P196/100-X196)),1),IF(AND((1-L196/100-X196)&gt;0,CEILING(MAX('Komisyon Tarifeleri'!K196,($D196+$F196)/(1-L196/100-X196)),1)&lt;='Komisyon Tarifeleri'!J196),CEILING(MAX('Komisyon Tarifeleri'!K196,($D196+$F196)/(1-L196/100-X196)),1),IF((1-H196/100-X196)&gt;0,CEILING(MAX('Komisyon Tarifeleri'!I196,($D196+$F196)/(1-H196/100-X196)),1),"İMKÂNSIZ")))))</f>
        <v/>
      </c>
      <c r="AF196" s="16">
        <f>IF($D196="","",IF(AND(Y196&lt;&gt;"",AC196&lt;&gt;"",AC196&gt;=W196),Z196,IF(Y196&lt;&gt;"",AD196,AE196)))</f>
        <v/>
      </c>
      <c r="AG196" s="16">
        <f>IF(OR(AF196="",AF196="İMKÂNSIZ"),"",AF196*(1-IF(AF196&gt;='Komisyon Tarifeleri'!I196,IF($AM$1=2,'Komisyon Tarifeleri'!U196,'Komisyon Tarifeleri'!P196),IF(AF196&gt;='Komisyon Tarifeleri'!K196,IF($AM$1=2,'Komisyon Tarifeleri'!V196,'Komisyon Tarifeleri'!Q196),IF(AF196&gt;='Komisyon Tarifeleri'!M196,IF($AM$1=2,'Komisyon Tarifeleri'!W196,'Komisyon Tarifeleri'!R196),IF($AM$1=2,'Komisyon Tarifeleri'!X196,'Komisyon Tarifeleri'!S196))))/100)-$D196-IF(AF196&lt;=199.99,Kargo!$E$2,IF(AF196&lt;=399.99,Kargo!$E$3,$F196)))</f>
        <v/>
      </c>
      <c r="AH196" s="17">
        <f>IF(AG196="","",AG196/AF196)</f>
        <v/>
      </c>
      <c r="AI196" s="18">
        <f>IF($D196="","",IF(Y196="","BUYBOX YOK → hedef kârla min fiyat",IF(AC196&gt;=W196,"✓ BUYBOX ALTINA GİR","BUYBOX ALTI KÂRSIZ → min kârlı fiyat")))</f>
        <v/>
      </c>
      <c r="AJ196" s="10">
        <f>IF($B196="","",IFERROR(VLOOKUP($B196,Maliyetler!$A:$G,6,FALSE),""))</f>
        <v/>
      </c>
      <c r="AK196">
        <f>IF($B196="","",IFERROR(VLOOKUP($B196,Maliyetler!$A:$G,7,FALSE),""))</f>
        <v/>
      </c>
      <c r="AO196" s="21">
        <f>IF($B196="","",IFERROR(VLOOKUP($B196&amp;"",'Plus Tarifeleri'!$C:$Q,11,FALSE),""))</f>
        <v/>
      </c>
      <c r="AP196" s="22">
        <f>IF(AO196="","",IFERROR(IF($AM$1=2,VLOOKUP($B196&amp;"",'Plus Tarifeleri'!$C:$Q,15,FALSE),VLOOKUP($B196&amp;"",'Plus Tarifeleri'!$C:$Q,13,FALSE)),""))</f>
        <v/>
      </c>
      <c r="AQ196" s="21">
        <f>IF(OR(AO196="",AP196="",$D196=""),"",AO196*(1-AP196/100)-$D196-IF(AO196&lt;=199.99,Kargo!$E$2,IF(AO196&lt;=399.99,Kargo!$E$3,$F196)))</f>
        <v/>
      </c>
      <c r="AR196" s="23">
        <f>IF(AQ196="","",AQ196/AO196)</f>
        <v/>
      </c>
      <c r="AS196" s="24">
        <f>IF(OR(AQ196="",AG196=""),"",AQ196-AG196)</f>
        <v/>
      </c>
    </row>
    <row r="197">
      <c r="A197">
        <f>IF('Komisyon Tarifeleri'!A197="","",'Komisyon Tarifeleri'!A197)</f>
        <v/>
      </c>
      <c r="B197">
        <f>IF('Komisyon Tarifeleri'!B197="","",'Komisyon Tarifeleri'!B197&amp;"")</f>
        <v/>
      </c>
      <c r="C197">
        <f>IF($B197="","",'Komisyon Tarifeleri'!F197)</f>
        <v/>
      </c>
      <c r="D197" s="10">
        <f>IF($B197="","",IFERROR(VLOOKUP($B197,Maliyetler!$A:$E,3,FALSE),""))</f>
        <v/>
      </c>
      <c r="E197">
        <f>IF($B197="","",IFERROR(VLOOKUP($B197,Maliyetler!$A:$E,4,FALSE),1))</f>
        <v/>
      </c>
      <c r="F197" s="10">
        <f>IF($B197="","",IFERROR(VLOOKUP(MIN(20,MAX(1,ROUND($E197,0))),Kargo!$A:$B,2,FALSE),99.46))</f>
        <v/>
      </c>
      <c r="G197" s="10">
        <f>IF($B197="","",IF(IF(N('Komisyon Tarifeleri'!AA197)&gt;='Komisyon Tarifeleri'!I197,'Komisyon Tarifeleri'!AA197,'Komisyon Tarifeleri'!I197)="","",IF(N('Komisyon Tarifeleri'!AA197)&gt;='Komisyon Tarifeleri'!I197,'Komisyon Tarifeleri'!AA197,'Komisyon Tarifeleri'!I197)))</f>
        <v/>
      </c>
      <c r="H197" s="11">
        <f>IF(G197="","",IF($AM$1=2,'Komisyon Tarifeleri'!U197,'Komisyon Tarifeleri'!P197))</f>
        <v/>
      </c>
      <c r="I197" s="10">
        <f>IF(OR(G197="",$D197=""),"",G197*(1-H197/100)-$D197-IF(G197&lt;=199.99,Kargo!$E$2,IF(G197&lt;=399.99,Kargo!$E$3,$F197)))</f>
        <v/>
      </c>
      <c r="J197" s="12">
        <f>IF(I197="","",I197/G197)</f>
        <v/>
      </c>
      <c r="K197" s="10">
        <f>IF($B197="","",IF('Komisyon Tarifeleri'!J197="","",'Komisyon Tarifeleri'!J197))</f>
        <v/>
      </c>
      <c r="L197" s="11">
        <f>IF(K197="","",IF($AM$1=2,'Komisyon Tarifeleri'!V197,'Komisyon Tarifeleri'!Q197))</f>
        <v/>
      </c>
      <c r="M197" s="10">
        <f>IF(OR(K197="",$D197=""),"",K197*(1-L197/100)-$D197-IF(K197&lt;=199.99,Kargo!$E$2,IF(K197&lt;=399.99,Kargo!$E$3,$F197)))</f>
        <v/>
      </c>
      <c r="N197" s="12">
        <f>IF(M197="","",M197/K197)</f>
        <v/>
      </c>
      <c r="O197" s="10">
        <f>IF($B197="","",IF('Komisyon Tarifeleri'!L197="","",'Komisyon Tarifeleri'!L197))</f>
        <v/>
      </c>
      <c r="P197" s="11">
        <f>IF(O197="","",IF($AM$1=2,'Komisyon Tarifeleri'!W197,'Komisyon Tarifeleri'!R197))</f>
        <v/>
      </c>
      <c r="Q197" s="10">
        <f>IF(OR(O197="",$D197=""),"",O197*(1-P197/100)-$D197-IF(O197&lt;=199.99,Kargo!$E$2,IF(O197&lt;=399.99,Kargo!$E$3,$F197)))</f>
        <v/>
      </c>
      <c r="R197" s="12">
        <f>IF(Q197="","",Q197/O197)</f>
        <v/>
      </c>
      <c r="S197" s="10">
        <f>IF($B197="","",IF('Komisyon Tarifeleri'!N197="","",'Komisyon Tarifeleri'!N197))</f>
        <v/>
      </c>
      <c r="T197" s="11">
        <f>IF(S197="","",IF($AM$1=2,'Komisyon Tarifeleri'!X197,'Komisyon Tarifeleri'!S197))</f>
        <v/>
      </c>
      <c r="U197" s="10">
        <f>IF(OR(S197="",$D197=""),"",S197*(1-T197/100)-$D197-IF(S197&lt;=199.99,Kargo!$E$2,IF(S197&lt;=399.99,Kargo!$E$3,$F197)))</f>
        <v/>
      </c>
      <c r="V197" s="12">
        <f>IF(U197="","",U197/S197)</f>
        <v/>
      </c>
      <c r="W197" s="12">
        <f>IF($B197="","",IFERROR(VLOOKUP($C197,Hedefler!$A:$C,2,FALSE),0.04))</f>
        <v/>
      </c>
      <c r="X197" s="12">
        <f>IF($B197="","",IFERROR(VLOOKUP($C197,Hedefler!$A:$C,3,FALSE),0.1))</f>
        <v/>
      </c>
      <c r="Y197" s="13">
        <f>IF($B197="","",IFERROR(VLOOKUP($B197,Maliyetler!$A:$E,5,FALSE),""))</f>
        <v/>
      </c>
      <c r="Z197" s="13">
        <f>IF(OR(Y197="",Y197=0),"",Y197-1)</f>
        <v/>
      </c>
      <c r="AA197" s="14">
        <f>IF(Z197="","",IF(Z197&gt;='Komisyon Tarifeleri'!I197,IF($AM$1=2,'Komisyon Tarifeleri'!U197,'Komisyon Tarifeleri'!P197),IF(Z197&gt;='Komisyon Tarifeleri'!K197,IF($AM$1=2,'Komisyon Tarifeleri'!V197,'Komisyon Tarifeleri'!Q197),IF(Z197&gt;='Komisyon Tarifeleri'!M197,IF($AM$1=2,'Komisyon Tarifeleri'!W197,'Komisyon Tarifeleri'!R197),IF($AM$1=2,'Komisyon Tarifeleri'!X197,'Komisyon Tarifeleri'!S197)))))</f>
        <v/>
      </c>
      <c r="AB197" s="13">
        <f>IF(OR(AA197="",$D197=""),"",Z197*(1-AA197/100)-$D197-IF(Z197&lt;=199.99,Kargo!$E$2,IF(Z197&lt;=399.99,Kargo!$E$3,$F197)))</f>
        <v/>
      </c>
      <c r="AC197" s="15">
        <f>IF(AB197="","",AB197/Z197)</f>
        <v/>
      </c>
      <c r="AD197" s="10">
        <f>IF(OR($D197="",$B197=""),"",IF(AND((1-T197/100-W197)&gt;0,CEILING(($D197+$F197)/(1-T197/100-W197),1)&lt;='Komisyon Tarifeleri'!N197),CEILING(($D197+$F197)/(1-T197/100-W197),1),IF(AND((1-P197/100-W197)&gt;0,CEILING(MAX('Komisyon Tarifeleri'!M197,($D197+$F197)/(1-P197/100-W197)),1)&lt;='Komisyon Tarifeleri'!L197),CEILING(MAX('Komisyon Tarifeleri'!M197,($D197+$F197)/(1-P197/100-W197)),1),IF(AND((1-L197/100-W197)&gt;0,CEILING(MAX('Komisyon Tarifeleri'!K197,($D197+$F197)/(1-L197/100-W197)),1)&lt;='Komisyon Tarifeleri'!J197),CEILING(MAX('Komisyon Tarifeleri'!K197,($D197+$F197)/(1-L197/100-W197)),1),IF((1-H197/100-W197)&gt;0,CEILING(MAX('Komisyon Tarifeleri'!I197,($D197+$F197)/(1-H197/100-W197)),1),"İMKÂNSIZ")))))</f>
        <v/>
      </c>
      <c r="AE197" s="10">
        <f>IF(OR($D197="",$B197=""),"",IF(AND((1-T197/100-X197)&gt;0,CEILING(($D197+$F197)/(1-T197/100-X197),1)&lt;='Komisyon Tarifeleri'!N197),CEILING(($D197+$F197)/(1-T197/100-X197),1),IF(AND((1-P197/100-X197)&gt;0,CEILING(MAX('Komisyon Tarifeleri'!M197,($D197+$F197)/(1-P197/100-X197)),1)&lt;='Komisyon Tarifeleri'!L197),CEILING(MAX('Komisyon Tarifeleri'!M197,($D197+$F197)/(1-P197/100-X197)),1),IF(AND((1-L197/100-X197)&gt;0,CEILING(MAX('Komisyon Tarifeleri'!K197,($D197+$F197)/(1-L197/100-X197)),1)&lt;='Komisyon Tarifeleri'!J197),CEILING(MAX('Komisyon Tarifeleri'!K197,($D197+$F197)/(1-L197/100-X197)),1),IF((1-H197/100-X197)&gt;0,CEILING(MAX('Komisyon Tarifeleri'!I197,($D197+$F197)/(1-H197/100-X197)),1),"İMKÂNSIZ")))))</f>
        <v/>
      </c>
      <c r="AF197" s="16">
        <f>IF($D197="","",IF(AND(Y197&lt;&gt;"",AC197&lt;&gt;"",AC197&gt;=W197),Z197,IF(Y197&lt;&gt;"",AD197,AE197)))</f>
        <v/>
      </c>
      <c r="AG197" s="16">
        <f>IF(OR(AF197="",AF197="İMKÂNSIZ"),"",AF197*(1-IF(AF197&gt;='Komisyon Tarifeleri'!I197,IF($AM$1=2,'Komisyon Tarifeleri'!U197,'Komisyon Tarifeleri'!P197),IF(AF197&gt;='Komisyon Tarifeleri'!K197,IF($AM$1=2,'Komisyon Tarifeleri'!V197,'Komisyon Tarifeleri'!Q197),IF(AF197&gt;='Komisyon Tarifeleri'!M197,IF($AM$1=2,'Komisyon Tarifeleri'!W197,'Komisyon Tarifeleri'!R197),IF($AM$1=2,'Komisyon Tarifeleri'!X197,'Komisyon Tarifeleri'!S197))))/100)-$D197-IF(AF197&lt;=199.99,Kargo!$E$2,IF(AF197&lt;=399.99,Kargo!$E$3,$F197)))</f>
        <v/>
      </c>
      <c r="AH197" s="17">
        <f>IF(AG197="","",AG197/AF197)</f>
        <v/>
      </c>
      <c r="AI197" s="18">
        <f>IF($D197="","",IF(Y197="","BUYBOX YOK → hedef kârla min fiyat",IF(AC197&gt;=W197,"✓ BUYBOX ALTINA GİR","BUYBOX ALTI KÂRSIZ → min kârlı fiyat")))</f>
        <v/>
      </c>
      <c r="AJ197" s="10">
        <f>IF($B197="","",IFERROR(VLOOKUP($B197,Maliyetler!$A:$G,6,FALSE),""))</f>
        <v/>
      </c>
      <c r="AK197">
        <f>IF($B197="","",IFERROR(VLOOKUP($B197,Maliyetler!$A:$G,7,FALSE),""))</f>
        <v/>
      </c>
      <c r="AO197" s="21">
        <f>IF($B197="","",IFERROR(VLOOKUP($B197&amp;"",'Plus Tarifeleri'!$C:$Q,11,FALSE),""))</f>
        <v/>
      </c>
      <c r="AP197" s="22">
        <f>IF(AO197="","",IFERROR(IF($AM$1=2,VLOOKUP($B197&amp;"",'Plus Tarifeleri'!$C:$Q,15,FALSE),VLOOKUP($B197&amp;"",'Plus Tarifeleri'!$C:$Q,13,FALSE)),""))</f>
        <v/>
      </c>
      <c r="AQ197" s="21">
        <f>IF(OR(AO197="",AP197="",$D197=""),"",AO197*(1-AP197/100)-$D197-IF(AO197&lt;=199.99,Kargo!$E$2,IF(AO197&lt;=399.99,Kargo!$E$3,$F197)))</f>
        <v/>
      </c>
      <c r="AR197" s="23">
        <f>IF(AQ197="","",AQ197/AO197)</f>
        <v/>
      </c>
      <c r="AS197" s="24">
        <f>IF(OR(AQ197="",AG197=""),"",AQ197-AG197)</f>
        <v/>
      </c>
    </row>
    <row r="198">
      <c r="A198">
        <f>IF('Komisyon Tarifeleri'!A198="","",'Komisyon Tarifeleri'!A198)</f>
        <v/>
      </c>
      <c r="B198">
        <f>IF('Komisyon Tarifeleri'!B198="","",'Komisyon Tarifeleri'!B198&amp;"")</f>
        <v/>
      </c>
      <c r="C198">
        <f>IF($B198="","",'Komisyon Tarifeleri'!F198)</f>
        <v/>
      </c>
      <c r="D198" s="10">
        <f>IF($B198="","",IFERROR(VLOOKUP($B198,Maliyetler!$A:$E,3,FALSE),""))</f>
        <v/>
      </c>
      <c r="E198">
        <f>IF($B198="","",IFERROR(VLOOKUP($B198,Maliyetler!$A:$E,4,FALSE),1))</f>
        <v/>
      </c>
      <c r="F198" s="10">
        <f>IF($B198="","",IFERROR(VLOOKUP(MIN(20,MAX(1,ROUND($E198,0))),Kargo!$A:$B,2,FALSE),99.46))</f>
        <v/>
      </c>
      <c r="G198" s="10">
        <f>IF($B198="","",IF(IF(N('Komisyon Tarifeleri'!AA198)&gt;='Komisyon Tarifeleri'!I198,'Komisyon Tarifeleri'!AA198,'Komisyon Tarifeleri'!I198)="","",IF(N('Komisyon Tarifeleri'!AA198)&gt;='Komisyon Tarifeleri'!I198,'Komisyon Tarifeleri'!AA198,'Komisyon Tarifeleri'!I198)))</f>
        <v/>
      </c>
      <c r="H198" s="11">
        <f>IF(G198="","",IF($AM$1=2,'Komisyon Tarifeleri'!U198,'Komisyon Tarifeleri'!P198))</f>
        <v/>
      </c>
      <c r="I198" s="10">
        <f>IF(OR(G198="",$D198=""),"",G198*(1-H198/100)-$D198-IF(G198&lt;=199.99,Kargo!$E$2,IF(G198&lt;=399.99,Kargo!$E$3,$F198)))</f>
        <v/>
      </c>
      <c r="J198" s="12">
        <f>IF(I198="","",I198/G198)</f>
        <v/>
      </c>
      <c r="K198" s="10">
        <f>IF($B198="","",IF('Komisyon Tarifeleri'!J198="","",'Komisyon Tarifeleri'!J198))</f>
        <v/>
      </c>
      <c r="L198" s="11">
        <f>IF(K198="","",IF($AM$1=2,'Komisyon Tarifeleri'!V198,'Komisyon Tarifeleri'!Q198))</f>
        <v/>
      </c>
      <c r="M198" s="10">
        <f>IF(OR(K198="",$D198=""),"",K198*(1-L198/100)-$D198-IF(K198&lt;=199.99,Kargo!$E$2,IF(K198&lt;=399.99,Kargo!$E$3,$F198)))</f>
        <v/>
      </c>
      <c r="N198" s="12">
        <f>IF(M198="","",M198/K198)</f>
        <v/>
      </c>
      <c r="O198" s="10">
        <f>IF($B198="","",IF('Komisyon Tarifeleri'!L198="","",'Komisyon Tarifeleri'!L198))</f>
        <v/>
      </c>
      <c r="P198" s="11">
        <f>IF(O198="","",IF($AM$1=2,'Komisyon Tarifeleri'!W198,'Komisyon Tarifeleri'!R198))</f>
        <v/>
      </c>
      <c r="Q198" s="10">
        <f>IF(OR(O198="",$D198=""),"",O198*(1-P198/100)-$D198-IF(O198&lt;=199.99,Kargo!$E$2,IF(O198&lt;=399.99,Kargo!$E$3,$F198)))</f>
        <v/>
      </c>
      <c r="R198" s="12">
        <f>IF(Q198="","",Q198/O198)</f>
        <v/>
      </c>
      <c r="S198" s="10">
        <f>IF($B198="","",IF('Komisyon Tarifeleri'!N198="","",'Komisyon Tarifeleri'!N198))</f>
        <v/>
      </c>
      <c r="T198" s="11">
        <f>IF(S198="","",IF($AM$1=2,'Komisyon Tarifeleri'!X198,'Komisyon Tarifeleri'!S198))</f>
        <v/>
      </c>
      <c r="U198" s="10">
        <f>IF(OR(S198="",$D198=""),"",S198*(1-T198/100)-$D198-IF(S198&lt;=199.99,Kargo!$E$2,IF(S198&lt;=399.99,Kargo!$E$3,$F198)))</f>
        <v/>
      </c>
      <c r="V198" s="12">
        <f>IF(U198="","",U198/S198)</f>
        <v/>
      </c>
      <c r="W198" s="12">
        <f>IF($B198="","",IFERROR(VLOOKUP($C198,Hedefler!$A:$C,2,FALSE),0.04))</f>
        <v/>
      </c>
      <c r="X198" s="12">
        <f>IF($B198="","",IFERROR(VLOOKUP($C198,Hedefler!$A:$C,3,FALSE),0.1))</f>
        <v/>
      </c>
      <c r="Y198" s="13">
        <f>IF($B198="","",IFERROR(VLOOKUP($B198,Maliyetler!$A:$E,5,FALSE),""))</f>
        <v/>
      </c>
      <c r="Z198" s="13">
        <f>IF(OR(Y198="",Y198=0),"",Y198-1)</f>
        <v/>
      </c>
      <c r="AA198" s="14">
        <f>IF(Z198="","",IF(Z198&gt;='Komisyon Tarifeleri'!I198,IF($AM$1=2,'Komisyon Tarifeleri'!U198,'Komisyon Tarifeleri'!P198),IF(Z198&gt;='Komisyon Tarifeleri'!K198,IF($AM$1=2,'Komisyon Tarifeleri'!V198,'Komisyon Tarifeleri'!Q198),IF(Z198&gt;='Komisyon Tarifeleri'!M198,IF($AM$1=2,'Komisyon Tarifeleri'!W198,'Komisyon Tarifeleri'!R198),IF($AM$1=2,'Komisyon Tarifeleri'!X198,'Komisyon Tarifeleri'!S198)))))</f>
        <v/>
      </c>
      <c r="AB198" s="13">
        <f>IF(OR(AA198="",$D198=""),"",Z198*(1-AA198/100)-$D198-IF(Z198&lt;=199.99,Kargo!$E$2,IF(Z198&lt;=399.99,Kargo!$E$3,$F198)))</f>
        <v/>
      </c>
      <c r="AC198" s="15">
        <f>IF(AB198="","",AB198/Z198)</f>
        <v/>
      </c>
      <c r="AD198" s="10">
        <f>IF(OR($D198="",$B198=""),"",IF(AND((1-T198/100-W198)&gt;0,CEILING(($D198+$F198)/(1-T198/100-W198),1)&lt;='Komisyon Tarifeleri'!N198),CEILING(($D198+$F198)/(1-T198/100-W198),1),IF(AND((1-P198/100-W198)&gt;0,CEILING(MAX('Komisyon Tarifeleri'!M198,($D198+$F198)/(1-P198/100-W198)),1)&lt;='Komisyon Tarifeleri'!L198),CEILING(MAX('Komisyon Tarifeleri'!M198,($D198+$F198)/(1-P198/100-W198)),1),IF(AND((1-L198/100-W198)&gt;0,CEILING(MAX('Komisyon Tarifeleri'!K198,($D198+$F198)/(1-L198/100-W198)),1)&lt;='Komisyon Tarifeleri'!J198),CEILING(MAX('Komisyon Tarifeleri'!K198,($D198+$F198)/(1-L198/100-W198)),1),IF((1-H198/100-W198)&gt;0,CEILING(MAX('Komisyon Tarifeleri'!I198,($D198+$F198)/(1-H198/100-W198)),1),"İMKÂNSIZ")))))</f>
        <v/>
      </c>
      <c r="AE198" s="10">
        <f>IF(OR($D198="",$B198=""),"",IF(AND((1-T198/100-X198)&gt;0,CEILING(($D198+$F198)/(1-T198/100-X198),1)&lt;='Komisyon Tarifeleri'!N198),CEILING(($D198+$F198)/(1-T198/100-X198),1),IF(AND((1-P198/100-X198)&gt;0,CEILING(MAX('Komisyon Tarifeleri'!M198,($D198+$F198)/(1-P198/100-X198)),1)&lt;='Komisyon Tarifeleri'!L198),CEILING(MAX('Komisyon Tarifeleri'!M198,($D198+$F198)/(1-P198/100-X198)),1),IF(AND((1-L198/100-X198)&gt;0,CEILING(MAX('Komisyon Tarifeleri'!K198,($D198+$F198)/(1-L198/100-X198)),1)&lt;='Komisyon Tarifeleri'!J198),CEILING(MAX('Komisyon Tarifeleri'!K198,($D198+$F198)/(1-L198/100-X198)),1),IF((1-H198/100-X198)&gt;0,CEILING(MAX('Komisyon Tarifeleri'!I198,($D198+$F198)/(1-H198/100-X198)),1),"İMKÂNSIZ")))))</f>
        <v/>
      </c>
      <c r="AF198" s="16">
        <f>IF($D198="","",IF(AND(Y198&lt;&gt;"",AC198&lt;&gt;"",AC198&gt;=W198),Z198,IF(Y198&lt;&gt;"",AD198,AE198)))</f>
        <v/>
      </c>
      <c r="AG198" s="16">
        <f>IF(OR(AF198="",AF198="İMKÂNSIZ"),"",AF198*(1-IF(AF198&gt;='Komisyon Tarifeleri'!I198,IF($AM$1=2,'Komisyon Tarifeleri'!U198,'Komisyon Tarifeleri'!P198),IF(AF198&gt;='Komisyon Tarifeleri'!K198,IF($AM$1=2,'Komisyon Tarifeleri'!V198,'Komisyon Tarifeleri'!Q198),IF(AF198&gt;='Komisyon Tarifeleri'!M198,IF($AM$1=2,'Komisyon Tarifeleri'!W198,'Komisyon Tarifeleri'!R198),IF($AM$1=2,'Komisyon Tarifeleri'!X198,'Komisyon Tarifeleri'!S198))))/100)-$D198-IF(AF198&lt;=199.99,Kargo!$E$2,IF(AF198&lt;=399.99,Kargo!$E$3,$F198)))</f>
        <v/>
      </c>
      <c r="AH198" s="17">
        <f>IF(AG198="","",AG198/AF198)</f>
        <v/>
      </c>
      <c r="AI198" s="18">
        <f>IF($D198="","",IF(Y198="","BUYBOX YOK → hedef kârla min fiyat",IF(AC198&gt;=W198,"✓ BUYBOX ALTINA GİR","BUYBOX ALTI KÂRSIZ → min kârlı fiyat")))</f>
        <v/>
      </c>
      <c r="AJ198" s="10">
        <f>IF($B198="","",IFERROR(VLOOKUP($B198,Maliyetler!$A:$G,6,FALSE),""))</f>
        <v/>
      </c>
      <c r="AK198">
        <f>IF($B198="","",IFERROR(VLOOKUP($B198,Maliyetler!$A:$G,7,FALSE),""))</f>
        <v/>
      </c>
      <c r="AO198" s="21">
        <f>IF($B198="","",IFERROR(VLOOKUP($B198&amp;"",'Plus Tarifeleri'!$C:$Q,11,FALSE),""))</f>
        <v/>
      </c>
      <c r="AP198" s="22">
        <f>IF(AO198="","",IFERROR(IF($AM$1=2,VLOOKUP($B198&amp;"",'Plus Tarifeleri'!$C:$Q,15,FALSE),VLOOKUP($B198&amp;"",'Plus Tarifeleri'!$C:$Q,13,FALSE)),""))</f>
        <v/>
      </c>
      <c r="AQ198" s="21">
        <f>IF(OR(AO198="",AP198="",$D198=""),"",AO198*(1-AP198/100)-$D198-IF(AO198&lt;=199.99,Kargo!$E$2,IF(AO198&lt;=399.99,Kargo!$E$3,$F198)))</f>
        <v/>
      </c>
      <c r="AR198" s="23">
        <f>IF(AQ198="","",AQ198/AO198)</f>
        <v/>
      </c>
      <c r="AS198" s="24">
        <f>IF(OR(AQ198="",AG198=""),"",AQ198-AG198)</f>
        <v/>
      </c>
    </row>
    <row r="199">
      <c r="A199">
        <f>IF('Komisyon Tarifeleri'!A199="","",'Komisyon Tarifeleri'!A199)</f>
        <v/>
      </c>
      <c r="B199">
        <f>IF('Komisyon Tarifeleri'!B199="","",'Komisyon Tarifeleri'!B199&amp;"")</f>
        <v/>
      </c>
      <c r="C199">
        <f>IF($B199="","",'Komisyon Tarifeleri'!F199)</f>
        <v/>
      </c>
      <c r="D199" s="10">
        <f>IF($B199="","",IFERROR(VLOOKUP($B199,Maliyetler!$A:$E,3,FALSE),""))</f>
        <v/>
      </c>
      <c r="E199">
        <f>IF($B199="","",IFERROR(VLOOKUP($B199,Maliyetler!$A:$E,4,FALSE),1))</f>
        <v/>
      </c>
      <c r="F199" s="10">
        <f>IF($B199="","",IFERROR(VLOOKUP(MIN(20,MAX(1,ROUND($E199,0))),Kargo!$A:$B,2,FALSE),99.46))</f>
        <v/>
      </c>
      <c r="G199" s="10">
        <f>IF($B199="","",IF(IF(N('Komisyon Tarifeleri'!AA199)&gt;='Komisyon Tarifeleri'!I199,'Komisyon Tarifeleri'!AA199,'Komisyon Tarifeleri'!I199)="","",IF(N('Komisyon Tarifeleri'!AA199)&gt;='Komisyon Tarifeleri'!I199,'Komisyon Tarifeleri'!AA199,'Komisyon Tarifeleri'!I199)))</f>
        <v/>
      </c>
      <c r="H199" s="11">
        <f>IF(G199="","",IF($AM$1=2,'Komisyon Tarifeleri'!U199,'Komisyon Tarifeleri'!P199))</f>
        <v/>
      </c>
      <c r="I199" s="10">
        <f>IF(OR(G199="",$D199=""),"",G199*(1-H199/100)-$D199-IF(G199&lt;=199.99,Kargo!$E$2,IF(G199&lt;=399.99,Kargo!$E$3,$F199)))</f>
        <v/>
      </c>
      <c r="J199" s="12">
        <f>IF(I199="","",I199/G199)</f>
        <v/>
      </c>
      <c r="K199" s="10">
        <f>IF($B199="","",IF('Komisyon Tarifeleri'!J199="","",'Komisyon Tarifeleri'!J199))</f>
        <v/>
      </c>
      <c r="L199" s="11">
        <f>IF(K199="","",IF($AM$1=2,'Komisyon Tarifeleri'!V199,'Komisyon Tarifeleri'!Q199))</f>
        <v/>
      </c>
      <c r="M199" s="10">
        <f>IF(OR(K199="",$D199=""),"",K199*(1-L199/100)-$D199-IF(K199&lt;=199.99,Kargo!$E$2,IF(K199&lt;=399.99,Kargo!$E$3,$F199)))</f>
        <v/>
      </c>
      <c r="N199" s="12">
        <f>IF(M199="","",M199/K199)</f>
        <v/>
      </c>
      <c r="O199" s="10">
        <f>IF($B199="","",IF('Komisyon Tarifeleri'!L199="","",'Komisyon Tarifeleri'!L199))</f>
        <v/>
      </c>
      <c r="P199" s="11">
        <f>IF(O199="","",IF($AM$1=2,'Komisyon Tarifeleri'!W199,'Komisyon Tarifeleri'!R199))</f>
        <v/>
      </c>
      <c r="Q199" s="10">
        <f>IF(OR(O199="",$D199=""),"",O199*(1-P199/100)-$D199-IF(O199&lt;=199.99,Kargo!$E$2,IF(O199&lt;=399.99,Kargo!$E$3,$F199)))</f>
        <v/>
      </c>
      <c r="R199" s="12">
        <f>IF(Q199="","",Q199/O199)</f>
        <v/>
      </c>
      <c r="S199" s="10">
        <f>IF($B199="","",IF('Komisyon Tarifeleri'!N199="","",'Komisyon Tarifeleri'!N199))</f>
        <v/>
      </c>
      <c r="T199" s="11">
        <f>IF(S199="","",IF($AM$1=2,'Komisyon Tarifeleri'!X199,'Komisyon Tarifeleri'!S199))</f>
        <v/>
      </c>
      <c r="U199" s="10">
        <f>IF(OR(S199="",$D199=""),"",S199*(1-T199/100)-$D199-IF(S199&lt;=199.99,Kargo!$E$2,IF(S199&lt;=399.99,Kargo!$E$3,$F199)))</f>
        <v/>
      </c>
      <c r="V199" s="12">
        <f>IF(U199="","",U199/S199)</f>
        <v/>
      </c>
      <c r="W199" s="12">
        <f>IF($B199="","",IFERROR(VLOOKUP($C199,Hedefler!$A:$C,2,FALSE),0.04))</f>
        <v/>
      </c>
      <c r="X199" s="12">
        <f>IF($B199="","",IFERROR(VLOOKUP($C199,Hedefler!$A:$C,3,FALSE),0.1))</f>
        <v/>
      </c>
      <c r="Y199" s="13">
        <f>IF($B199="","",IFERROR(VLOOKUP($B199,Maliyetler!$A:$E,5,FALSE),""))</f>
        <v/>
      </c>
      <c r="Z199" s="13">
        <f>IF(OR(Y199="",Y199=0),"",Y199-1)</f>
        <v/>
      </c>
      <c r="AA199" s="14">
        <f>IF(Z199="","",IF(Z199&gt;='Komisyon Tarifeleri'!I199,IF($AM$1=2,'Komisyon Tarifeleri'!U199,'Komisyon Tarifeleri'!P199),IF(Z199&gt;='Komisyon Tarifeleri'!K199,IF($AM$1=2,'Komisyon Tarifeleri'!V199,'Komisyon Tarifeleri'!Q199),IF(Z199&gt;='Komisyon Tarifeleri'!M199,IF($AM$1=2,'Komisyon Tarifeleri'!W199,'Komisyon Tarifeleri'!R199),IF($AM$1=2,'Komisyon Tarifeleri'!X199,'Komisyon Tarifeleri'!S199)))))</f>
        <v/>
      </c>
      <c r="AB199" s="13">
        <f>IF(OR(AA199="",$D199=""),"",Z199*(1-AA199/100)-$D199-IF(Z199&lt;=199.99,Kargo!$E$2,IF(Z199&lt;=399.99,Kargo!$E$3,$F199)))</f>
        <v/>
      </c>
      <c r="AC199" s="15">
        <f>IF(AB199="","",AB199/Z199)</f>
        <v/>
      </c>
      <c r="AD199" s="10">
        <f>IF(OR($D199="",$B199=""),"",IF(AND((1-T199/100-W199)&gt;0,CEILING(($D199+$F199)/(1-T199/100-W199),1)&lt;='Komisyon Tarifeleri'!N199),CEILING(($D199+$F199)/(1-T199/100-W199),1),IF(AND((1-P199/100-W199)&gt;0,CEILING(MAX('Komisyon Tarifeleri'!M199,($D199+$F199)/(1-P199/100-W199)),1)&lt;='Komisyon Tarifeleri'!L199),CEILING(MAX('Komisyon Tarifeleri'!M199,($D199+$F199)/(1-P199/100-W199)),1),IF(AND((1-L199/100-W199)&gt;0,CEILING(MAX('Komisyon Tarifeleri'!K199,($D199+$F199)/(1-L199/100-W199)),1)&lt;='Komisyon Tarifeleri'!J199),CEILING(MAX('Komisyon Tarifeleri'!K199,($D199+$F199)/(1-L199/100-W199)),1),IF((1-H199/100-W199)&gt;0,CEILING(MAX('Komisyon Tarifeleri'!I199,($D199+$F199)/(1-H199/100-W199)),1),"İMKÂNSIZ")))))</f>
        <v/>
      </c>
      <c r="AE199" s="10">
        <f>IF(OR($D199="",$B199=""),"",IF(AND((1-T199/100-X199)&gt;0,CEILING(($D199+$F199)/(1-T199/100-X199),1)&lt;='Komisyon Tarifeleri'!N199),CEILING(($D199+$F199)/(1-T199/100-X199),1),IF(AND((1-P199/100-X199)&gt;0,CEILING(MAX('Komisyon Tarifeleri'!M199,($D199+$F199)/(1-P199/100-X199)),1)&lt;='Komisyon Tarifeleri'!L199),CEILING(MAX('Komisyon Tarifeleri'!M199,($D199+$F199)/(1-P199/100-X199)),1),IF(AND((1-L199/100-X199)&gt;0,CEILING(MAX('Komisyon Tarifeleri'!K199,($D199+$F199)/(1-L199/100-X199)),1)&lt;='Komisyon Tarifeleri'!J199),CEILING(MAX('Komisyon Tarifeleri'!K199,($D199+$F199)/(1-L199/100-X199)),1),IF((1-H199/100-X199)&gt;0,CEILING(MAX('Komisyon Tarifeleri'!I199,($D199+$F199)/(1-H199/100-X199)),1),"İMKÂNSIZ")))))</f>
        <v/>
      </c>
      <c r="AF199" s="16">
        <f>IF($D199="","",IF(AND(Y199&lt;&gt;"",AC199&lt;&gt;"",AC199&gt;=W199),Z199,IF(Y199&lt;&gt;"",AD199,AE199)))</f>
        <v/>
      </c>
      <c r="AG199" s="16">
        <f>IF(OR(AF199="",AF199="İMKÂNSIZ"),"",AF199*(1-IF(AF199&gt;='Komisyon Tarifeleri'!I199,IF($AM$1=2,'Komisyon Tarifeleri'!U199,'Komisyon Tarifeleri'!P199),IF(AF199&gt;='Komisyon Tarifeleri'!K199,IF($AM$1=2,'Komisyon Tarifeleri'!V199,'Komisyon Tarifeleri'!Q199),IF(AF199&gt;='Komisyon Tarifeleri'!M199,IF($AM$1=2,'Komisyon Tarifeleri'!W199,'Komisyon Tarifeleri'!R199),IF($AM$1=2,'Komisyon Tarifeleri'!X199,'Komisyon Tarifeleri'!S199))))/100)-$D199-IF(AF199&lt;=199.99,Kargo!$E$2,IF(AF199&lt;=399.99,Kargo!$E$3,$F199)))</f>
        <v/>
      </c>
      <c r="AH199" s="17">
        <f>IF(AG199="","",AG199/AF199)</f>
        <v/>
      </c>
      <c r="AI199" s="18">
        <f>IF($D199="","",IF(Y199="","BUYBOX YOK → hedef kârla min fiyat",IF(AC199&gt;=W199,"✓ BUYBOX ALTINA GİR","BUYBOX ALTI KÂRSIZ → min kârlı fiyat")))</f>
        <v/>
      </c>
      <c r="AJ199" s="10">
        <f>IF($B199="","",IFERROR(VLOOKUP($B199,Maliyetler!$A:$G,6,FALSE),""))</f>
        <v/>
      </c>
      <c r="AK199">
        <f>IF($B199="","",IFERROR(VLOOKUP($B199,Maliyetler!$A:$G,7,FALSE),""))</f>
        <v/>
      </c>
      <c r="AO199" s="21">
        <f>IF($B199="","",IFERROR(VLOOKUP($B199&amp;"",'Plus Tarifeleri'!$C:$Q,11,FALSE),""))</f>
        <v/>
      </c>
      <c r="AP199" s="22">
        <f>IF(AO199="","",IFERROR(IF($AM$1=2,VLOOKUP($B199&amp;"",'Plus Tarifeleri'!$C:$Q,15,FALSE),VLOOKUP($B199&amp;"",'Plus Tarifeleri'!$C:$Q,13,FALSE)),""))</f>
        <v/>
      </c>
      <c r="AQ199" s="21">
        <f>IF(OR(AO199="",AP199="",$D199=""),"",AO199*(1-AP199/100)-$D199-IF(AO199&lt;=199.99,Kargo!$E$2,IF(AO199&lt;=399.99,Kargo!$E$3,$F199)))</f>
        <v/>
      </c>
      <c r="AR199" s="23">
        <f>IF(AQ199="","",AQ199/AO199)</f>
        <v/>
      </c>
      <c r="AS199" s="24">
        <f>IF(OR(AQ199="",AG199=""),"",AQ199-AG199)</f>
        <v/>
      </c>
    </row>
    <row r="200">
      <c r="A200">
        <f>IF('Komisyon Tarifeleri'!A200="","",'Komisyon Tarifeleri'!A200)</f>
        <v/>
      </c>
      <c r="B200">
        <f>IF('Komisyon Tarifeleri'!B200="","",'Komisyon Tarifeleri'!B200&amp;"")</f>
        <v/>
      </c>
      <c r="C200">
        <f>IF($B200="","",'Komisyon Tarifeleri'!F200)</f>
        <v/>
      </c>
      <c r="D200" s="10">
        <f>IF($B200="","",IFERROR(VLOOKUP($B200,Maliyetler!$A:$E,3,FALSE),""))</f>
        <v/>
      </c>
      <c r="E200">
        <f>IF($B200="","",IFERROR(VLOOKUP($B200,Maliyetler!$A:$E,4,FALSE),1))</f>
        <v/>
      </c>
      <c r="F200" s="10">
        <f>IF($B200="","",IFERROR(VLOOKUP(MIN(20,MAX(1,ROUND($E200,0))),Kargo!$A:$B,2,FALSE),99.46))</f>
        <v/>
      </c>
      <c r="G200" s="10">
        <f>IF($B200="","",IF(IF(N('Komisyon Tarifeleri'!AA200)&gt;='Komisyon Tarifeleri'!I200,'Komisyon Tarifeleri'!AA200,'Komisyon Tarifeleri'!I200)="","",IF(N('Komisyon Tarifeleri'!AA200)&gt;='Komisyon Tarifeleri'!I200,'Komisyon Tarifeleri'!AA200,'Komisyon Tarifeleri'!I200)))</f>
        <v/>
      </c>
      <c r="H200" s="11">
        <f>IF(G200="","",IF($AM$1=2,'Komisyon Tarifeleri'!U200,'Komisyon Tarifeleri'!P200))</f>
        <v/>
      </c>
      <c r="I200" s="10">
        <f>IF(OR(G200="",$D200=""),"",G200*(1-H200/100)-$D200-IF(G200&lt;=199.99,Kargo!$E$2,IF(G200&lt;=399.99,Kargo!$E$3,$F200)))</f>
        <v/>
      </c>
      <c r="J200" s="12">
        <f>IF(I200="","",I200/G200)</f>
        <v/>
      </c>
      <c r="K200" s="10">
        <f>IF($B200="","",IF('Komisyon Tarifeleri'!J200="","",'Komisyon Tarifeleri'!J200))</f>
        <v/>
      </c>
      <c r="L200" s="11">
        <f>IF(K200="","",IF($AM$1=2,'Komisyon Tarifeleri'!V200,'Komisyon Tarifeleri'!Q200))</f>
        <v/>
      </c>
      <c r="M200" s="10">
        <f>IF(OR(K200="",$D200=""),"",K200*(1-L200/100)-$D200-IF(K200&lt;=199.99,Kargo!$E$2,IF(K200&lt;=399.99,Kargo!$E$3,$F200)))</f>
        <v/>
      </c>
      <c r="N200" s="12">
        <f>IF(M200="","",M200/K200)</f>
        <v/>
      </c>
      <c r="O200" s="10">
        <f>IF($B200="","",IF('Komisyon Tarifeleri'!L200="","",'Komisyon Tarifeleri'!L200))</f>
        <v/>
      </c>
      <c r="P200" s="11">
        <f>IF(O200="","",IF($AM$1=2,'Komisyon Tarifeleri'!W200,'Komisyon Tarifeleri'!R200))</f>
        <v/>
      </c>
      <c r="Q200" s="10">
        <f>IF(OR(O200="",$D200=""),"",O200*(1-P200/100)-$D200-IF(O200&lt;=199.99,Kargo!$E$2,IF(O200&lt;=399.99,Kargo!$E$3,$F200)))</f>
        <v/>
      </c>
      <c r="R200" s="12">
        <f>IF(Q200="","",Q200/O200)</f>
        <v/>
      </c>
      <c r="S200" s="10">
        <f>IF($B200="","",IF('Komisyon Tarifeleri'!N200="","",'Komisyon Tarifeleri'!N200))</f>
        <v/>
      </c>
      <c r="T200" s="11">
        <f>IF(S200="","",IF($AM$1=2,'Komisyon Tarifeleri'!X200,'Komisyon Tarifeleri'!S200))</f>
        <v/>
      </c>
      <c r="U200" s="10">
        <f>IF(OR(S200="",$D200=""),"",S200*(1-T200/100)-$D200-IF(S200&lt;=199.99,Kargo!$E$2,IF(S200&lt;=399.99,Kargo!$E$3,$F200)))</f>
        <v/>
      </c>
      <c r="V200" s="12">
        <f>IF(U200="","",U200/S200)</f>
        <v/>
      </c>
      <c r="W200" s="12">
        <f>IF($B200="","",IFERROR(VLOOKUP($C200,Hedefler!$A:$C,2,FALSE),0.04))</f>
        <v/>
      </c>
      <c r="X200" s="12">
        <f>IF($B200="","",IFERROR(VLOOKUP($C200,Hedefler!$A:$C,3,FALSE),0.1))</f>
        <v/>
      </c>
      <c r="Y200" s="13">
        <f>IF($B200="","",IFERROR(VLOOKUP($B200,Maliyetler!$A:$E,5,FALSE),""))</f>
        <v/>
      </c>
      <c r="Z200" s="13">
        <f>IF(OR(Y200="",Y200=0),"",Y200-1)</f>
        <v/>
      </c>
      <c r="AA200" s="14">
        <f>IF(Z200="","",IF(Z200&gt;='Komisyon Tarifeleri'!I200,IF($AM$1=2,'Komisyon Tarifeleri'!U200,'Komisyon Tarifeleri'!P200),IF(Z200&gt;='Komisyon Tarifeleri'!K200,IF($AM$1=2,'Komisyon Tarifeleri'!V200,'Komisyon Tarifeleri'!Q200),IF(Z200&gt;='Komisyon Tarifeleri'!M200,IF($AM$1=2,'Komisyon Tarifeleri'!W200,'Komisyon Tarifeleri'!R200),IF($AM$1=2,'Komisyon Tarifeleri'!X200,'Komisyon Tarifeleri'!S200)))))</f>
        <v/>
      </c>
      <c r="AB200" s="13">
        <f>IF(OR(AA200="",$D200=""),"",Z200*(1-AA200/100)-$D200-IF(Z200&lt;=199.99,Kargo!$E$2,IF(Z200&lt;=399.99,Kargo!$E$3,$F200)))</f>
        <v/>
      </c>
      <c r="AC200" s="15">
        <f>IF(AB200="","",AB200/Z200)</f>
        <v/>
      </c>
      <c r="AD200" s="10">
        <f>IF(OR($D200="",$B200=""),"",IF(AND((1-T200/100-W200)&gt;0,CEILING(($D200+$F200)/(1-T200/100-W200),1)&lt;='Komisyon Tarifeleri'!N200),CEILING(($D200+$F200)/(1-T200/100-W200),1),IF(AND((1-P200/100-W200)&gt;0,CEILING(MAX('Komisyon Tarifeleri'!M200,($D200+$F200)/(1-P200/100-W200)),1)&lt;='Komisyon Tarifeleri'!L200),CEILING(MAX('Komisyon Tarifeleri'!M200,($D200+$F200)/(1-P200/100-W200)),1),IF(AND((1-L200/100-W200)&gt;0,CEILING(MAX('Komisyon Tarifeleri'!K200,($D200+$F200)/(1-L200/100-W200)),1)&lt;='Komisyon Tarifeleri'!J200),CEILING(MAX('Komisyon Tarifeleri'!K200,($D200+$F200)/(1-L200/100-W200)),1),IF((1-H200/100-W200)&gt;0,CEILING(MAX('Komisyon Tarifeleri'!I200,($D200+$F200)/(1-H200/100-W200)),1),"İMKÂNSIZ")))))</f>
        <v/>
      </c>
      <c r="AE200" s="10">
        <f>IF(OR($D200="",$B200=""),"",IF(AND((1-T200/100-X200)&gt;0,CEILING(($D200+$F200)/(1-T200/100-X200),1)&lt;='Komisyon Tarifeleri'!N200),CEILING(($D200+$F200)/(1-T200/100-X200),1),IF(AND((1-P200/100-X200)&gt;0,CEILING(MAX('Komisyon Tarifeleri'!M200,($D200+$F200)/(1-P200/100-X200)),1)&lt;='Komisyon Tarifeleri'!L200),CEILING(MAX('Komisyon Tarifeleri'!M200,($D200+$F200)/(1-P200/100-X200)),1),IF(AND((1-L200/100-X200)&gt;0,CEILING(MAX('Komisyon Tarifeleri'!K200,($D200+$F200)/(1-L200/100-X200)),1)&lt;='Komisyon Tarifeleri'!J200),CEILING(MAX('Komisyon Tarifeleri'!K200,($D200+$F200)/(1-L200/100-X200)),1),IF((1-H200/100-X200)&gt;0,CEILING(MAX('Komisyon Tarifeleri'!I200,($D200+$F200)/(1-H200/100-X200)),1),"İMKÂNSIZ")))))</f>
        <v/>
      </c>
      <c r="AF200" s="16">
        <f>IF($D200="","",IF(AND(Y200&lt;&gt;"",AC200&lt;&gt;"",AC200&gt;=W200),Z200,IF(Y200&lt;&gt;"",AD200,AE200)))</f>
        <v/>
      </c>
      <c r="AG200" s="16">
        <f>IF(OR(AF200="",AF200="İMKÂNSIZ"),"",AF200*(1-IF(AF200&gt;='Komisyon Tarifeleri'!I200,IF($AM$1=2,'Komisyon Tarifeleri'!U200,'Komisyon Tarifeleri'!P200),IF(AF200&gt;='Komisyon Tarifeleri'!K200,IF($AM$1=2,'Komisyon Tarifeleri'!V200,'Komisyon Tarifeleri'!Q200),IF(AF200&gt;='Komisyon Tarifeleri'!M200,IF($AM$1=2,'Komisyon Tarifeleri'!W200,'Komisyon Tarifeleri'!R200),IF($AM$1=2,'Komisyon Tarifeleri'!X200,'Komisyon Tarifeleri'!S200))))/100)-$D200-IF(AF200&lt;=199.99,Kargo!$E$2,IF(AF200&lt;=399.99,Kargo!$E$3,$F200)))</f>
        <v/>
      </c>
      <c r="AH200" s="17">
        <f>IF(AG200="","",AG200/AF200)</f>
        <v/>
      </c>
      <c r="AI200" s="18">
        <f>IF($D200="","",IF(Y200="","BUYBOX YOK → hedef kârla min fiyat",IF(AC200&gt;=W200,"✓ BUYBOX ALTINA GİR","BUYBOX ALTI KÂRSIZ → min kârlı fiyat")))</f>
        <v/>
      </c>
      <c r="AJ200" s="10">
        <f>IF($B200="","",IFERROR(VLOOKUP($B200,Maliyetler!$A:$G,6,FALSE),""))</f>
        <v/>
      </c>
      <c r="AK200">
        <f>IF($B200="","",IFERROR(VLOOKUP($B200,Maliyetler!$A:$G,7,FALSE),""))</f>
        <v/>
      </c>
      <c r="AO200" s="21">
        <f>IF($B200="","",IFERROR(VLOOKUP($B200&amp;"",'Plus Tarifeleri'!$C:$Q,11,FALSE),""))</f>
        <v/>
      </c>
      <c r="AP200" s="22">
        <f>IF(AO200="","",IFERROR(IF($AM$1=2,VLOOKUP($B200&amp;"",'Plus Tarifeleri'!$C:$Q,15,FALSE),VLOOKUP($B200&amp;"",'Plus Tarifeleri'!$C:$Q,13,FALSE)),""))</f>
        <v/>
      </c>
      <c r="AQ200" s="21">
        <f>IF(OR(AO200="",AP200="",$D200=""),"",AO200*(1-AP200/100)-$D200-IF(AO200&lt;=199.99,Kargo!$E$2,IF(AO200&lt;=399.99,Kargo!$E$3,$F200)))</f>
        <v/>
      </c>
      <c r="AR200" s="23">
        <f>IF(AQ200="","",AQ200/AO200)</f>
        <v/>
      </c>
      <c r="AS200" s="24">
        <f>IF(OR(AQ200="",AG200=""),"",AQ200-AG200)</f>
        <v/>
      </c>
    </row>
    <row r="201">
      <c r="A201">
        <f>IF('Komisyon Tarifeleri'!A201="","",'Komisyon Tarifeleri'!A201)</f>
        <v/>
      </c>
      <c r="B201">
        <f>IF('Komisyon Tarifeleri'!B201="","",'Komisyon Tarifeleri'!B201&amp;"")</f>
        <v/>
      </c>
      <c r="C201">
        <f>IF($B201="","",'Komisyon Tarifeleri'!F201)</f>
        <v/>
      </c>
      <c r="D201" s="10">
        <f>IF($B201="","",IFERROR(VLOOKUP($B201,Maliyetler!$A:$E,3,FALSE),""))</f>
        <v/>
      </c>
      <c r="E201">
        <f>IF($B201="","",IFERROR(VLOOKUP($B201,Maliyetler!$A:$E,4,FALSE),1))</f>
        <v/>
      </c>
      <c r="F201" s="10">
        <f>IF($B201="","",IFERROR(VLOOKUP(MIN(20,MAX(1,ROUND($E201,0))),Kargo!$A:$B,2,FALSE),99.46))</f>
        <v/>
      </c>
      <c r="G201" s="10">
        <f>IF($B201="","",IF(IF(N('Komisyon Tarifeleri'!AA201)&gt;='Komisyon Tarifeleri'!I201,'Komisyon Tarifeleri'!AA201,'Komisyon Tarifeleri'!I201)="","",IF(N('Komisyon Tarifeleri'!AA201)&gt;='Komisyon Tarifeleri'!I201,'Komisyon Tarifeleri'!AA201,'Komisyon Tarifeleri'!I201)))</f>
        <v/>
      </c>
      <c r="H201" s="11">
        <f>IF(G201="","",IF($AM$1=2,'Komisyon Tarifeleri'!U201,'Komisyon Tarifeleri'!P201))</f>
        <v/>
      </c>
      <c r="I201" s="10">
        <f>IF(OR(G201="",$D201=""),"",G201*(1-H201/100)-$D201-IF(G201&lt;=199.99,Kargo!$E$2,IF(G201&lt;=399.99,Kargo!$E$3,$F201)))</f>
        <v/>
      </c>
      <c r="J201" s="12">
        <f>IF(I201="","",I201/G201)</f>
        <v/>
      </c>
      <c r="K201" s="10">
        <f>IF($B201="","",IF('Komisyon Tarifeleri'!J201="","",'Komisyon Tarifeleri'!J201))</f>
        <v/>
      </c>
      <c r="L201" s="11">
        <f>IF(K201="","",IF($AM$1=2,'Komisyon Tarifeleri'!V201,'Komisyon Tarifeleri'!Q201))</f>
        <v/>
      </c>
      <c r="M201" s="10">
        <f>IF(OR(K201="",$D201=""),"",K201*(1-L201/100)-$D201-IF(K201&lt;=199.99,Kargo!$E$2,IF(K201&lt;=399.99,Kargo!$E$3,$F201)))</f>
        <v/>
      </c>
      <c r="N201" s="12">
        <f>IF(M201="","",M201/K201)</f>
        <v/>
      </c>
      <c r="O201" s="10">
        <f>IF($B201="","",IF('Komisyon Tarifeleri'!L201="","",'Komisyon Tarifeleri'!L201))</f>
        <v/>
      </c>
      <c r="P201" s="11">
        <f>IF(O201="","",IF($AM$1=2,'Komisyon Tarifeleri'!W201,'Komisyon Tarifeleri'!R201))</f>
        <v/>
      </c>
      <c r="Q201" s="10">
        <f>IF(OR(O201="",$D201=""),"",O201*(1-P201/100)-$D201-IF(O201&lt;=199.99,Kargo!$E$2,IF(O201&lt;=399.99,Kargo!$E$3,$F201)))</f>
        <v/>
      </c>
      <c r="R201" s="12">
        <f>IF(Q201="","",Q201/O201)</f>
        <v/>
      </c>
      <c r="S201" s="10">
        <f>IF($B201="","",IF('Komisyon Tarifeleri'!N201="","",'Komisyon Tarifeleri'!N201))</f>
        <v/>
      </c>
      <c r="T201" s="11">
        <f>IF(S201="","",IF($AM$1=2,'Komisyon Tarifeleri'!X201,'Komisyon Tarifeleri'!S201))</f>
        <v/>
      </c>
      <c r="U201" s="10">
        <f>IF(OR(S201="",$D201=""),"",S201*(1-T201/100)-$D201-IF(S201&lt;=199.99,Kargo!$E$2,IF(S201&lt;=399.99,Kargo!$E$3,$F201)))</f>
        <v/>
      </c>
      <c r="V201" s="12">
        <f>IF(U201="","",U201/S201)</f>
        <v/>
      </c>
      <c r="W201" s="12">
        <f>IF($B201="","",IFERROR(VLOOKUP($C201,Hedefler!$A:$C,2,FALSE),0.04))</f>
        <v/>
      </c>
      <c r="X201" s="12">
        <f>IF($B201="","",IFERROR(VLOOKUP($C201,Hedefler!$A:$C,3,FALSE),0.1))</f>
        <v/>
      </c>
      <c r="Y201" s="13">
        <f>IF($B201="","",IFERROR(VLOOKUP($B201,Maliyetler!$A:$E,5,FALSE),""))</f>
        <v/>
      </c>
      <c r="Z201" s="13">
        <f>IF(OR(Y201="",Y201=0),"",Y201-1)</f>
        <v/>
      </c>
      <c r="AA201" s="14">
        <f>IF(Z201="","",IF(Z201&gt;='Komisyon Tarifeleri'!I201,IF($AM$1=2,'Komisyon Tarifeleri'!U201,'Komisyon Tarifeleri'!P201),IF(Z201&gt;='Komisyon Tarifeleri'!K201,IF($AM$1=2,'Komisyon Tarifeleri'!V201,'Komisyon Tarifeleri'!Q201),IF(Z201&gt;='Komisyon Tarifeleri'!M201,IF($AM$1=2,'Komisyon Tarifeleri'!W201,'Komisyon Tarifeleri'!R201),IF($AM$1=2,'Komisyon Tarifeleri'!X201,'Komisyon Tarifeleri'!S201)))))</f>
        <v/>
      </c>
      <c r="AB201" s="13">
        <f>IF(OR(AA201="",$D201=""),"",Z201*(1-AA201/100)-$D201-IF(Z201&lt;=199.99,Kargo!$E$2,IF(Z201&lt;=399.99,Kargo!$E$3,$F201)))</f>
        <v/>
      </c>
      <c r="AC201" s="15">
        <f>IF(AB201="","",AB201/Z201)</f>
        <v/>
      </c>
      <c r="AD201" s="10">
        <f>IF(OR($D201="",$B201=""),"",IF(AND((1-T201/100-W201)&gt;0,CEILING(($D201+$F201)/(1-T201/100-W201),1)&lt;='Komisyon Tarifeleri'!N201),CEILING(($D201+$F201)/(1-T201/100-W201),1),IF(AND((1-P201/100-W201)&gt;0,CEILING(MAX('Komisyon Tarifeleri'!M201,($D201+$F201)/(1-P201/100-W201)),1)&lt;='Komisyon Tarifeleri'!L201),CEILING(MAX('Komisyon Tarifeleri'!M201,($D201+$F201)/(1-P201/100-W201)),1),IF(AND((1-L201/100-W201)&gt;0,CEILING(MAX('Komisyon Tarifeleri'!K201,($D201+$F201)/(1-L201/100-W201)),1)&lt;='Komisyon Tarifeleri'!J201),CEILING(MAX('Komisyon Tarifeleri'!K201,($D201+$F201)/(1-L201/100-W201)),1),IF((1-H201/100-W201)&gt;0,CEILING(MAX('Komisyon Tarifeleri'!I201,($D201+$F201)/(1-H201/100-W201)),1),"İMKÂNSIZ")))))</f>
        <v/>
      </c>
      <c r="AE201" s="10">
        <f>IF(OR($D201="",$B201=""),"",IF(AND((1-T201/100-X201)&gt;0,CEILING(($D201+$F201)/(1-T201/100-X201),1)&lt;='Komisyon Tarifeleri'!N201),CEILING(($D201+$F201)/(1-T201/100-X201),1),IF(AND((1-P201/100-X201)&gt;0,CEILING(MAX('Komisyon Tarifeleri'!M201,($D201+$F201)/(1-P201/100-X201)),1)&lt;='Komisyon Tarifeleri'!L201),CEILING(MAX('Komisyon Tarifeleri'!M201,($D201+$F201)/(1-P201/100-X201)),1),IF(AND((1-L201/100-X201)&gt;0,CEILING(MAX('Komisyon Tarifeleri'!K201,($D201+$F201)/(1-L201/100-X201)),1)&lt;='Komisyon Tarifeleri'!J201),CEILING(MAX('Komisyon Tarifeleri'!K201,($D201+$F201)/(1-L201/100-X201)),1),IF((1-H201/100-X201)&gt;0,CEILING(MAX('Komisyon Tarifeleri'!I201,($D201+$F201)/(1-H201/100-X201)),1),"İMKÂNSIZ")))))</f>
        <v/>
      </c>
      <c r="AF201" s="16">
        <f>IF($D201="","",IF(AND(Y201&lt;&gt;"",AC201&lt;&gt;"",AC201&gt;=W201),Z201,IF(Y201&lt;&gt;"",AD201,AE201)))</f>
        <v/>
      </c>
      <c r="AG201" s="16">
        <f>IF(OR(AF201="",AF201="İMKÂNSIZ"),"",AF201*(1-IF(AF201&gt;='Komisyon Tarifeleri'!I201,IF($AM$1=2,'Komisyon Tarifeleri'!U201,'Komisyon Tarifeleri'!P201),IF(AF201&gt;='Komisyon Tarifeleri'!K201,IF($AM$1=2,'Komisyon Tarifeleri'!V201,'Komisyon Tarifeleri'!Q201),IF(AF201&gt;='Komisyon Tarifeleri'!M201,IF($AM$1=2,'Komisyon Tarifeleri'!W201,'Komisyon Tarifeleri'!R201),IF($AM$1=2,'Komisyon Tarifeleri'!X201,'Komisyon Tarifeleri'!S201))))/100)-$D201-IF(AF201&lt;=199.99,Kargo!$E$2,IF(AF201&lt;=399.99,Kargo!$E$3,$F201)))</f>
        <v/>
      </c>
      <c r="AH201" s="17">
        <f>IF(AG201="","",AG201/AF201)</f>
        <v/>
      </c>
      <c r="AI201" s="18">
        <f>IF($D201="","",IF(Y201="","BUYBOX YOK → hedef kârla min fiyat",IF(AC201&gt;=W201,"✓ BUYBOX ALTINA GİR","BUYBOX ALTI KÂRSIZ → min kârlı fiyat")))</f>
        <v/>
      </c>
      <c r="AJ201" s="10">
        <f>IF($B201="","",IFERROR(VLOOKUP($B201,Maliyetler!$A:$G,6,FALSE),""))</f>
        <v/>
      </c>
      <c r="AK201">
        <f>IF($B201="","",IFERROR(VLOOKUP($B201,Maliyetler!$A:$G,7,FALSE),""))</f>
        <v/>
      </c>
      <c r="AO201" s="21">
        <f>IF($B201="","",IFERROR(VLOOKUP($B201&amp;"",'Plus Tarifeleri'!$C:$Q,11,FALSE),""))</f>
        <v/>
      </c>
      <c r="AP201" s="22">
        <f>IF(AO201="","",IFERROR(IF($AM$1=2,VLOOKUP($B201&amp;"",'Plus Tarifeleri'!$C:$Q,15,FALSE),VLOOKUP($B201&amp;"",'Plus Tarifeleri'!$C:$Q,13,FALSE)),""))</f>
        <v/>
      </c>
      <c r="AQ201" s="21">
        <f>IF(OR(AO201="",AP201="",$D201=""),"",AO201*(1-AP201/100)-$D201-IF(AO201&lt;=199.99,Kargo!$E$2,IF(AO201&lt;=399.99,Kargo!$E$3,$F201)))</f>
        <v/>
      </c>
      <c r="AR201" s="23">
        <f>IF(AQ201="","",AQ201/AO201)</f>
        <v/>
      </c>
      <c r="AS201" s="24">
        <f>IF(OR(AQ201="",AG201=""),"",AQ201-AG201)</f>
        <v/>
      </c>
    </row>
    <row r="202">
      <c r="A202">
        <f>IF('Komisyon Tarifeleri'!A202="","",'Komisyon Tarifeleri'!A202)</f>
        <v/>
      </c>
      <c r="B202">
        <f>IF('Komisyon Tarifeleri'!B202="","",'Komisyon Tarifeleri'!B202&amp;"")</f>
        <v/>
      </c>
      <c r="C202">
        <f>IF($B202="","",'Komisyon Tarifeleri'!F202)</f>
        <v/>
      </c>
      <c r="D202" s="10">
        <f>IF($B202="","",IFERROR(VLOOKUP($B202,Maliyetler!$A:$E,3,FALSE),""))</f>
        <v/>
      </c>
      <c r="E202">
        <f>IF($B202="","",IFERROR(VLOOKUP($B202,Maliyetler!$A:$E,4,FALSE),1))</f>
        <v/>
      </c>
      <c r="F202" s="10">
        <f>IF($B202="","",IFERROR(VLOOKUP(MIN(20,MAX(1,ROUND($E202,0))),Kargo!$A:$B,2,FALSE),99.46))</f>
        <v/>
      </c>
      <c r="G202" s="10">
        <f>IF($B202="","",IF(IF(N('Komisyon Tarifeleri'!AA202)&gt;='Komisyon Tarifeleri'!I202,'Komisyon Tarifeleri'!AA202,'Komisyon Tarifeleri'!I202)="","",IF(N('Komisyon Tarifeleri'!AA202)&gt;='Komisyon Tarifeleri'!I202,'Komisyon Tarifeleri'!AA202,'Komisyon Tarifeleri'!I202)))</f>
        <v/>
      </c>
      <c r="H202" s="11">
        <f>IF(G202="","",IF($AM$1=2,'Komisyon Tarifeleri'!U202,'Komisyon Tarifeleri'!P202))</f>
        <v/>
      </c>
      <c r="I202" s="10">
        <f>IF(OR(G202="",$D202=""),"",G202*(1-H202/100)-$D202-IF(G202&lt;=199.99,Kargo!$E$2,IF(G202&lt;=399.99,Kargo!$E$3,$F202)))</f>
        <v/>
      </c>
      <c r="J202" s="12">
        <f>IF(I202="","",I202/G202)</f>
        <v/>
      </c>
      <c r="K202" s="10">
        <f>IF($B202="","",IF('Komisyon Tarifeleri'!J202="","",'Komisyon Tarifeleri'!J202))</f>
        <v/>
      </c>
      <c r="L202" s="11">
        <f>IF(K202="","",IF($AM$1=2,'Komisyon Tarifeleri'!V202,'Komisyon Tarifeleri'!Q202))</f>
        <v/>
      </c>
      <c r="M202" s="10">
        <f>IF(OR(K202="",$D202=""),"",K202*(1-L202/100)-$D202-IF(K202&lt;=199.99,Kargo!$E$2,IF(K202&lt;=399.99,Kargo!$E$3,$F202)))</f>
        <v/>
      </c>
      <c r="N202" s="12">
        <f>IF(M202="","",M202/K202)</f>
        <v/>
      </c>
      <c r="O202" s="10">
        <f>IF($B202="","",IF('Komisyon Tarifeleri'!L202="","",'Komisyon Tarifeleri'!L202))</f>
        <v/>
      </c>
      <c r="P202" s="11">
        <f>IF(O202="","",IF($AM$1=2,'Komisyon Tarifeleri'!W202,'Komisyon Tarifeleri'!R202))</f>
        <v/>
      </c>
      <c r="Q202" s="10">
        <f>IF(OR(O202="",$D202=""),"",O202*(1-P202/100)-$D202-IF(O202&lt;=199.99,Kargo!$E$2,IF(O202&lt;=399.99,Kargo!$E$3,$F202)))</f>
        <v/>
      </c>
      <c r="R202" s="12">
        <f>IF(Q202="","",Q202/O202)</f>
        <v/>
      </c>
      <c r="S202" s="10">
        <f>IF($B202="","",IF('Komisyon Tarifeleri'!N202="","",'Komisyon Tarifeleri'!N202))</f>
        <v/>
      </c>
      <c r="T202" s="11">
        <f>IF(S202="","",IF($AM$1=2,'Komisyon Tarifeleri'!X202,'Komisyon Tarifeleri'!S202))</f>
        <v/>
      </c>
      <c r="U202" s="10">
        <f>IF(OR(S202="",$D202=""),"",S202*(1-T202/100)-$D202-IF(S202&lt;=199.99,Kargo!$E$2,IF(S202&lt;=399.99,Kargo!$E$3,$F202)))</f>
        <v/>
      </c>
      <c r="V202" s="12">
        <f>IF(U202="","",U202/S202)</f>
        <v/>
      </c>
      <c r="W202" s="12">
        <f>IF($B202="","",IFERROR(VLOOKUP($C202,Hedefler!$A:$C,2,FALSE),0.04))</f>
        <v/>
      </c>
      <c r="X202" s="12">
        <f>IF($B202="","",IFERROR(VLOOKUP($C202,Hedefler!$A:$C,3,FALSE),0.1))</f>
        <v/>
      </c>
      <c r="Y202" s="13">
        <f>IF($B202="","",IFERROR(VLOOKUP($B202,Maliyetler!$A:$E,5,FALSE),""))</f>
        <v/>
      </c>
      <c r="Z202" s="13">
        <f>IF(OR(Y202="",Y202=0),"",Y202-1)</f>
        <v/>
      </c>
      <c r="AA202" s="14">
        <f>IF(Z202="","",IF(Z202&gt;='Komisyon Tarifeleri'!I202,IF($AM$1=2,'Komisyon Tarifeleri'!U202,'Komisyon Tarifeleri'!P202),IF(Z202&gt;='Komisyon Tarifeleri'!K202,IF($AM$1=2,'Komisyon Tarifeleri'!V202,'Komisyon Tarifeleri'!Q202),IF(Z202&gt;='Komisyon Tarifeleri'!M202,IF($AM$1=2,'Komisyon Tarifeleri'!W202,'Komisyon Tarifeleri'!R202),IF($AM$1=2,'Komisyon Tarifeleri'!X202,'Komisyon Tarifeleri'!S202)))))</f>
        <v/>
      </c>
      <c r="AB202" s="13">
        <f>IF(OR(AA202="",$D202=""),"",Z202*(1-AA202/100)-$D202-IF(Z202&lt;=199.99,Kargo!$E$2,IF(Z202&lt;=399.99,Kargo!$E$3,$F202)))</f>
        <v/>
      </c>
      <c r="AC202" s="15">
        <f>IF(AB202="","",AB202/Z202)</f>
        <v/>
      </c>
      <c r="AD202" s="10">
        <f>IF(OR($D202="",$B202=""),"",IF(AND((1-T202/100-W202)&gt;0,CEILING(($D202+$F202)/(1-T202/100-W202),1)&lt;='Komisyon Tarifeleri'!N202),CEILING(($D202+$F202)/(1-T202/100-W202),1),IF(AND((1-P202/100-W202)&gt;0,CEILING(MAX('Komisyon Tarifeleri'!M202,($D202+$F202)/(1-P202/100-W202)),1)&lt;='Komisyon Tarifeleri'!L202),CEILING(MAX('Komisyon Tarifeleri'!M202,($D202+$F202)/(1-P202/100-W202)),1),IF(AND((1-L202/100-W202)&gt;0,CEILING(MAX('Komisyon Tarifeleri'!K202,($D202+$F202)/(1-L202/100-W202)),1)&lt;='Komisyon Tarifeleri'!J202),CEILING(MAX('Komisyon Tarifeleri'!K202,($D202+$F202)/(1-L202/100-W202)),1),IF((1-H202/100-W202)&gt;0,CEILING(MAX('Komisyon Tarifeleri'!I202,($D202+$F202)/(1-H202/100-W202)),1),"İMKÂNSIZ")))))</f>
        <v/>
      </c>
      <c r="AE202" s="10">
        <f>IF(OR($D202="",$B202=""),"",IF(AND((1-T202/100-X202)&gt;0,CEILING(($D202+$F202)/(1-T202/100-X202),1)&lt;='Komisyon Tarifeleri'!N202),CEILING(($D202+$F202)/(1-T202/100-X202),1),IF(AND((1-P202/100-X202)&gt;0,CEILING(MAX('Komisyon Tarifeleri'!M202,($D202+$F202)/(1-P202/100-X202)),1)&lt;='Komisyon Tarifeleri'!L202),CEILING(MAX('Komisyon Tarifeleri'!M202,($D202+$F202)/(1-P202/100-X202)),1),IF(AND((1-L202/100-X202)&gt;0,CEILING(MAX('Komisyon Tarifeleri'!K202,($D202+$F202)/(1-L202/100-X202)),1)&lt;='Komisyon Tarifeleri'!J202),CEILING(MAX('Komisyon Tarifeleri'!K202,($D202+$F202)/(1-L202/100-X202)),1),IF((1-H202/100-X202)&gt;0,CEILING(MAX('Komisyon Tarifeleri'!I202,($D202+$F202)/(1-H202/100-X202)),1),"İMKÂNSIZ")))))</f>
        <v/>
      </c>
      <c r="AF202" s="16">
        <f>IF($D202="","",IF(AND(Y202&lt;&gt;"",AC202&lt;&gt;"",AC202&gt;=W202),Z202,IF(Y202&lt;&gt;"",AD202,AE202)))</f>
        <v/>
      </c>
      <c r="AG202" s="16">
        <f>IF(OR(AF202="",AF202="İMKÂNSIZ"),"",AF202*(1-IF(AF202&gt;='Komisyon Tarifeleri'!I202,IF($AM$1=2,'Komisyon Tarifeleri'!U202,'Komisyon Tarifeleri'!P202),IF(AF202&gt;='Komisyon Tarifeleri'!K202,IF($AM$1=2,'Komisyon Tarifeleri'!V202,'Komisyon Tarifeleri'!Q202),IF(AF202&gt;='Komisyon Tarifeleri'!M202,IF($AM$1=2,'Komisyon Tarifeleri'!W202,'Komisyon Tarifeleri'!R202),IF($AM$1=2,'Komisyon Tarifeleri'!X202,'Komisyon Tarifeleri'!S202))))/100)-$D202-IF(AF202&lt;=199.99,Kargo!$E$2,IF(AF202&lt;=399.99,Kargo!$E$3,$F202)))</f>
        <v/>
      </c>
      <c r="AH202" s="17">
        <f>IF(AG202="","",AG202/AF202)</f>
        <v/>
      </c>
      <c r="AI202" s="18">
        <f>IF($D202="","",IF(Y202="","BUYBOX YOK → hedef kârla min fiyat",IF(AC202&gt;=W202,"✓ BUYBOX ALTINA GİR","BUYBOX ALTI KÂRSIZ → min kârlı fiyat")))</f>
        <v/>
      </c>
      <c r="AJ202" s="10">
        <f>IF($B202="","",IFERROR(VLOOKUP($B202,Maliyetler!$A:$G,6,FALSE),""))</f>
        <v/>
      </c>
      <c r="AK202">
        <f>IF($B202="","",IFERROR(VLOOKUP($B202,Maliyetler!$A:$G,7,FALSE),""))</f>
        <v/>
      </c>
      <c r="AO202" s="21">
        <f>IF($B202="","",IFERROR(VLOOKUP($B202&amp;"",'Plus Tarifeleri'!$C:$Q,11,FALSE),""))</f>
        <v/>
      </c>
      <c r="AP202" s="22">
        <f>IF(AO202="","",IFERROR(IF($AM$1=2,VLOOKUP($B202&amp;"",'Plus Tarifeleri'!$C:$Q,15,FALSE),VLOOKUP($B202&amp;"",'Plus Tarifeleri'!$C:$Q,13,FALSE)),""))</f>
        <v/>
      </c>
      <c r="AQ202" s="21">
        <f>IF(OR(AO202="",AP202="",$D202=""),"",AO202*(1-AP202/100)-$D202-IF(AO202&lt;=199.99,Kargo!$E$2,IF(AO202&lt;=399.99,Kargo!$E$3,$F202)))</f>
        <v/>
      </c>
      <c r="AR202" s="23">
        <f>IF(AQ202="","",AQ202/AO202)</f>
        <v/>
      </c>
      <c r="AS202" s="24">
        <f>IF(OR(AQ202="",AG202=""),"",AQ202-AG202)</f>
        <v/>
      </c>
    </row>
    <row r="203">
      <c r="A203">
        <f>IF('Komisyon Tarifeleri'!A203="","",'Komisyon Tarifeleri'!A203)</f>
        <v/>
      </c>
      <c r="B203">
        <f>IF('Komisyon Tarifeleri'!B203="","",'Komisyon Tarifeleri'!B203&amp;"")</f>
        <v/>
      </c>
      <c r="C203">
        <f>IF($B203="","",'Komisyon Tarifeleri'!F203)</f>
        <v/>
      </c>
      <c r="D203" s="10">
        <f>IF($B203="","",IFERROR(VLOOKUP($B203,Maliyetler!$A:$E,3,FALSE),""))</f>
        <v/>
      </c>
      <c r="E203">
        <f>IF($B203="","",IFERROR(VLOOKUP($B203,Maliyetler!$A:$E,4,FALSE),1))</f>
        <v/>
      </c>
      <c r="F203" s="10">
        <f>IF($B203="","",IFERROR(VLOOKUP(MIN(20,MAX(1,ROUND($E203,0))),Kargo!$A:$B,2,FALSE),99.46))</f>
        <v/>
      </c>
      <c r="G203" s="10">
        <f>IF($B203="","",IF(IF(N('Komisyon Tarifeleri'!AA203)&gt;='Komisyon Tarifeleri'!I203,'Komisyon Tarifeleri'!AA203,'Komisyon Tarifeleri'!I203)="","",IF(N('Komisyon Tarifeleri'!AA203)&gt;='Komisyon Tarifeleri'!I203,'Komisyon Tarifeleri'!AA203,'Komisyon Tarifeleri'!I203)))</f>
        <v/>
      </c>
      <c r="H203" s="11">
        <f>IF(G203="","",IF($AM$1=2,'Komisyon Tarifeleri'!U203,'Komisyon Tarifeleri'!P203))</f>
        <v/>
      </c>
      <c r="I203" s="10">
        <f>IF(OR(G203="",$D203=""),"",G203*(1-H203/100)-$D203-IF(G203&lt;=199.99,Kargo!$E$2,IF(G203&lt;=399.99,Kargo!$E$3,$F203)))</f>
        <v/>
      </c>
      <c r="J203" s="12">
        <f>IF(I203="","",I203/G203)</f>
        <v/>
      </c>
      <c r="K203" s="10">
        <f>IF($B203="","",IF('Komisyon Tarifeleri'!J203="","",'Komisyon Tarifeleri'!J203))</f>
        <v/>
      </c>
      <c r="L203" s="11">
        <f>IF(K203="","",IF($AM$1=2,'Komisyon Tarifeleri'!V203,'Komisyon Tarifeleri'!Q203))</f>
        <v/>
      </c>
      <c r="M203" s="10">
        <f>IF(OR(K203="",$D203=""),"",K203*(1-L203/100)-$D203-IF(K203&lt;=199.99,Kargo!$E$2,IF(K203&lt;=399.99,Kargo!$E$3,$F203)))</f>
        <v/>
      </c>
      <c r="N203" s="12">
        <f>IF(M203="","",M203/K203)</f>
        <v/>
      </c>
      <c r="O203" s="10">
        <f>IF($B203="","",IF('Komisyon Tarifeleri'!L203="","",'Komisyon Tarifeleri'!L203))</f>
        <v/>
      </c>
      <c r="P203" s="11">
        <f>IF(O203="","",IF($AM$1=2,'Komisyon Tarifeleri'!W203,'Komisyon Tarifeleri'!R203))</f>
        <v/>
      </c>
      <c r="Q203" s="10">
        <f>IF(OR(O203="",$D203=""),"",O203*(1-P203/100)-$D203-IF(O203&lt;=199.99,Kargo!$E$2,IF(O203&lt;=399.99,Kargo!$E$3,$F203)))</f>
        <v/>
      </c>
      <c r="R203" s="12">
        <f>IF(Q203="","",Q203/O203)</f>
        <v/>
      </c>
      <c r="S203" s="10">
        <f>IF($B203="","",IF('Komisyon Tarifeleri'!N203="","",'Komisyon Tarifeleri'!N203))</f>
        <v/>
      </c>
      <c r="T203" s="11">
        <f>IF(S203="","",IF($AM$1=2,'Komisyon Tarifeleri'!X203,'Komisyon Tarifeleri'!S203))</f>
        <v/>
      </c>
      <c r="U203" s="10">
        <f>IF(OR(S203="",$D203=""),"",S203*(1-T203/100)-$D203-IF(S203&lt;=199.99,Kargo!$E$2,IF(S203&lt;=399.99,Kargo!$E$3,$F203)))</f>
        <v/>
      </c>
      <c r="V203" s="12">
        <f>IF(U203="","",U203/S203)</f>
        <v/>
      </c>
      <c r="W203" s="12">
        <f>IF($B203="","",IFERROR(VLOOKUP($C203,Hedefler!$A:$C,2,FALSE),0.04))</f>
        <v/>
      </c>
      <c r="X203" s="12">
        <f>IF($B203="","",IFERROR(VLOOKUP($C203,Hedefler!$A:$C,3,FALSE),0.1))</f>
        <v/>
      </c>
      <c r="Y203" s="13">
        <f>IF($B203="","",IFERROR(VLOOKUP($B203,Maliyetler!$A:$E,5,FALSE),""))</f>
        <v/>
      </c>
      <c r="Z203" s="13">
        <f>IF(OR(Y203="",Y203=0),"",Y203-1)</f>
        <v/>
      </c>
      <c r="AA203" s="14">
        <f>IF(Z203="","",IF(Z203&gt;='Komisyon Tarifeleri'!I203,IF($AM$1=2,'Komisyon Tarifeleri'!U203,'Komisyon Tarifeleri'!P203),IF(Z203&gt;='Komisyon Tarifeleri'!K203,IF($AM$1=2,'Komisyon Tarifeleri'!V203,'Komisyon Tarifeleri'!Q203),IF(Z203&gt;='Komisyon Tarifeleri'!M203,IF($AM$1=2,'Komisyon Tarifeleri'!W203,'Komisyon Tarifeleri'!R203),IF($AM$1=2,'Komisyon Tarifeleri'!X203,'Komisyon Tarifeleri'!S203)))))</f>
        <v/>
      </c>
      <c r="AB203" s="13">
        <f>IF(OR(AA203="",$D203=""),"",Z203*(1-AA203/100)-$D203-IF(Z203&lt;=199.99,Kargo!$E$2,IF(Z203&lt;=399.99,Kargo!$E$3,$F203)))</f>
        <v/>
      </c>
      <c r="AC203" s="15">
        <f>IF(AB203="","",AB203/Z203)</f>
        <v/>
      </c>
      <c r="AD203" s="10">
        <f>IF(OR($D203="",$B203=""),"",IF(AND((1-T203/100-W203)&gt;0,CEILING(($D203+$F203)/(1-T203/100-W203),1)&lt;='Komisyon Tarifeleri'!N203),CEILING(($D203+$F203)/(1-T203/100-W203),1),IF(AND((1-P203/100-W203)&gt;0,CEILING(MAX('Komisyon Tarifeleri'!M203,($D203+$F203)/(1-P203/100-W203)),1)&lt;='Komisyon Tarifeleri'!L203),CEILING(MAX('Komisyon Tarifeleri'!M203,($D203+$F203)/(1-P203/100-W203)),1),IF(AND((1-L203/100-W203)&gt;0,CEILING(MAX('Komisyon Tarifeleri'!K203,($D203+$F203)/(1-L203/100-W203)),1)&lt;='Komisyon Tarifeleri'!J203),CEILING(MAX('Komisyon Tarifeleri'!K203,($D203+$F203)/(1-L203/100-W203)),1),IF((1-H203/100-W203)&gt;0,CEILING(MAX('Komisyon Tarifeleri'!I203,($D203+$F203)/(1-H203/100-W203)),1),"İMKÂNSIZ")))))</f>
        <v/>
      </c>
      <c r="AE203" s="10">
        <f>IF(OR($D203="",$B203=""),"",IF(AND((1-T203/100-X203)&gt;0,CEILING(($D203+$F203)/(1-T203/100-X203),1)&lt;='Komisyon Tarifeleri'!N203),CEILING(($D203+$F203)/(1-T203/100-X203),1),IF(AND((1-P203/100-X203)&gt;0,CEILING(MAX('Komisyon Tarifeleri'!M203,($D203+$F203)/(1-P203/100-X203)),1)&lt;='Komisyon Tarifeleri'!L203),CEILING(MAX('Komisyon Tarifeleri'!M203,($D203+$F203)/(1-P203/100-X203)),1),IF(AND((1-L203/100-X203)&gt;0,CEILING(MAX('Komisyon Tarifeleri'!K203,($D203+$F203)/(1-L203/100-X203)),1)&lt;='Komisyon Tarifeleri'!J203),CEILING(MAX('Komisyon Tarifeleri'!K203,($D203+$F203)/(1-L203/100-X203)),1),IF((1-H203/100-X203)&gt;0,CEILING(MAX('Komisyon Tarifeleri'!I203,($D203+$F203)/(1-H203/100-X203)),1),"İMKÂNSIZ")))))</f>
        <v/>
      </c>
      <c r="AF203" s="16">
        <f>IF($D203="","",IF(AND(Y203&lt;&gt;"",AC203&lt;&gt;"",AC203&gt;=W203),Z203,IF(Y203&lt;&gt;"",AD203,AE203)))</f>
        <v/>
      </c>
      <c r="AG203" s="16">
        <f>IF(OR(AF203="",AF203="İMKÂNSIZ"),"",AF203*(1-IF(AF203&gt;='Komisyon Tarifeleri'!I203,IF($AM$1=2,'Komisyon Tarifeleri'!U203,'Komisyon Tarifeleri'!P203),IF(AF203&gt;='Komisyon Tarifeleri'!K203,IF($AM$1=2,'Komisyon Tarifeleri'!V203,'Komisyon Tarifeleri'!Q203),IF(AF203&gt;='Komisyon Tarifeleri'!M203,IF($AM$1=2,'Komisyon Tarifeleri'!W203,'Komisyon Tarifeleri'!R203),IF($AM$1=2,'Komisyon Tarifeleri'!X203,'Komisyon Tarifeleri'!S203))))/100)-$D203-IF(AF203&lt;=199.99,Kargo!$E$2,IF(AF203&lt;=399.99,Kargo!$E$3,$F203)))</f>
        <v/>
      </c>
      <c r="AH203" s="17">
        <f>IF(AG203="","",AG203/AF203)</f>
        <v/>
      </c>
      <c r="AI203" s="18">
        <f>IF($D203="","",IF(Y203="","BUYBOX YOK → hedef kârla min fiyat",IF(AC203&gt;=W203,"✓ BUYBOX ALTINA GİR","BUYBOX ALTI KÂRSIZ → min kârlı fiyat")))</f>
        <v/>
      </c>
      <c r="AJ203" s="10">
        <f>IF($B203="","",IFERROR(VLOOKUP($B203,Maliyetler!$A:$G,6,FALSE),""))</f>
        <v/>
      </c>
      <c r="AK203">
        <f>IF($B203="","",IFERROR(VLOOKUP($B203,Maliyetler!$A:$G,7,FALSE),""))</f>
        <v/>
      </c>
      <c r="AO203" s="21">
        <f>IF($B203="","",IFERROR(VLOOKUP($B203&amp;"",'Plus Tarifeleri'!$C:$Q,11,FALSE),""))</f>
        <v/>
      </c>
      <c r="AP203" s="22">
        <f>IF(AO203="","",IFERROR(IF($AM$1=2,VLOOKUP($B203&amp;"",'Plus Tarifeleri'!$C:$Q,15,FALSE),VLOOKUP($B203&amp;"",'Plus Tarifeleri'!$C:$Q,13,FALSE)),""))</f>
        <v/>
      </c>
      <c r="AQ203" s="21">
        <f>IF(OR(AO203="",AP203="",$D203=""),"",AO203*(1-AP203/100)-$D203-IF(AO203&lt;=199.99,Kargo!$E$2,IF(AO203&lt;=399.99,Kargo!$E$3,$F203)))</f>
        <v/>
      </c>
      <c r="AR203" s="23">
        <f>IF(AQ203="","",AQ203/AO203)</f>
        <v/>
      </c>
      <c r="AS203" s="24">
        <f>IF(OR(AQ203="",AG203=""),"",AQ203-AG203)</f>
        <v/>
      </c>
    </row>
    <row r="204">
      <c r="A204">
        <f>IF('Komisyon Tarifeleri'!A204="","",'Komisyon Tarifeleri'!A204)</f>
        <v/>
      </c>
      <c r="B204">
        <f>IF('Komisyon Tarifeleri'!B204="","",'Komisyon Tarifeleri'!B204&amp;"")</f>
        <v/>
      </c>
      <c r="C204">
        <f>IF($B204="","",'Komisyon Tarifeleri'!F204)</f>
        <v/>
      </c>
      <c r="D204" s="10">
        <f>IF($B204="","",IFERROR(VLOOKUP($B204,Maliyetler!$A:$E,3,FALSE),""))</f>
        <v/>
      </c>
      <c r="E204">
        <f>IF($B204="","",IFERROR(VLOOKUP($B204,Maliyetler!$A:$E,4,FALSE),1))</f>
        <v/>
      </c>
      <c r="F204" s="10">
        <f>IF($B204="","",IFERROR(VLOOKUP(MIN(20,MAX(1,ROUND($E204,0))),Kargo!$A:$B,2,FALSE),99.46))</f>
        <v/>
      </c>
      <c r="G204" s="10">
        <f>IF($B204="","",IF(IF(N('Komisyon Tarifeleri'!AA204)&gt;='Komisyon Tarifeleri'!I204,'Komisyon Tarifeleri'!AA204,'Komisyon Tarifeleri'!I204)="","",IF(N('Komisyon Tarifeleri'!AA204)&gt;='Komisyon Tarifeleri'!I204,'Komisyon Tarifeleri'!AA204,'Komisyon Tarifeleri'!I204)))</f>
        <v/>
      </c>
      <c r="H204" s="11">
        <f>IF(G204="","",IF($AM$1=2,'Komisyon Tarifeleri'!U204,'Komisyon Tarifeleri'!P204))</f>
        <v/>
      </c>
      <c r="I204" s="10">
        <f>IF(OR(G204="",$D204=""),"",G204*(1-H204/100)-$D204-IF(G204&lt;=199.99,Kargo!$E$2,IF(G204&lt;=399.99,Kargo!$E$3,$F204)))</f>
        <v/>
      </c>
      <c r="J204" s="12">
        <f>IF(I204="","",I204/G204)</f>
        <v/>
      </c>
      <c r="K204" s="10">
        <f>IF($B204="","",IF('Komisyon Tarifeleri'!J204="","",'Komisyon Tarifeleri'!J204))</f>
        <v/>
      </c>
      <c r="L204" s="11">
        <f>IF(K204="","",IF($AM$1=2,'Komisyon Tarifeleri'!V204,'Komisyon Tarifeleri'!Q204))</f>
        <v/>
      </c>
      <c r="M204" s="10">
        <f>IF(OR(K204="",$D204=""),"",K204*(1-L204/100)-$D204-IF(K204&lt;=199.99,Kargo!$E$2,IF(K204&lt;=399.99,Kargo!$E$3,$F204)))</f>
        <v/>
      </c>
      <c r="N204" s="12">
        <f>IF(M204="","",M204/K204)</f>
        <v/>
      </c>
      <c r="O204" s="10">
        <f>IF($B204="","",IF('Komisyon Tarifeleri'!L204="","",'Komisyon Tarifeleri'!L204))</f>
        <v/>
      </c>
      <c r="P204" s="11">
        <f>IF(O204="","",IF($AM$1=2,'Komisyon Tarifeleri'!W204,'Komisyon Tarifeleri'!R204))</f>
        <v/>
      </c>
      <c r="Q204" s="10">
        <f>IF(OR(O204="",$D204=""),"",O204*(1-P204/100)-$D204-IF(O204&lt;=199.99,Kargo!$E$2,IF(O204&lt;=399.99,Kargo!$E$3,$F204)))</f>
        <v/>
      </c>
      <c r="R204" s="12">
        <f>IF(Q204="","",Q204/O204)</f>
        <v/>
      </c>
      <c r="S204" s="10">
        <f>IF($B204="","",IF('Komisyon Tarifeleri'!N204="","",'Komisyon Tarifeleri'!N204))</f>
        <v/>
      </c>
      <c r="T204" s="11">
        <f>IF(S204="","",IF($AM$1=2,'Komisyon Tarifeleri'!X204,'Komisyon Tarifeleri'!S204))</f>
        <v/>
      </c>
      <c r="U204" s="10">
        <f>IF(OR(S204="",$D204=""),"",S204*(1-T204/100)-$D204-IF(S204&lt;=199.99,Kargo!$E$2,IF(S204&lt;=399.99,Kargo!$E$3,$F204)))</f>
        <v/>
      </c>
      <c r="V204" s="12">
        <f>IF(U204="","",U204/S204)</f>
        <v/>
      </c>
      <c r="W204" s="12">
        <f>IF($B204="","",IFERROR(VLOOKUP($C204,Hedefler!$A:$C,2,FALSE),0.04))</f>
        <v/>
      </c>
      <c r="X204" s="12">
        <f>IF($B204="","",IFERROR(VLOOKUP($C204,Hedefler!$A:$C,3,FALSE),0.1))</f>
        <v/>
      </c>
      <c r="Y204" s="13">
        <f>IF($B204="","",IFERROR(VLOOKUP($B204,Maliyetler!$A:$E,5,FALSE),""))</f>
        <v/>
      </c>
      <c r="Z204" s="13">
        <f>IF(OR(Y204="",Y204=0),"",Y204-1)</f>
        <v/>
      </c>
      <c r="AA204" s="14">
        <f>IF(Z204="","",IF(Z204&gt;='Komisyon Tarifeleri'!I204,IF($AM$1=2,'Komisyon Tarifeleri'!U204,'Komisyon Tarifeleri'!P204),IF(Z204&gt;='Komisyon Tarifeleri'!K204,IF($AM$1=2,'Komisyon Tarifeleri'!V204,'Komisyon Tarifeleri'!Q204),IF(Z204&gt;='Komisyon Tarifeleri'!M204,IF($AM$1=2,'Komisyon Tarifeleri'!W204,'Komisyon Tarifeleri'!R204),IF($AM$1=2,'Komisyon Tarifeleri'!X204,'Komisyon Tarifeleri'!S204)))))</f>
        <v/>
      </c>
      <c r="AB204" s="13">
        <f>IF(OR(AA204="",$D204=""),"",Z204*(1-AA204/100)-$D204-IF(Z204&lt;=199.99,Kargo!$E$2,IF(Z204&lt;=399.99,Kargo!$E$3,$F204)))</f>
        <v/>
      </c>
      <c r="AC204" s="15">
        <f>IF(AB204="","",AB204/Z204)</f>
        <v/>
      </c>
      <c r="AD204" s="10">
        <f>IF(OR($D204="",$B204=""),"",IF(AND((1-T204/100-W204)&gt;0,CEILING(($D204+$F204)/(1-T204/100-W204),1)&lt;='Komisyon Tarifeleri'!N204),CEILING(($D204+$F204)/(1-T204/100-W204),1),IF(AND((1-P204/100-W204)&gt;0,CEILING(MAX('Komisyon Tarifeleri'!M204,($D204+$F204)/(1-P204/100-W204)),1)&lt;='Komisyon Tarifeleri'!L204),CEILING(MAX('Komisyon Tarifeleri'!M204,($D204+$F204)/(1-P204/100-W204)),1),IF(AND((1-L204/100-W204)&gt;0,CEILING(MAX('Komisyon Tarifeleri'!K204,($D204+$F204)/(1-L204/100-W204)),1)&lt;='Komisyon Tarifeleri'!J204),CEILING(MAX('Komisyon Tarifeleri'!K204,($D204+$F204)/(1-L204/100-W204)),1),IF((1-H204/100-W204)&gt;0,CEILING(MAX('Komisyon Tarifeleri'!I204,($D204+$F204)/(1-H204/100-W204)),1),"İMKÂNSIZ")))))</f>
        <v/>
      </c>
      <c r="AE204" s="10">
        <f>IF(OR($D204="",$B204=""),"",IF(AND((1-T204/100-X204)&gt;0,CEILING(($D204+$F204)/(1-T204/100-X204),1)&lt;='Komisyon Tarifeleri'!N204),CEILING(($D204+$F204)/(1-T204/100-X204),1),IF(AND((1-P204/100-X204)&gt;0,CEILING(MAX('Komisyon Tarifeleri'!M204,($D204+$F204)/(1-P204/100-X204)),1)&lt;='Komisyon Tarifeleri'!L204),CEILING(MAX('Komisyon Tarifeleri'!M204,($D204+$F204)/(1-P204/100-X204)),1),IF(AND((1-L204/100-X204)&gt;0,CEILING(MAX('Komisyon Tarifeleri'!K204,($D204+$F204)/(1-L204/100-X204)),1)&lt;='Komisyon Tarifeleri'!J204),CEILING(MAX('Komisyon Tarifeleri'!K204,($D204+$F204)/(1-L204/100-X204)),1),IF((1-H204/100-X204)&gt;0,CEILING(MAX('Komisyon Tarifeleri'!I204,($D204+$F204)/(1-H204/100-X204)),1),"İMKÂNSIZ")))))</f>
        <v/>
      </c>
      <c r="AF204" s="16">
        <f>IF($D204="","",IF(AND(Y204&lt;&gt;"",AC204&lt;&gt;"",AC204&gt;=W204),Z204,IF(Y204&lt;&gt;"",AD204,AE204)))</f>
        <v/>
      </c>
      <c r="AG204" s="16">
        <f>IF(OR(AF204="",AF204="İMKÂNSIZ"),"",AF204*(1-IF(AF204&gt;='Komisyon Tarifeleri'!I204,IF($AM$1=2,'Komisyon Tarifeleri'!U204,'Komisyon Tarifeleri'!P204),IF(AF204&gt;='Komisyon Tarifeleri'!K204,IF($AM$1=2,'Komisyon Tarifeleri'!V204,'Komisyon Tarifeleri'!Q204),IF(AF204&gt;='Komisyon Tarifeleri'!M204,IF($AM$1=2,'Komisyon Tarifeleri'!W204,'Komisyon Tarifeleri'!R204),IF($AM$1=2,'Komisyon Tarifeleri'!X204,'Komisyon Tarifeleri'!S204))))/100)-$D204-IF(AF204&lt;=199.99,Kargo!$E$2,IF(AF204&lt;=399.99,Kargo!$E$3,$F204)))</f>
        <v/>
      </c>
      <c r="AH204" s="17">
        <f>IF(AG204="","",AG204/AF204)</f>
        <v/>
      </c>
      <c r="AI204" s="18">
        <f>IF($D204="","",IF(Y204="","BUYBOX YOK → hedef kârla min fiyat",IF(AC204&gt;=W204,"✓ BUYBOX ALTINA GİR","BUYBOX ALTI KÂRSIZ → min kârlı fiyat")))</f>
        <v/>
      </c>
      <c r="AJ204" s="10">
        <f>IF($B204="","",IFERROR(VLOOKUP($B204,Maliyetler!$A:$G,6,FALSE),""))</f>
        <v/>
      </c>
      <c r="AK204">
        <f>IF($B204="","",IFERROR(VLOOKUP($B204,Maliyetler!$A:$G,7,FALSE),""))</f>
        <v/>
      </c>
      <c r="AO204" s="21">
        <f>IF($B204="","",IFERROR(VLOOKUP($B204&amp;"",'Plus Tarifeleri'!$C:$Q,11,FALSE),""))</f>
        <v/>
      </c>
      <c r="AP204" s="22">
        <f>IF(AO204="","",IFERROR(IF($AM$1=2,VLOOKUP($B204&amp;"",'Plus Tarifeleri'!$C:$Q,15,FALSE),VLOOKUP($B204&amp;"",'Plus Tarifeleri'!$C:$Q,13,FALSE)),""))</f>
        <v/>
      </c>
      <c r="AQ204" s="21">
        <f>IF(OR(AO204="",AP204="",$D204=""),"",AO204*(1-AP204/100)-$D204-IF(AO204&lt;=199.99,Kargo!$E$2,IF(AO204&lt;=399.99,Kargo!$E$3,$F204)))</f>
        <v/>
      </c>
      <c r="AR204" s="23">
        <f>IF(AQ204="","",AQ204/AO204)</f>
        <v/>
      </c>
      <c r="AS204" s="24">
        <f>IF(OR(AQ204="",AG204=""),"",AQ204-AG204)</f>
        <v/>
      </c>
    </row>
    <row r="205">
      <c r="A205">
        <f>IF('Komisyon Tarifeleri'!A205="","",'Komisyon Tarifeleri'!A205)</f>
        <v/>
      </c>
      <c r="B205">
        <f>IF('Komisyon Tarifeleri'!B205="","",'Komisyon Tarifeleri'!B205&amp;"")</f>
        <v/>
      </c>
      <c r="C205">
        <f>IF($B205="","",'Komisyon Tarifeleri'!F205)</f>
        <v/>
      </c>
      <c r="D205" s="10">
        <f>IF($B205="","",IFERROR(VLOOKUP($B205,Maliyetler!$A:$E,3,FALSE),""))</f>
        <v/>
      </c>
      <c r="E205">
        <f>IF($B205="","",IFERROR(VLOOKUP($B205,Maliyetler!$A:$E,4,FALSE),1))</f>
        <v/>
      </c>
      <c r="F205" s="10">
        <f>IF($B205="","",IFERROR(VLOOKUP(MIN(20,MAX(1,ROUND($E205,0))),Kargo!$A:$B,2,FALSE),99.46))</f>
        <v/>
      </c>
      <c r="G205" s="10">
        <f>IF($B205="","",IF(IF(N('Komisyon Tarifeleri'!AA205)&gt;='Komisyon Tarifeleri'!I205,'Komisyon Tarifeleri'!AA205,'Komisyon Tarifeleri'!I205)="","",IF(N('Komisyon Tarifeleri'!AA205)&gt;='Komisyon Tarifeleri'!I205,'Komisyon Tarifeleri'!AA205,'Komisyon Tarifeleri'!I205)))</f>
        <v/>
      </c>
      <c r="H205" s="11">
        <f>IF(G205="","",IF($AM$1=2,'Komisyon Tarifeleri'!U205,'Komisyon Tarifeleri'!P205))</f>
        <v/>
      </c>
      <c r="I205" s="10">
        <f>IF(OR(G205="",$D205=""),"",G205*(1-H205/100)-$D205-IF(G205&lt;=199.99,Kargo!$E$2,IF(G205&lt;=399.99,Kargo!$E$3,$F205)))</f>
        <v/>
      </c>
      <c r="J205" s="12">
        <f>IF(I205="","",I205/G205)</f>
        <v/>
      </c>
      <c r="K205" s="10">
        <f>IF($B205="","",IF('Komisyon Tarifeleri'!J205="","",'Komisyon Tarifeleri'!J205))</f>
        <v/>
      </c>
      <c r="L205" s="11">
        <f>IF(K205="","",IF($AM$1=2,'Komisyon Tarifeleri'!V205,'Komisyon Tarifeleri'!Q205))</f>
        <v/>
      </c>
      <c r="M205" s="10">
        <f>IF(OR(K205="",$D205=""),"",K205*(1-L205/100)-$D205-IF(K205&lt;=199.99,Kargo!$E$2,IF(K205&lt;=399.99,Kargo!$E$3,$F205)))</f>
        <v/>
      </c>
      <c r="N205" s="12">
        <f>IF(M205="","",M205/K205)</f>
        <v/>
      </c>
      <c r="O205" s="10">
        <f>IF($B205="","",IF('Komisyon Tarifeleri'!L205="","",'Komisyon Tarifeleri'!L205))</f>
        <v/>
      </c>
      <c r="P205" s="11">
        <f>IF(O205="","",IF($AM$1=2,'Komisyon Tarifeleri'!W205,'Komisyon Tarifeleri'!R205))</f>
        <v/>
      </c>
      <c r="Q205" s="10">
        <f>IF(OR(O205="",$D205=""),"",O205*(1-P205/100)-$D205-IF(O205&lt;=199.99,Kargo!$E$2,IF(O205&lt;=399.99,Kargo!$E$3,$F205)))</f>
        <v/>
      </c>
      <c r="R205" s="12">
        <f>IF(Q205="","",Q205/O205)</f>
        <v/>
      </c>
      <c r="S205" s="10">
        <f>IF($B205="","",IF('Komisyon Tarifeleri'!N205="","",'Komisyon Tarifeleri'!N205))</f>
        <v/>
      </c>
      <c r="T205" s="11">
        <f>IF(S205="","",IF($AM$1=2,'Komisyon Tarifeleri'!X205,'Komisyon Tarifeleri'!S205))</f>
        <v/>
      </c>
      <c r="U205" s="10">
        <f>IF(OR(S205="",$D205=""),"",S205*(1-T205/100)-$D205-IF(S205&lt;=199.99,Kargo!$E$2,IF(S205&lt;=399.99,Kargo!$E$3,$F205)))</f>
        <v/>
      </c>
      <c r="V205" s="12">
        <f>IF(U205="","",U205/S205)</f>
        <v/>
      </c>
      <c r="W205" s="12">
        <f>IF($B205="","",IFERROR(VLOOKUP($C205,Hedefler!$A:$C,2,FALSE),0.04))</f>
        <v/>
      </c>
      <c r="X205" s="12">
        <f>IF($B205="","",IFERROR(VLOOKUP($C205,Hedefler!$A:$C,3,FALSE),0.1))</f>
        <v/>
      </c>
      <c r="Y205" s="13">
        <f>IF($B205="","",IFERROR(VLOOKUP($B205,Maliyetler!$A:$E,5,FALSE),""))</f>
        <v/>
      </c>
      <c r="Z205" s="13">
        <f>IF(OR(Y205="",Y205=0),"",Y205-1)</f>
        <v/>
      </c>
      <c r="AA205" s="14">
        <f>IF(Z205="","",IF(Z205&gt;='Komisyon Tarifeleri'!I205,IF($AM$1=2,'Komisyon Tarifeleri'!U205,'Komisyon Tarifeleri'!P205),IF(Z205&gt;='Komisyon Tarifeleri'!K205,IF($AM$1=2,'Komisyon Tarifeleri'!V205,'Komisyon Tarifeleri'!Q205),IF(Z205&gt;='Komisyon Tarifeleri'!M205,IF($AM$1=2,'Komisyon Tarifeleri'!W205,'Komisyon Tarifeleri'!R205),IF($AM$1=2,'Komisyon Tarifeleri'!X205,'Komisyon Tarifeleri'!S205)))))</f>
        <v/>
      </c>
      <c r="AB205" s="13">
        <f>IF(OR(AA205="",$D205=""),"",Z205*(1-AA205/100)-$D205-IF(Z205&lt;=199.99,Kargo!$E$2,IF(Z205&lt;=399.99,Kargo!$E$3,$F205)))</f>
        <v/>
      </c>
      <c r="AC205" s="15">
        <f>IF(AB205="","",AB205/Z205)</f>
        <v/>
      </c>
      <c r="AD205" s="10">
        <f>IF(OR($D205="",$B205=""),"",IF(AND((1-T205/100-W205)&gt;0,CEILING(($D205+$F205)/(1-T205/100-W205),1)&lt;='Komisyon Tarifeleri'!N205),CEILING(($D205+$F205)/(1-T205/100-W205),1),IF(AND((1-P205/100-W205)&gt;0,CEILING(MAX('Komisyon Tarifeleri'!M205,($D205+$F205)/(1-P205/100-W205)),1)&lt;='Komisyon Tarifeleri'!L205),CEILING(MAX('Komisyon Tarifeleri'!M205,($D205+$F205)/(1-P205/100-W205)),1),IF(AND((1-L205/100-W205)&gt;0,CEILING(MAX('Komisyon Tarifeleri'!K205,($D205+$F205)/(1-L205/100-W205)),1)&lt;='Komisyon Tarifeleri'!J205),CEILING(MAX('Komisyon Tarifeleri'!K205,($D205+$F205)/(1-L205/100-W205)),1),IF((1-H205/100-W205)&gt;0,CEILING(MAX('Komisyon Tarifeleri'!I205,($D205+$F205)/(1-H205/100-W205)),1),"İMKÂNSIZ")))))</f>
        <v/>
      </c>
      <c r="AE205" s="10">
        <f>IF(OR($D205="",$B205=""),"",IF(AND((1-T205/100-X205)&gt;0,CEILING(($D205+$F205)/(1-T205/100-X205),1)&lt;='Komisyon Tarifeleri'!N205),CEILING(($D205+$F205)/(1-T205/100-X205),1),IF(AND((1-P205/100-X205)&gt;0,CEILING(MAX('Komisyon Tarifeleri'!M205,($D205+$F205)/(1-P205/100-X205)),1)&lt;='Komisyon Tarifeleri'!L205),CEILING(MAX('Komisyon Tarifeleri'!M205,($D205+$F205)/(1-P205/100-X205)),1),IF(AND((1-L205/100-X205)&gt;0,CEILING(MAX('Komisyon Tarifeleri'!K205,($D205+$F205)/(1-L205/100-X205)),1)&lt;='Komisyon Tarifeleri'!J205),CEILING(MAX('Komisyon Tarifeleri'!K205,($D205+$F205)/(1-L205/100-X205)),1),IF((1-H205/100-X205)&gt;0,CEILING(MAX('Komisyon Tarifeleri'!I205,($D205+$F205)/(1-H205/100-X205)),1),"İMKÂNSIZ")))))</f>
        <v/>
      </c>
      <c r="AF205" s="16">
        <f>IF($D205="","",IF(AND(Y205&lt;&gt;"",AC205&lt;&gt;"",AC205&gt;=W205),Z205,IF(Y205&lt;&gt;"",AD205,AE205)))</f>
        <v/>
      </c>
      <c r="AG205" s="16">
        <f>IF(OR(AF205="",AF205="İMKÂNSIZ"),"",AF205*(1-IF(AF205&gt;='Komisyon Tarifeleri'!I205,IF($AM$1=2,'Komisyon Tarifeleri'!U205,'Komisyon Tarifeleri'!P205),IF(AF205&gt;='Komisyon Tarifeleri'!K205,IF($AM$1=2,'Komisyon Tarifeleri'!V205,'Komisyon Tarifeleri'!Q205),IF(AF205&gt;='Komisyon Tarifeleri'!M205,IF($AM$1=2,'Komisyon Tarifeleri'!W205,'Komisyon Tarifeleri'!R205),IF($AM$1=2,'Komisyon Tarifeleri'!X205,'Komisyon Tarifeleri'!S205))))/100)-$D205-IF(AF205&lt;=199.99,Kargo!$E$2,IF(AF205&lt;=399.99,Kargo!$E$3,$F205)))</f>
        <v/>
      </c>
      <c r="AH205" s="17">
        <f>IF(AG205="","",AG205/AF205)</f>
        <v/>
      </c>
      <c r="AI205" s="18">
        <f>IF($D205="","",IF(Y205="","BUYBOX YOK → hedef kârla min fiyat",IF(AC205&gt;=W205,"✓ BUYBOX ALTINA GİR","BUYBOX ALTI KÂRSIZ → min kârlı fiyat")))</f>
        <v/>
      </c>
      <c r="AJ205" s="10">
        <f>IF($B205="","",IFERROR(VLOOKUP($B205,Maliyetler!$A:$G,6,FALSE),""))</f>
        <v/>
      </c>
      <c r="AK205">
        <f>IF($B205="","",IFERROR(VLOOKUP($B205,Maliyetler!$A:$G,7,FALSE),""))</f>
        <v/>
      </c>
      <c r="AO205" s="21">
        <f>IF($B205="","",IFERROR(VLOOKUP($B205&amp;"",'Plus Tarifeleri'!$C:$Q,11,FALSE),""))</f>
        <v/>
      </c>
      <c r="AP205" s="22">
        <f>IF(AO205="","",IFERROR(IF($AM$1=2,VLOOKUP($B205&amp;"",'Plus Tarifeleri'!$C:$Q,15,FALSE),VLOOKUP($B205&amp;"",'Plus Tarifeleri'!$C:$Q,13,FALSE)),""))</f>
        <v/>
      </c>
      <c r="AQ205" s="21">
        <f>IF(OR(AO205="",AP205="",$D205=""),"",AO205*(1-AP205/100)-$D205-IF(AO205&lt;=199.99,Kargo!$E$2,IF(AO205&lt;=399.99,Kargo!$E$3,$F205)))</f>
        <v/>
      </c>
      <c r="AR205" s="23">
        <f>IF(AQ205="","",AQ205/AO205)</f>
        <v/>
      </c>
      <c r="AS205" s="24">
        <f>IF(OR(AQ205="",AG205=""),"",AQ205-AG205)</f>
        <v/>
      </c>
    </row>
    <row r="206">
      <c r="A206">
        <f>IF('Komisyon Tarifeleri'!A206="","",'Komisyon Tarifeleri'!A206)</f>
        <v/>
      </c>
      <c r="B206">
        <f>IF('Komisyon Tarifeleri'!B206="","",'Komisyon Tarifeleri'!B206&amp;"")</f>
        <v/>
      </c>
      <c r="C206">
        <f>IF($B206="","",'Komisyon Tarifeleri'!F206)</f>
        <v/>
      </c>
      <c r="D206" s="10">
        <f>IF($B206="","",IFERROR(VLOOKUP($B206,Maliyetler!$A:$E,3,FALSE),""))</f>
        <v/>
      </c>
      <c r="E206">
        <f>IF($B206="","",IFERROR(VLOOKUP($B206,Maliyetler!$A:$E,4,FALSE),1))</f>
        <v/>
      </c>
      <c r="F206" s="10">
        <f>IF($B206="","",IFERROR(VLOOKUP(MIN(20,MAX(1,ROUND($E206,0))),Kargo!$A:$B,2,FALSE),99.46))</f>
        <v/>
      </c>
      <c r="G206" s="10">
        <f>IF($B206="","",IF(IF(N('Komisyon Tarifeleri'!AA206)&gt;='Komisyon Tarifeleri'!I206,'Komisyon Tarifeleri'!AA206,'Komisyon Tarifeleri'!I206)="","",IF(N('Komisyon Tarifeleri'!AA206)&gt;='Komisyon Tarifeleri'!I206,'Komisyon Tarifeleri'!AA206,'Komisyon Tarifeleri'!I206)))</f>
        <v/>
      </c>
      <c r="H206" s="11">
        <f>IF(G206="","",IF($AM$1=2,'Komisyon Tarifeleri'!U206,'Komisyon Tarifeleri'!P206))</f>
        <v/>
      </c>
      <c r="I206" s="10">
        <f>IF(OR(G206="",$D206=""),"",G206*(1-H206/100)-$D206-IF(G206&lt;=199.99,Kargo!$E$2,IF(G206&lt;=399.99,Kargo!$E$3,$F206)))</f>
        <v/>
      </c>
      <c r="J206" s="12">
        <f>IF(I206="","",I206/G206)</f>
        <v/>
      </c>
      <c r="K206" s="10">
        <f>IF($B206="","",IF('Komisyon Tarifeleri'!J206="","",'Komisyon Tarifeleri'!J206))</f>
        <v/>
      </c>
      <c r="L206" s="11">
        <f>IF(K206="","",IF($AM$1=2,'Komisyon Tarifeleri'!V206,'Komisyon Tarifeleri'!Q206))</f>
        <v/>
      </c>
      <c r="M206" s="10">
        <f>IF(OR(K206="",$D206=""),"",K206*(1-L206/100)-$D206-IF(K206&lt;=199.99,Kargo!$E$2,IF(K206&lt;=399.99,Kargo!$E$3,$F206)))</f>
        <v/>
      </c>
      <c r="N206" s="12">
        <f>IF(M206="","",M206/K206)</f>
        <v/>
      </c>
      <c r="O206" s="10">
        <f>IF($B206="","",IF('Komisyon Tarifeleri'!L206="","",'Komisyon Tarifeleri'!L206))</f>
        <v/>
      </c>
      <c r="P206" s="11">
        <f>IF(O206="","",IF($AM$1=2,'Komisyon Tarifeleri'!W206,'Komisyon Tarifeleri'!R206))</f>
        <v/>
      </c>
      <c r="Q206" s="10">
        <f>IF(OR(O206="",$D206=""),"",O206*(1-P206/100)-$D206-IF(O206&lt;=199.99,Kargo!$E$2,IF(O206&lt;=399.99,Kargo!$E$3,$F206)))</f>
        <v/>
      </c>
      <c r="R206" s="12">
        <f>IF(Q206="","",Q206/O206)</f>
        <v/>
      </c>
      <c r="S206" s="10">
        <f>IF($B206="","",IF('Komisyon Tarifeleri'!N206="","",'Komisyon Tarifeleri'!N206))</f>
        <v/>
      </c>
      <c r="T206" s="11">
        <f>IF(S206="","",IF($AM$1=2,'Komisyon Tarifeleri'!X206,'Komisyon Tarifeleri'!S206))</f>
        <v/>
      </c>
      <c r="U206" s="10">
        <f>IF(OR(S206="",$D206=""),"",S206*(1-T206/100)-$D206-IF(S206&lt;=199.99,Kargo!$E$2,IF(S206&lt;=399.99,Kargo!$E$3,$F206)))</f>
        <v/>
      </c>
      <c r="V206" s="12">
        <f>IF(U206="","",U206/S206)</f>
        <v/>
      </c>
      <c r="W206" s="12">
        <f>IF($B206="","",IFERROR(VLOOKUP($C206,Hedefler!$A:$C,2,FALSE),0.04))</f>
        <v/>
      </c>
      <c r="X206" s="12">
        <f>IF($B206="","",IFERROR(VLOOKUP($C206,Hedefler!$A:$C,3,FALSE),0.1))</f>
        <v/>
      </c>
      <c r="Y206" s="13">
        <f>IF($B206="","",IFERROR(VLOOKUP($B206,Maliyetler!$A:$E,5,FALSE),""))</f>
        <v/>
      </c>
      <c r="Z206" s="13">
        <f>IF(OR(Y206="",Y206=0),"",Y206-1)</f>
        <v/>
      </c>
      <c r="AA206" s="14">
        <f>IF(Z206="","",IF(Z206&gt;='Komisyon Tarifeleri'!I206,IF($AM$1=2,'Komisyon Tarifeleri'!U206,'Komisyon Tarifeleri'!P206),IF(Z206&gt;='Komisyon Tarifeleri'!K206,IF($AM$1=2,'Komisyon Tarifeleri'!V206,'Komisyon Tarifeleri'!Q206),IF(Z206&gt;='Komisyon Tarifeleri'!M206,IF($AM$1=2,'Komisyon Tarifeleri'!W206,'Komisyon Tarifeleri'!R206),IF($AM$1=2,'Komisyon Tarifeleri'!X206,'Komisyon Tarifeleri'!S206)))))</f>
        <v/>
      </c>
      <c r="AB206" s="13">
        <f>IF(OR(AA206="",$D206=""),"",Z206*(1-AA206/100)-$D206-IF(Z206&lt;=199.99,Kargo!$E$2,IF(Z206&lt;=399.99,Kargo!$E$3,$F206)))</f>
        <v/>
      </c>
      <c r="AC206" s="15">
        <f>IF(AB206="","",AB206/Z206)</f>
        <v/>
      </c>
      <c r="AD206" s="10">
        <f>IF(OR($D206="",$B206=""),"",IF(AND((1-T206/100-W206)&gt;0,CEILING(($D206+$F206)/(1-T206/100-W206),1)&lt;='Komisyon Tarifeleri'!N206),CEILING(($D206+$F206)/(1-T206/100-W206),1),IF(AND((1-P206/100-W206)&gt;0,CEILING(MAX('Komisyon Tarifeleri'!M206,($D206+$F206)/(1-P206/100-W206)),1)&lt;='Komisyon Tarifeleri'!L206),CEILING(MAX('Komisyon Tarifeleri'!M206,($D206+$F206)/(1-P206/100-W206)),1),IF(AND((1-L206/100-W206)&gt;0,CEILING(MAX('Komisyon Tarifeleri'!K206,($D206+$F206)/(1-L206/100-W206)),1)&lt;='Komisyon Tarifeleri'!J206),CEILING(MAX('Komisyon Tarifeleri'!K206,($D206+$F206)/(1-L206/100-W206)),1),IF((1-H206/100-W206)&gt;0,CEILING(MAX('Komisyon Tarifeleri'!I206,($D206+$F206)/(1-H206/100-W206)),1),"İMKÂNSIZ")))))</f>
        <v/>
      </c>
      <c r="AE206" s="10">
        <f>IF(OR($D206="",$B206=""),"",IF(AND((1-T206/100-X206)&gt;0,CEILING(($D206+$F206)/(1-T206/100-X206),1)&lt;='Komisyon Tarifeleri'!N206),CEILING(($D206+$F206)/(1-T206/100-X206),1),IF(AND((1-P206/100-X206)&gt;0,CEILING(MAX('Komisyon Tarifeleri'!M206,($D206+$F206)/(1-P206/100-X206)),1)&lt;='Komisyon Tarifeleri'!L206),CEILING(MAX('Komisyon Tarifeleri'!M206,($D206+$F206)/(1-P206/100-X206)),1),IF(AND((1-L206/100-X206)&gt;0,CEILING(MAX('Komisyon Tarifeleri'!K206,($D206+$F206)/(1-L206/100-X206)),1)&lt;='Komisyon Tarifeleri'!J206),CEILING(MAX('Komisyon Tarifeleri'!K206,($D206+$F206)/(1-L206/100-X206)),1),IF((1-H206/100-X206)&gt;0,CEILING(MAX('Komisyon Tarifeleri'!I206,($D206+$F206)/(1-H206/100-X206)),1),"İMKÂNSIZ")))))</f>
        <v/>
      </c>
      <c r="AF206" s="16">
        <f>IF($D206="","",IF(AND(Y206&lt;&gt;"",AC206&lt;&gt;"",AC206&gt;=W206),Z206,IF(Y206&lt;&gt;"",AD206,AE206)))</f>
        <v/>
      </c>
      <c r="AG206" s="16">
        <f>IF(OR(AF206="",AF206="İMKÂNSIZ"),"",AF206*(1-IF(AF206&gt;='Komisyon Tarifeleri'!I206,IF($AM$1=2,'Komisyon Tarifeleri'!U206,'Komisyon Tarifeleri'!P206),IF(AF206&gt;='Komisyon Tarifeleri'!K206,IF($AM$1=2,'Komisyon Tarifeleri'!V206,'Komisyon Tarifeleri'!Q206),IF(AF206&gt;='Komisyon Tarifeleri'!M206,IF($AM$1=2,'Komisyon Tarifeleri'!W206,'Komisyon Tarifeleri'!R206),IF($AM$1=2,'Komisyon Tarifeleri'!X206,'Komisyon Tarifeleri'!S206))))/100)-$D206-IF(AF206&lt;=199.99,Kargo!$E$2,IF(AF206&lt;=399.99,Kargo!$E$3,$F206)))</f>
        <v/>
      </c>
      <c r="AH206" s="17">
        <f>IF(AG206="","",AG206/AF206)</f>
        <v/>
      </c>
      <c r="AI206" s="18">
        <f>IF($D206="","",IF(Y206="","BUYBOX YOK → hedef kârla min fiyat",IF(AC206&gt;=W206,"✓ BUYBOX ALTINA GİR","BUYBOX ALTI KÂRSIZ → min kârlı fiyat")))</f>
        <v/>
      </c>
      <c r="AJ206" s="10">
        <f>IF($B206="","",IFERROR(VLOOKUP($B206,Maliyetler!$A:$G,6,FALSE),""))</f>
        <v/>
      </c>
      <c r="AK206">
        <f>IF($B206="","",IFERROR(VLOOKUP($B206,Maliyetler!$A:$G,7,FALSE),""))</f>
        <v/>
      </c>
      <c r="AO206" s="21">
        <f>IF($B206="","",IFERROR(VLOOKUP($B206&amp;"",'Plus Tarifeleri'!$C:$Q,11,FALSE),""))</f>
        <v/>
      </c>
      <c r="AP206" s="22">
        <f>IF(AO206="","",IFERROR(IF($AM$1=2,VLOOKUP($B206&amp;"",'Plus Tarifeleri'!$C:$Q,15,FALSE),VLOOKUP($B206&amp;"",'Plus Tarifeleri'!$C:$Q,13,FALSE)),""))</f>
        <v/>
      </c>
      <c r="AQ206" s="21">
        <f>IF(OR(AO206="",AP206="",$D206=""),"",AO206*(1-AP206/100)-$D206-IF(AO206&lt;=199.99,Kargo!$E$2,IF(AO206&lt;=399.99,Kargo!$E$3,$F206)))</f>
        <v/>
      </c>
      <c r="AR206" s="23">
        <f>IF(AQ206="","",AQ206/AO206)</f>
        <v/>
      </c>
      <c r="AS206" s="24">
        <f>IF(OR(AQ206="",AG206=""),"",AQ206-AG206)</f>
        <v/>
      </c>
    </row>
    <row r="207">
      <c r="A207">
        <f>IF('Komisyon Tarifeleri'!A207="","",'Komisyon Tarifeleri'!A207)</f>
        <v/>
      </c>
      <c r="B207">
        <f>IF('Komisyon Tarifeleri'!B207="","",'Komisyon Tarifeleri'!B207&amp;"")</f>
        <v/>
      </c>
      <c r="C207">
        <f>IF($B207="","",'Komisyon Tarifeleri'!F207)</f>
        <v/>
      </c>
      <c r="D207" s="10">
        <f>IF($B207="","",IFERROR(VLOOKUP($B207,Maliyetler!$A:$E,3,FALSE),""))</f>
        <v/>
      </c>
      <c r="E207">
        <f>IF($B207="","",IFERROR(VLOOKUP($B207,Maliyetler!$A:$E,4,FALSE),1))</f>
        <v/>
      </c>
      <c r="F207" s="10">
        <f>IF($B207="","",IFERROR(VLOOKUP(MIN(20,MAX(1,ROUND($E207,0))),Kargo!$A:$B,2,FALSE),99.46))</f>
        <v/>
      </c>
      <c r="G207" s="10">
        <f>IF($B207="","",IF(IF(N('Komisyon Tarifeleri'!AA207)&gt;='Komisyon Tarifeleri'!I207,'Komisyon Tarifeleri'!AA207,'Komisyon Tarifeleri'!I207)="","",IF(N('Komisyon Tarifeleri'!AA207)&gt;='Komisyon Tarifeleri'!I207,'Komisyon Tarifeleri'!AA207,'Komisyon Tarifeleri'!I207)))</f>
        <v/>
      </c>
      <c r="H207" s="11">
        <f>IF(G207="","",IF($AM$1=2,'Komisyon Tarifeleri'!U207,'Komisyon Tarifeleri'!P207))</f>
        <v/>
      </c>
      <c r="I207" s="10">
        <f>IF(OR(G207="",$D207=""),"",G207*(1-H207/100)-$D207-IF(G207&lt;=199.99,Kargo!$E$2,IF(G207&lt;=399.99,Kargo!$E$3,$F207)))</f>
        <v/>
      </c>
      <c r="J207" s="12">
        <f>IF(I207="","",I207/G207)</f>
        <v/>
      </c>
      <c r="K207" s="10">
        <f>IF($B207="","",IF('Komisyon Tarifeleri'!J207="","",'Komisyon Tarifeleri'!J207))</f>
        <v/>
      </c>
      <c r="L207" s="11">
        <f>IF(K207="","",IF($AM$1=2,'Komisyon Tarifeleri'!V207,'Komisyon Tarifeleri'!Q207))</f>
        <v/>
      </c>
      <c r="M207" s="10">
        <f>IF(OR(K207="",$D207=""),"",K207*(1-L207/100)-$D207-IF(K207&lt;=199.99,Kargo!$E$2,IF(K207&lt;=399.99,Kargo!$E$3,$F207)))</f>
        <v/>
      </c>
      <c r="N207" s="12">
        <f>IF(M207="","",M207/K207)</f>
        <v/>
      </c>
      <c r="O207" s="10">
        <f>IF($B207="","",IF('Komisyon Tarifeleri'!L207="","",'Komisyon Tarifeleri'!L207))</f>
        <v/>
      </c>
      <c r="P207" s="11">
        <f>IF(O207="","",IF($AM$1=2,'Komisyon Tarifeleri'!W207,'Komisyon Tarifeleri'!R207))</f>
        <v/>
      </c>
      <c r="Q207" s="10">
        <f>IF(OR(O207="",$D207=""),"",O207*(1-P207/100)-$D207-IF(O207&lt;=199.99,Kargo!$E$2,IF(O207&lt;=399.99,Kargo!$E$3,$F207)))</f>
        <v/>
      </c>
      <c r="R207" s="12">
        <f>IF(Q207="","",Q207/O207)</f>
        <v/>
      </c>
      <c r="S207" s="10">
        <f>IF($B207="","",IF('Komisyon Tarifeleri'!N207="","",'Komisyon Tarifeleri'!N207))</f>
        <v/>
      </c>
      <c r="T207" s="11">
        <f>IF(S207="","",IF($AM$1=2,'Komisyon Tarifeleri'!X207,'Komisyon Tarifeleri'!S207))</f>
        <v/>
      </c>
      <c r="U207" s="10">
        <f>IF(OR(S207="",$D207=""),"",S207*(1-T207/100)-$D207-IF(S207&lt;=199.99,Kargo!$E$2,IF(S207&lt;=399.99,Kargo!$E$3,$F207)))</f>
        <v/>
      </c>
      <c r="V207" s="12">
        <f>IF(U207="","",U207/S207)</f>
        <v/>
      </c>
      <c r="W207" s="12">
        <f>IF($B207="","",IFERROR(VLOOKUP($C207,Hedefler!$A:$C,2,FALSE),0.04))</f>
        <v/>
      </c>
      <c r="X207" s="12">
        <f>IF($B207="","",IFERROR(VLOOKUP($C207,Hedefler!$A:$C,3,FALSE),0.1))</f>
        <v/>
      </c>
      <c r="Y207" s="13">
        <f>IF($B207="","",IFERROR(VLOOKUP($B207,Maliyetler!$A:$E,5,FALSE),""))</f>
        <v/>
      </c>
      <c r="Z207" s="13">
        <f>IF(OR(Y207="",Y207=0),"",Y207-1)</f>
        <v/>
      </c>
      <c r="AA207" s="14">
        <f>IF(Z207="","",IF(Z207&gt;='Komisyon Tarifeleri'!I207,IF($AM$1=2,'Komisyon Tarifeleri'!U207,'Komisyon Tarifeleri'!P207),IF(Z207&gt;='Komisyon Tarifeleri'!K207,IF($AM$1=2,'Komisyon Tarifeleri'!V207,'Komisyon Tarifeleri'!Q207),IF(Z207&gt;='Komisyon Tarifeleri'!M207,IF($AM$1=2,'Komisyon Tarifeleri'!W207,'Komisyon Tarifeleri'!R207),IF($AM$1=2,'Komisyon Tarifeleri'!X207,'Komisyon Tarifeleri'!S207)))))</f>
        <v/>
      </c>
      <c r="AB207" s="13">
        <f>IF(OR(AA207="",$D207=""),"",Z207*(1-AA207/100)-$D207-IF(Z207&lt;=199.99,Kargo!$E$2,IF(Z207&lt;=399.99,Kargo!$E$3,$F207)))</f>
        <v/>
      </c>
      <c r="AC207" s="15">
        <f>IF(AB207="","",AB207/Z207)</f>
        <v/>
      </c>
      <c r="AD207" s="10">
        <f>IF(OR($D207="",$B207=""),"",IF(AND((1-T207/100-W207)&gt;0,CEILING(($D207+$F207)/(1-T207/100-W207),1)&lt;='Komisyon Tarifeleri'!N207),CEILING(($D207+$F207)/(1-T207/100-W207),1),IF(AND((1-P207/100-W207)&gt;0,CEILING(MAX('Komisyon Tarifeleri'!M207,($D207+$F207)/(1-P207/100-W207)),1)&lt;='Komisyon Tarifeleri'!L207),CEILING(MAX('Komisyon Tarifeleri'!M207,($D207+$F207)/(1-P207/100-W207)),1),IF(AND((1-L207/100-W207)&gt;0,CEILING(MAX('Komisyon Tarifeleri'!K207,($D207+$F207)/(1-L207/100-W207)),1)&lt;='Komisyon Tarifeleri'!J207),CEILING(MAX('Komisyon Tarifeleri'!K207,($D207+$F207)/(1-L207/100-W207)),1),IF((1-H207/100-W207)&gt;0,CEILING(MAX('Komisyon Tarifeleri'!I207,($D207+$F207)/(1-H207/100-W207)),1),"İMKÂNSIZ")))))</f>
        <v/>
      </c>
      <c r="AE207" s="10">
        <f>IF(OR($D207="",$B207=""),"",IF(AND((1-T207/100-X207)&gt;0,CEILING(($D207+$F207)/(1-T207/100-X207),1)&lt;='Komisyon Tarifeleri'!N207),CEILING(($D207+$F207)/(1-T207/100-X207),1),IF(AND((1-P207/100-X207)&gt;0,CEILING(MAX('Komisyon Tarifeleri'!M207,($D207+$F207)/(1-P207/100-X207)),1)&lt;='Komisyon Tarifeleri'!L207),CEILING(MAX('Komisyon Tarifeleri'!M207,($D207+$F207)/(1-P207/100-X207)),1),IF(AND((1-L207/100-X207)&gt;0,CEILING(MAX('Komisyon Tarifeleri'!K207,($D207+$F207)/(1-L207/100-X207)),1)&lt;='Komisyon Tarifeleri'!J207),CEILING(MAX('Komisyon Tarifeleri'!K207,($D207+$F207)/(1-L207/100-X207)),1),IF((1-H207/100-X207)&gt;0,CEILING(MAX('Komisyon Tarifeleri'!I207,($D207+$F207)/(1-H207/100-X207)),1),"İMKÂNSIZ")))))</f>
        <v/>
      </c>
      <c r="AF207" s="16">
        <f>IF($D207="","",IF(AND(Y207&lt;&gt;"",AC207&lt;&gt;"",AC207&gt;=W207),Z207,IF(Y207&lt;&gt;"",AD207,AE207)))</f>
        <v/>
      </c>
      <c r="AG207" s="16">
        <f>IF(OR(AF207="",AF207="İMKÂNSIZ"),"",AF207*(1-IF(AF207&gt;='Komisyon Tarifeleri'!I207,IF($AM$1=2,'Komisyon Tarifeleri'!U207,'Komisyon Tarifeleri'!P207),IF(AF207&gt;='Komisyon Tarifeleri'!K207,IF($AM$1=2,'Komisyon Tarifeleri'!V207,'Komisyon Tarifeleri'!Q207),IF(AF207&gt;='Komisyon Tarifeleri'!M207,IF($AM$1=2,'Komisyon Tarifeleri'!W207,'Komisyon Tarifeleri'!R207),IF($AM$1=2,'Komisyon Tarifeleri'!X207,'Komisyon Tarifeleri'!S207))))/100)-$D207-IF(AF207&lt;=199.99,Kargo!$E$2,IF(AF207&lt;=399.99,Kargo!$E$3,$F207)))</f>
        <v/>
      </c>
      <c r="AH207" s="17">
        <f>IF(AG207="","",AG207/AF207)</f>
        <v/>
      </c>
      <c r="AI207" s="18">
        <f>IF($D207="","",IF(Y207="","BUYBOX YOK → hedef kârla min fiyat",IF(AC207&gt;=W207,"✓ BUYBOX ALTINA GİR","BUYBOX ALTI KÂRSIZ → min kârlı fiyat")))</f>
        <v/>
      </c>
      <c r="AJ207" s="10">
        <f>IF($B207="","",IFERROR(VLOOKUP($B207,Maliyetler!$A:$G,6,FALSE),""))</f>
        <v/>
      </c>
      <c r="AK207">
        <f>IF($B207="","",IFERROR(VLOOKUP($B207,Maliyetler!$A:$G,7,FALSE),""))</f>
        <v/>
      </c>
      <c r="AO207" s="21">
        <f>IF($B207="","",IFERROR(VLOOKUP($B207&amp;"",'Plus Tarifeleri'!$C:$Q,11,FALSE),""))</f>
        <v/>
      </c>
      <c r="AP207" s="22">
        <f>IF(AO207="","",IFERROR(IF($AM$1=2,VLOOKUP($B207&amp;"",'Plus Tarifeleri'!$C:$Q,15,FALSE),VLOOKUP($B207&amp;"",'Plus Tarifeleri'!$C:$Q,13,FALSE)),""))</f>
        <v/>
      </c>
      <c r="AQ207" s="21">
        <f>IF(OR(AO207="",AP207="",$D207=""),"",AO207*(1-AP207/100)-$D207-IF(AO207&lt;=199.99,Kargo!$E$2,IF(AO207&lt;=399.99,Kargo!$E$3,$F207)))</f>
        <v/>
      </c>
      <c r="AR207" s="23">
        <f>IF(AQ207="","",AQ207/AO207)</f>
        <v/>
      </c>
      <c r="AS207" s="24">
        <f>IF(OR(AQ207="",AG207=""),"",AQ207-AG207)</f>
        <v/>
      </c>
    </row>
    <row r="208">
      <c r="A208">
        <f>IF('Komisyon Tarifeleri'!A208="","",'Komisyon Tarifeleri'!A208)</f>
        <v/>
      </c>
      <c r="B208">
        <f>IF('Komisyon Tarifeleri'!B208="","",'Komisyon Tarifeleri'!B208&amp;"")</f>
        <v/>
      </c>
      <c r="C208">
        <f>IF($B208="","",'Komisyon Tarifeleri'!F208)</f>
        <v/>
      </c>
      <c r="D208" s="10">
        <f>IF($B208="","",IFERROR(VLOOKUP($B208,Maliyetler!$A:$E,3,FALSE),""))</f>
        <v/>
      </c>
      <c r="E208">
        <f>IF($B208="","",IFERROR(VLOOKUP($B208,Maliyetler!$A:$E,4,FALSE),1))</f>
        <v/>
      </c>
      <c r="F208" s="10">
        <f>IF($B208="","",IFERROR(VLOOKUP(MIN(20,MAX(1,ROUND($E208,0))),Kargo!$A:$B,2,FALSE),99.46))</f>
        <v/>
      </c>
      <c r="G208" s="10">
        <f>IF($B208="","",IF(IF(N('Komisyon Tarifeleri'!AA208)&gt;='Komisyon Tarifeleri'!I208,'Komisyon Tarifeleri'!AA208,'Komisyon Tarifeleri'!I208)="","",IF(N('Komisyon Tarifeleri'!AA208)&gt;='Komisyon Tarifeleri'!I208,'Komisyon Tarifeleri'!AA208,'Komisyon Tarifeleri'!I208)))</f>
        <v/>
      </c>
      <c r="H208" s="11">
        <f>IF(G208="","",IF($AM$1=2,'Komisyon Tarifeleri'!U208,'Komisyon Tarifeleri'!P208))</f>
        <v/>
      </c>
      <c r="I208" s="10">
        <f>IF(OR(G208="",$D208=""),"",G208*(1-H208/100)-$D208-IF(G208&lt;=199.99,Kargo!$E$2,IF(G208&lt;=399.99,Kargo!$E$3,$F208)))</f>
        <v/>
      </c>
      <c r="J208" s="12">
        <f>IF(I208="","",I208/G208)</f>
        <v/>
      </c>
      <c r="K208" s="10">
        <f>IF($B208="","",IF('Komisyon Tarifeleri'!J208="","",'Komisyon Tarifeleri'!J208))</f>
        <v/>
      </c>
      <c r="L208" s="11">
        <f>IF(K208="","",IF($AM$1=2,'Komisyon Tarifeleri'!V208,'Komisyon Tarifeleri'!Q208))</f>
        <v/>
      </c>
      <c r="M208" s="10">
        <f>IF(OR(K208="",$D208=""),"",K208*(1-L208/100)-$D208-IF(K208&lt;=199.99,Kargo!$E$2,IF(K208&lt;=399.99,Kargo!$E$3,$F208)))</f>
        <v/>
      </c>
      <c r="N208" s="12">
        <f>IF(M208="","",M208/K208)</f>
        <v/>
      </c>
      <c r="O208" s="10">
        <f>IF($B208="","",IF('Komisyon Tarifeleri'!L208="","",'Komisyon Tarifeleri'!L208))</f>
        <v/>
      </c>
      <c r="P208" s="11">
        <f>IF(O208="","",IF($AM$1=2,'Komisyon Tarifeleri'!W208,'Komisyon Tarifeleri'!R208))</f>
        <v/>
      </c>
      <c r="Q208" s="10">
        <f>IF(OR(O208="",$D208=""),"",O208*(1-P208/100)-$D208-IF(O208&lt;=199.99,Kargo!$E$2,IF(O208&lt;=399.99,Kargo!$E$3,$F208)))</f>
        <v/>
      </c>
      <c r="R208" s="12">
        <f>IF(Q208="","",Q208/O208)</f>
        <v/>
      </c>
      <c r="S208" s="10">
        <f>IF($B208="","",IF('Komisyon Tarifeleri'!N208="","",'Komisyon Tarifeleri'!N208))</f>
        <v/>
      </c>
      <c r="T208" s="11">
        <f>IF(S208="","",IF($AM$1=2,'Komisyon Tarifeleri'!X208,'Komisyon Tarifeleri'!S208))</f>
        <v/>
      </c>
      <c r="U208" s="10">
        <f>IF(OR(S208="",$D208=""),"",S208*(1-T208/100)-$D208-IF(S208&lt;=199.99,Kargo!$E$2,IF(S208&lt;=399.99,Kargo!$E$3,$F208)))</f>
        <v/>
      </c>
      <c r="V208" s="12">
        <f>IF(U208="","",U208/S208)</f>
        <v/>
      </c>
      <c r="W208" s="12">
        <f>IF($B208="","",IFERROR(VLOOKUP($C208,Hedefler!$A:$C,2,FALSE),0.04))</f>
        <v/>
      </c>
      <c r="X208" s="12">
        <f>IF($B208="","",IFERROR(VLOOKUP($C208,Hedefler!$A:$C,3,FALSE),0.1))</f>
        <v/>
      </c>
      <c r="Y208" s="13">
        <f>IF($B208="","",IFERROR(VLOOKUP($B208,Maliyetler!$A:$E,5,FALSE),""))</f>
        <v/>
      </c>
      <c r="Z208" s="13">
        <f>IF(OR(Y208="",Y208=0),"",Y208-1)</f>
        <v/>
      </c>
      <c r="AA208" s="14">
        <f>IF(Z208="","",IF(Z208&gt;='Komisyon Tarifeleri'!I208,IF($AM$1=2,'Komisyon Tarifeleri'!U208,'Komisyon Tarifeleri'!P208),IF(Z208&gt;='Komisyon Tarifeleri'!K208,IF($AM$1=2,'Komisyon Tarifeleri'!V208,'Komisyon Tarifeleri'!Q208),IF(Z208&gt;='Komisyon Tarifeleri'!M208,IF($AM$1=2,'Komisyon Tarifeleri'!W208,'Komisyon Tarifeleri'!R208),IF($AM$1=2,'Komisyon Tarifeleri'!X208,'Komisyon Tarifeleri'!S208)))))</f>
        <v/>
      </c>
      <c r="AB208" s="13">
        <f>IF(OR(AA208="",$D208=""),"",Z208*(1-AA208/100)-$D208-IF(Z208&lt;=199.99,Kargo!$E$2,IF(Z208&lt;=399.99,Kargo!$E$3,$F208)))</f>
        <v/>
      </c>
      <c r="AC208" s="15">
        <f>IF(AB208="","",AB208/Z208)</f>
        <v/>
      </c>
      <c r="AD208" s="10">
        <f>IF(OR($D208="",$B208=""),"",IF(AND((1-T208/100-W208)&gt;0,CEILING(($D208+$F208)/(1-T208/100-W208),1)&lt;='Komisyon Tarifeleri'!N208),CEILING(($D208+$F208)/(1-T208/100-W208),1),IF(AND((1-P208/100-W208)&gt;0,CEILING(MAX('Komisyon Tarifeleri'!M208,($D208+$F208)/(1-P208/100-W208)),1)&lt;='Komisyon Tarifeleri'!L208),CEILING(MAX('Komisyon Tarifeleri'!M208,($D208+$F208)/(1-P208/100-W208)),1),IF(AND((1-L208/100-W208)&gt;0,CEILING(MAX('Komisyon Tarifeleri'!K208,($D208+$F208)/(1-L208/100-W208)),1)&lt;='Komisyon Tarifeleri'!J208),CEILING(MAX('Komisyon Tarifeleri'!K208,($D208+$F208)/(1-L208/100-W208)),1),IF((1-H208/100-W208)&gt;0,CEILING(MAX('Komisyon Tarifeleri'!I208,($D208+$F208)/(1-H208/100-W208)),1),"İMKÂNSIZ")))))</f>
        <v/>
      </c>
      <c r="AE208" s="10">
        <f>IF(OR($D208="",$B208=""),"",IF(AND((1-T208/100-X208)&gt;0,CEILING(($D208+$F208)/(1-T208/100-X208),1)&lt;='Komisyon Tarifeleri'!N208),CEILING(($D208+$F208)/(1-T208/100-X208),1),IF(AND((1-P208/100-X208)&gt;0,CEILING(MAX('Komisyon Tarifeleri'!M208,($D208+$F208)/(1-P208/100-X208)),1)&lt;='Komisyon Tarifeleri'!L208),CEILING(MAX('Komisyon Tarifeleri'!M208,($D208+$F208)/(1-P208/100-X208)),1),IF(AND((1-L208/100-X208)&gt;0,CEILING(MAX('Komisyon Tarifeleri'!K208,($D208+$F208)/(1-L208/100-X208)),1)&lt;='Komisyon Tarifeleri'!J208),CEILING(MAX('Komisyon Tarifeleri'!K208,($D208+$F208)/(1-L208/100-X208)),1),IF((1-H208/100-X208)&gt;0,CEILING(MAX('Komisyon Tarifeleri'!I208,($D208+$F208)/(1-H208/100-X208)),1),"İMKÂNSIZ")))))</f>
        <v/>
      </c>
      <c r="AF208" s="16">
        <f>IF($D208="","",IF(AND(Y208&lt;&gt;"",AC208&lt;&gt;"",AC208&gt;=W208),Z208,IF(Y208&lt;&gt;"",AD208,AE208)))</f>
        <v/>
      </c>
      <c r="AG208" s="16">
        <f>IF(OR(AF208="",AF208="İMKÂNSIZ"),"",AF208*(1-IF(AF208&gt;='Komisyon Tarifeleri'!I208,IF($AM$1=2,'Komisyon Tarifeleri'!U208,'Komisyon Tarifeleri'!P208),IF(AF208&gt;='Komisyon Tarifeleri'!K208,IF($AM$1=2,'Komisyon Tarifeleri'!V208,'Komisyon Tarifeleri'!Q208),IF(AF208&gt;='Komisyon Tarifeleri'!M208,IF($AM$1=2,'Komisyon Tarifeleri'!W208,'Komisyon Tarifeleri'!R208),IF($AM$1=2,'Komisyon Tarifeleri'!X208,'Komisyon Tarifeleri'!S208))))/100)-$D208-IF(AF208&lt;=199.99,Kargo!$E$2,IF(AF208&lt;=399.99,Kargo!$E$3,$F208)))</f>
        <v/>
      </c>
      <c r="AH208" s="17">
        <f>IF(AG208="","",AG208/AF208)</f>
        <v/>
      </c>
      <c r="AI208" s="18">
        <f>IF($D208="","",IF(Y208="","BUYBOX YOK → hedef kârla min fiyat",IF(AC208&gt;=W208,"✓ BUYBOX ALTINA GİR","BUYBOX ALTI KÂRSIZ → min kârlı fiyat")))</f>
        <v/>
      </c>
      <c r="AJ208" s="10">
        <f>IF($B208="","",IFERROR(VLOOKUP($B208,Maliyetler!$A:$G,6,FALSE),""))</f>
        <v/>
      </c>
      <c r="AK208">
        <f>IF($B208="","",IFERROR(VLOOKUP($B208,Maliyetler!$A:$G,7,FALSE),""))</f>
        <v/>
      </c>
      <c r="AO208" s="21">
        <f>IF($B208="","",IFERROR(VLOOKUP($B208&amp;"",'Plus Tarifeleri'!$C:$Q,11,FALSE),""))</f>
        <v/>
      </c>
      <c r="AP208" s="22">
        <f>IF(AO208="","",IFERROR(IF($AM$1=2,VLOOKUP($B208&amp;"",'Plus Tarifeleri'!$C:$Q,15,FALSE),VLOOKUP($B208&amp;"",'Plus Tarifeleri'!$C:$Q,13,FALSE)),""))</f>
        <v/>
      </c>
      <c r="AQ208" s="21">
        <f>IF(OR(AO208="",AP208="",$D208=""),"",AO208*(1-AP208/100)-$D208-IF(AO208&lt;=199.99,Kargo!$E$2,IF(AO208&lt;=399.99,Kargo!$E$3,$F208)))</f>
        <v/>
      </c>
      <c r="AR208" s="23">
        <f>IF(AQ208="","",AQ208/AO208)</f>
        <v/>
      </c>
      <c r="AS208" s="24">
        <f>IF(OR(AQ208="",AG208=""),"",AQ208-AG208)</f>
        <v/>
      </c>
    </row>
    <row r="209">
      <c r="A209">
        <f>IF('Komisyon Tarifeleri'!A209="","",'Komisyon Tarifeleri'!A209)</f>
        <v/>
      </c>
      <c r="B209">
        <f>IF('Komisyon Tarifeleri'!B209="","",'Komisyon Tarifeleri'!B209&amp;"")</f>
        <v/>
      </c>
      <c r="C209">
        <f>IF($B209="","",'Komisyon Tarifeleri'!F209)</f>
        <v/>
      </c>
      <c r="D209" s="10">
        <f>IF($B209="","",IFERROR(VLOOKUP($B209,Maliyetler!$A:$E,3,FALSE),""))</f>
        <v/>
      </c>
      <c r="E209">
        <f>IF($B209="","",IFERROR(VLOOKUP($B209,Maliyetler!$A:$E,4,FALSE),1))</f>
        <v/>
      </c>
      <c r="F209" s="10">
        <f>IF($B209="","",IFERROR(VLOOKUP(MIN(20,MAX(1,ROUND($E209,0))),Kargo!$A:$B,2,FALSE),99.46))</f>
        <v/>
      </c>
      <c r="G209" s="10">
        <f>IF($B209="","",IF(IF(N('Komisyon Tarifeleri'!AA209)&gt;='Komisyon Tarifeleri'!I209,'Komisyon Tarifeleri'!AA209,'Komisyon Tarifeleri'!I209)="","",IF(N('Komisyon Tarifeleri'!AA209)&gt;='Komisyon Tarifeleri'!I209,'Komisyon Tarifeleri'!AA209,'Komisyon Tarifeleri'!I209)))</f>
        <v/>
      </c>
      <c r="H209" s="11">
        <f>IF(G209="","",IF($AM$1=2,'Komisyon Tarifeleri'!U209,'Komisyon Tarifeleri'!P209))</f>
        <v/>
      </c>
      <c r="I209" s="10">
        <f>IF(OR(G209="",$D209=""),"",G209*(1-H209/100)-$D209-IF(G209&lt;=199.99,Kargo!$E$2,IF(G209&lt;=399.99,Kargo!$E$3,$F209)))</f>
        <v/>
      </c>
      <c r="J209" s="12">
        <f>IF(I209="","",I209/G209)</f>
        <v/>
      </c>
      <c r="K209" s="10">
        <f>IF($B209="","",IF('Komisyon Tarifeleri'!J209="","",'Komisyon Tarifeleri'!J209))</f>
        <v/>
      </c>
      <c r="L209" s="11">
        <f>IF(K209="","",IF($AM$1=2,'Komisyon Tarifeleri'!V209,'Komisyon Tarifeleri'!Q209))</f>
        <v/>
      </c>
      <c r="M209" s="10">
        <f>IF(OR(K209="",$D209=""),"",K209*(1-L209/100)-$D209-IF(K209&lt;=199.99,Kargo!$E$2,IF(K209&lt;=399.99,Kargo!$E$3,$F209)))</f>
        <v/>
      </c>
      <c r="N209" s="12">
        <f>IF(M209="","",M209/K209)</f>
        <v/>
      </c>
      <c r="O209" s="10">
        <f>IF($B209="","",IF('Komisyon Tarifeleri'!L209="","",'Komisyon Tarifeleri'!L209))</f>
        <v/>
      </c>
      <c r="P209" s="11">
        <f>IF(O209="","",IF($AM$1=2,'Komisyon Tarifeleri'!W209,'Komisyon Tarifeleri'!R209))</f>
        <v/>
      </c>
      <c r="Q209" s="10">
        <f>IF(OR(O209="",$D209=""),"",O209*(1-P209/100)-$D209-IF(O209&lt;=199.99,Kargo!$E$2,IF(O209&lt;=399.99,Kargo!$E$3,$F209)))</f>
        <v/>
      </c>
      <c r="R209" s="12">
        <f>IF(Q209="","",Q209/O209)</f>
        <v/>
      </c>
      <c r="S209" s="10">
        <f>IF($B209="","",IF('Komisyon Tarifeleri'!N209="","",'Komisyon Tarifeleri'!N209))</f>
        <v/>
      </c>
      <c r="T209" s="11">
        <f>IF(S209="","",IF($AM$1=2,'Komisyon Tarifeleri'!X209,'Komisyon Tarifeleri'!S209))</f>
        <v/>
      </c>
      <c r="U209" s="10">
        <f>IF(OR(S209="",$D209=""),"",S209*(1-T209/100)-$D209-IF(S209&lt;=199.99,Kargo!$E$2,IF(S209&lt;=399.99,Kargo!$E$3,$F209)))</f>
        <v/>
      </c>
      <c r="V209" s="12">
        <f>IF(U209="","",U209/S209)</f>
        <v/>
      </c>
      <c r="W209" s="12">
        <f>IF($B209="","",IFERROR(VLOOKUP($C209,Hedefler!$A:$C,2,FALSE),0.04))</f>
        <v/>
      </c>
      <c r="X209" s="12">
        <f>IF($B209="","",IFERROR(VLOOKUP($C209,Hedefler!$A:$C,3,FALSE),0.1))</f>
        <v/>
      </c>
      <c r="Y209" s="13">
        <f>IF($B209="","",IFERROR(VLOOKUP($B209,Maliyetler!$A:$E,5,FALSE),""))</f>
        <v/>
      </c>
      <c r="Z209" s="13">
        <f>IF(OR(Y209="",Y209=0),"",Y209-1)</f>
        <v/>
      </c>
      <c r="AA209" s="14">
        <f>IF(Z209="","",IF(Z209&gt;='Komisyon Tarifeleri'!I209,IF($AM$1=2,'Komisyon Tarifeleri'!U209,'Komisyon Tarifeleri'!P209),IF(Z209&gt;='Komisyon Tarifeleri'!K209,IF($AM$1=2,'Komisyon Tarifeleri'!V209,'Komisyon Tarifeleri'!Q209),IF(Z209&gt;='Komisyon Tarifeleri'!M209,IF($AM$1=2,'Komisyon Tarifeleri'!W209,'Komisyon Tarifeleri'!R209),IF($AM$1=2,'Komisyon Tarifeleri'!X209,'Komisyon Tarifeleri'!S209)))))</f>
        <v/>
      </c>
      <c r="AB209" s="13">
        <f>IF(OR(AA209="",$D209=""),"",Z209*(1-AA209/100)-$D209-IF(Z209&lt;=199.99,Kargo!$E$2,IF(Z209&lt;=399.99,Kargo!$E$3,$F209)))</f>
        <v/>
      </c>
      <c r="AC209" s="15">
        <f>IF(AB209="","",AB209/Z209)</f>
        <v/>
      </c>
      <c r="AD209" s="10">
        <f>IF(OR($D209="",$B209=""),"",IF(AND((1-T209/100-W209)&gt;0,CEILING(($D209+$F209)/(1-T209/100-W209),1)&lt;='Komisyon Tarifeleri'!N209),CEILING(($D209+$F209)/(1-T209/100-W209),1),IF(AND((1-P209/100-W209)&gt;0,CEILING(MAX('Komisyon Tarifeleri'!M209,($D209+$F209)/(1-P209/100-W209)),1)&lt;='Komisyon Tarifeleri'!L209),CEILING(MAX('Komisyon Tarifeleri'!M209,($D209+$F209)/(1-P209/100-W209)),1),IF(AND((1-L209/100-W209)&gt;0,CEILING(MAX('Komisyon Tarifeleri'!K209,($D209+$F209)/(1-L209/100-W209)),1)&lt;='Komisyon Tarifeleri'!J209),CEILING(MAX('Komisyon Tarifeleri'!K209,($D209+$F209)/(1-L209/100-W209)),1),IF((1-H209/100-W209)&gt;0,CEILING(MAX('Komisyon Tarifeleri'!I209,($D209+$F209)/(1-H209/100-W209)),1),"İMKÂNSIZ")))))</f>
        <v/>
      </c>
      <c r="AE209" s="10">
        <f>IF(OR($D209="",$B209=""),"",IF(AND((1-T209/100-X209)&gt;0,CEILING(($D209+$F209)/(1-T209/100-X209),1)&lt;='Komisyon Tarifeleri'!N209),CEILING(($D209+$F209)/(1-T209/100-X209),1),IF(AND((1-P209/100-X209)&gt;0,CEILING(MAX('Komisyon Tarifeleri'!M209,($D209+$F209)/(1-P209/100-X209)),1)&lt;='Komisyon Tarifeleri'!L209),CEILING(MAX('Komisyon Tarifeleri'!M209,($D209+$F209)/(1-P209/100-X209)),1),IF(AND((1-L209/100-X209)&gt;0,CEILING(MAX('Komisyon Tarifeleri'!K209,($D209+$F209)/(1-L209/100-X209)),1)&lt;='Komisyon Tarifeleri'!J209),CEILING(MAX('Komisyon Tarifeleri'!K209,($D209+$F209)/(1-L209/100-X209)),1),IF((1-H209/100-X209)&gt;0,CEILING(MAX('Komisyon Tarifeleri'!I209,($D209+$F209)/(1-H209/100-X209)),1),"İMKÂNSIZ")))))</f>
        <v/>
      </c>
      <c r="AF209" s="16">
        <f>IF($D209="","",IF(AND(Y209&lt;&gt;"",AC209&lt;&gt;"",AC209&gt;=W209),Z209,IF(Y209&lt;&gt;"",AD209,AE209)))</f>
        <v/>
      </c>
      <c r="AG209" s="16">
        <f>IF(OR(AF209="",AF209="İMKÂNSIZ"),"",AF209*(1-IF(AF209&gt;='Komisyon Tarifeleri'!I209,IF($AM$1=2,'Komisyon Tarifeleri'!U209,'Komisyon Tarifeleri'!P209),IF(AF209&gt;='Komisyon Tarifeleri'!K209,IF($AM$1=2,'Komisyon Tarifeleri'!V209,'Komisyon Tarifeleri'!Q209),IF(AF209&gt;='Komisyon Tarifeleri'!M209,IF($AM$1=2,'Komisyon Tarifeleri'!W209,'Komisyon Tarifeleri'!R209),IF($AM$1=2,'Komisyon Tarifeleri'!X209,'Komisyon Tarifeleri'!S209))))/100)-$D209-IF(AF209&lt;=199.99,Kargo!$E$2,IF(AF209&lt;=399.99,Kargo!$E$3,$F209)))</f>
        <v/>
      </c>
      <c r="AH209" s="17">
        <f>IF(AG209="","",AG209/AF209)</f>
        <v/>
      </c>
      <c r="AI209" s="18">
        <f>IF($D209="","",IF(Y209="","BUYBOX YOK → hedef kârla min fiyat",IF(AC209&gt;=W209,"✓ BUYBOX ALTINA GİR","BUYBOX ALTI KÂRSIZ → min kârlı fiyat")))</f>
        <v/>
      </c>
      <c r="AJ209" s="10">
        <f>IF($B209="","",IFERROR(VLOOKUP($B209,Maliyetler!$A:$G,6,FALSE),""))</f>
        <v/>
      </c>
      <c r="AK209">
        <f>IF($B209="","",IFERROR(VLOOKUP($B209,Maliyetler!$A:$G,7,FALSE),""))</f>
        <v/>
      </c>
      <c r="AO209" s="21">
        <f>IF($B209="","",IFERROR(VLOOKUP($B209&amp;"",'Plus Tarifeleri'!$C:$Q,11,FALSE),""))</f>
        <v/>
      </c>
      <c r="AP209" s="22">
        <f>IF(AO209="","",IFERROR(IF($AM$1=2,VLOOKUP($B209&amp;"",'Plus Tarifeleri'!$C:$Q,15,FALSE),VLOOKUP($B209&amp;"",'Plus Tarifeleri'!$C:$Q,13,FALSE)),""))</f>
        <v/>
      </c>
      <c r="AQ209" s="21">
        <f>IF(OR(AO209="",AP209="",$D209=""),"",AO209*(1-AP209/100)-$D209-IF(AO209&lt;=199.99,Kargo!$E$2,IF(AO209&lt;=399.99,Kargo!$E$3,$F209)))</f>
        <v/>
      </c>
      <c r="AR209" s="23">
        <f>IF(AQ209="","",AQ209/AO209)</f>
        <v/>
      </c>
      <c r="AS209" s="24">
        <f>IF(OR(AQ209="",AG209=""),"",AQ209-AG209)</f>
        <v/>
      </c>
    </row>
    <row r="210">
      <c r="A210">
        <f>IF('Komisyon Tarifeleri'!A210="","",'Komisyon Tarifeleri'!A210)</f>
        <v/>
      </c>
      <c r="B210">
        <f>IF('Komisyon Tarifeleri'!B210="","",'Komisyon Tarifeleri'!B210&amp;"")</f>
        <v/>
      </c>
      <c r="C210">
        <f>IF($B210="","",'Komisyon Tarifeleri'!F210)</f>
        <v/>
      </c>
      <c r="D210" s="10">
        <f>IF($B210="","",IFERROR(VLOOKUP($B210,Maliyetler!$A:$E,3,FALSE),""))</f>
        <v/>
      </c>
      <c r="E210">
        <f>IF($B210="","",IFERROR(VLOOKUP($B210,Maliyetler!$A:$E,4,FALSE),1))</f>
        <v/>
      </c>
      <c r="F210" s="10">
        <f>IF($B210="","",IFERROR(VLOOKUP(MIN(20,MAX(1,ROUND($E210,0))),Kargo!$A:$B,2,FALSE),99.46))</f>
        <v/>
      </c>
      <c r="G210" s="10">
        <f>IF($B210="","",IF(IF(N('Komisyon Tarifeleri'!AA210)&gt;='Komisyon Tarifeleri'!I210,'Komisyon Tarifeleri'!AA210,'Komisyon Tarifeleri'!I210)="","",IF(N('Komisyon Tarifeleri'!AA210)&gt;='Komisyon Tarifeleri'!I210,'Komisyon Tarifeleri'!AA210,'Komisyon Tarifeleri'!I210)))</f>
        <v/>
      </c>
      <c r="H210" s="11">
        <f>IF(G210="","",IF($AM$1=2,'Komisyon Tarifeleri'!U210,'Komisyon Tarifeleri'!P210))</f>
        <v/>
      </c>
      <c r="I210" s="10">
        <f>IF(OR(G210="",$D210=""),"",G210*(1-H210/100)-$D210-IF(G210&lt;=199.99,Kargo!$E$2,IF(G210&lt;=399.99,Kargo!$E$3,$F210)))</f>
        <v/>
      </c>
      <c r="J210" s="12">
        <f>IF(I210="","",I210/G210)</f>
        <v/>
      </c>
      <c r="K210" s="10">
        <f>IF($B210="","",IF('Komisyon Tarifeleri'!J210="","",'Komisyon Tarifeleri'!J210))</f>
        <v/>
      </c>
      <c r="L210" s="11">
        <f>IF(K210="","",IF($AM$1=2,'Komisyon Tarifeleri'!V210,'Komisyon Tarifeleri'!Q210))</f>
        <v/>
      </c>
      <c r="M210" s="10">
        <f>IF(OR(K210="",$D210=""),"",K210*(1-L210/100)-$D210-IF(K210&lt;=199.99,Kargo!$E$2,IF(K210&lt;=399.99,Kargo!$E$3,$F210)))</f>
        <v/>
      </c>
      <c r="N210" s="12">
        <f>IF(M210="","",M210/K210)</f>
        <v/>
      </c>
      <c r="O210" s="10">
        <f>IF($B210="","",IF('Komisyon Tarifeleri'!L210="","",'Komisyon Tarifeleri'!L210))</f>
        <v/>
      </c>
      <c r="P210" s="11">
        <f>IF(O210="","",IF($AM$1=2,'Komisyon Tarifeleri'!W210,'Komisyon Tarifeleri'!R210))</f>
        <v/>
      </c>
      <c r="Q210" s="10">
        <f>IF(OR(O210="",$D210=""),"",O210*(1-P210/100)-$D210-IF(O210&lt;=199.99,Kargo!$E$2,IF(O210&lt;=399.99,Kargo!$E$3,$F210)))</f>
        <v/>
      </c>
      <c r="R210" s="12">
        <f>IF(Q210="","",Q210/O210)</f>
        <v/>
      </c>
      <c r="S210" s="10">
        <f>IF($B210="","",IF('Komisyon Tarifeleri'!N210="","",'Komisyon Tarifeleri'!N210))</f>
        <v/>
      </c>
      <c r="T210" s="11">
        <f>IF(S210="","",IF($AM$1=2,'Komisyon Tarifeleri'!X210,'Komisyon Tarifeleri'!S210))</f>
        <v/>
      </c>
      <c r="U210" s="10">
        <f>IF(OR(S210="",$D210=""),"",S210*(1-T210/100)-$D210-IF(S210&lt;=199.99,Kargo!$E$2,IF(S210&lt;=399.99,Kargo!$E$3,$F210)))</f>
        <v/>
      </c>
      <c r="V210" s="12">
        <f>IF(U210="","",U210/S210)</f>
        <v/>
      </c>
      <c r="W210" s="12">
        <f>IF($B210="","",IFERROR(VLOOKUP($C210,Hedefler!$A:$C,2,FALSE),0.04))</f>
        <v/>
      </c>
      <c r="X210" s="12">
        <f>IF($B210="","",IFERROR(VLOOKUP($C210,Hedefler!$A:$C,3,FALSE),0.1))</f>
        <v/>
      </c>
      <c r="Y210" s="13">
        <f>IF($B210="","",IFERROR(VLOOKUP($B210,Maliyetler!$A:$E,5,FALSE),""))</f>
        <v/>
      </c>
      <c r="Z210" s="13">
        <f>IF(OR(Y210="",Y210=0),"",Y210-1)</f>
        <v/>
      </c>
      <c r="AA210" s="14">
        <f>IF(Z210="","",IF(Z210&gt;='Komisyon Tarifeleri'!I210,IF($AM$1=2,'Komisyon Tarifeleri'!U210,'Komisyon Tarifeleri'!P210),IF(Z210&gt;='Komisyon Tarifeleri'!K210,IF($AM$1=2,'Komisyon Tarifeleri'!V210,'Komisyon Tarifeleri'!Q210),IF(Z210&gt;='Komisyon Tarifeleri'!M210,IF($AM$1=2,'Komisyon Tarifeleri'!W210,'Komisyon Tarifeleri'!R210),IF($AM$1=2,'Komisyon Tarifeleri'!X210,'Komisyon Tarifeleri'!S210)))))</f>
        <v/>
      </c>
      <c r="AB210" s="13">
        <f>IF(OR(AA210="",$D210=""),"",Z210*(1-AA210/100)-$D210-IF(Z210&lt;=199.99,Kargo!$E$2,IF(Z210&lt;=399.99,Kargo!$E$3,$F210)))</f>
        <v/>
      </c>
      <c r="AC210" s="15">
        <f>IF(AB210="","",AB210/Z210)</f>
        <v/>
      </c>
      <c r="AD210" s="10">
        <f>IF(OR($D210="",$B210=""),"",IF(AND((1-T210/100-W210)&gt;0,CEILING(($D210+$F210)/(1-T210/100-W210),1)&lt;='Komisyon Tarifeleri'!N210),CEILING(($D210+$F210)/(1-T210/100-W210),1),IF(AND((1-P210/100-W210)&gt;0,CEILING(MAX('Komisyon Tarifeleri'!M210,($D210+$F210)/(1-P210/100-W210)),1)&lt;='Komisyon Tarifeleri'!L210),CEILING(MAX('Komisyon Tarifeleri'!M210,($D210+$F210)/(1-P210/100-W210)),1),IF(AND((1-L210/100-W210)&gt;0,CEILING(MAX('Komisyon Tarifeleri'!K210,($D210+$F210)/(1-L210/100-W210)),1)&lt;='Komisyon Tarifeleri'!J210),CEILING(MAX('Komisyon Tarifeleri'!K210,($D210+$F210)/(1-L210/100-W210)),1),IF((1-H210/100-W210)&gt;0,CEILING(MAX('Komisyon Tarifeleri'!I210,($D210+$F210)/(1-H210/100-W210)),1),"İMKÂNSIZ")))))</f>
        <v/>
      </c>
      <c r="AE210" s="10">
        <f>IF(OR($D210="",$B210=""),"",IF(AND((1-T210/100-X210)&gt;0,CEILING(($D210+$F210)/(1-T210/100-X210),1)&lt;='Komisyon Tarifeleri'!N210),CEILING(($D210+$F210)/(1-T210/100-X210),1),IF(AND((1-P210/100-X210)&gt;0,CEILING(MAX('Komisyon Tarifeleri'!M210,($D210+$F210)/(1-P210/100-X210)),1)&lt;='Komisyon Tarifeleri'!L210),CEILING(MAX('Komisyon Tarifeleri'!M210,($D210+$F210)/(1-P210/100-X210)),1),IF(AND((1-L210/100-X210)&gt;0,CEILING(MAX('Komisyon Tarifeleri'!K210,($D210+$F210)/(1-L210/100-X210)),1)&lt;='Komisyon Tarifeleri'!J210),CEILING(MAX('Komisyon Tarifeleri'!K210,($D210+$F210)/(1-L210/100-X210)),1),IF((1-H210/100-X210)&gt;0,CEILING(MAX('Komisyon Tarifeleri'!I210,($D210+$F210)/(1-H210/100-X210)),1),"İMKÂNSIZ")))))</f>
        <v/>
      </c>
      <c r="AF210" s="16">
        <f>IF($D210="","",IF(AND(Y210&lt;&gt;"",AC210&lt;&gt;"",AC210&gt;=W210),Z210,IF(Y210&lt;&gt;"",AD210,AE210)))</f>
        <v/>
      </c>
      <c r="AG210" s="16">
        <f>IF(OR(AF210="",AF210="İMKÂNSIZ"),"",AF210*(1-IF(AF210&gt;='Komisyon Tarifeleri'!I210,IF($AM$1=2,'Komisyon Tarifeleri'!U210,'Komisyon Tarifeleri'!P210),IF(AF210&gt;='Komisyon Tarifeleri'!K210,IF($AM$1=2,'Komisyon Tarifeleri'!V210,'Komisyon Tarifeleri'!Q210),IF(AF210&gt;='Komisyon Tarifeleri'!M210,IF($AM$1=2,'Komisyon Tarifeleri'!W210,'Komisyon Tarifeleri'!R210),IF($AM$1=2,'Komisyon Tarifeleri'!X210,'Komisyon Tarifeleri'!S210))))/100)-$D210-IF(AF210&lt;=199.99,Kargo!$E$2,IF(AF210&lt;=399.99,Kargo!$E$3,$F210)))</f>
        <v/>
      </c>
      <c r="AH210" s="17">
        <f>IF(AG210="","",AG210/AF210)</f>
        <v/>
      </c>
      <c r="AI210" s="18">
        <f>IF($D210="","",IF(Y210="","BUYBOX YOK → hedef kârla min fiyat",IF(AC210&gt;=W210,"✓ BUYBOX ALTINA GİR","BUYBOX ALTI KÂRSIZ → min kârlı fiyat")))</f>
        <v/>
      </c>
      <c r="AJ210" s="10">
        <f>IF($B210="","",IFERROR(VLOOKUP($B210,Maliyetler!$A:$G,6,FALSE),""))</f>
        <v/>
      </c>
      <c r="AK210">
        <f>IF($B210="","",IFERROR(VLOOKUP($B210,Maliyetler!$A:$G,7,FALSE),""))</f>
        <v/>
      </c>
      <c r="AO210" s="21">
        <f>IF($B210="","",IFERROR(VLOOKUP($B210&amp;"",'Plus Tarifeleri'!$C:$Q,11,FALSE),""))</f>
        <v/>
      </c>
      <c r="AP210" s="22">
        <f>IF(AO210="","",IFERROR(IF($AM$1=2,VLOOKUP($B210&amp;"",'Plus Tarifeleri'!$C:$Q,15,FALSE),VLOOKUP($B210&amp;"",'Plus Tarifeleri'!$C:$Q,13,FALSE)),""))</f>
        <v/>
      </c>
      <c r="AQ210" s="21">
        <f>IF(OR(AO210="",AP210="",$D210=""),"",AO210*(1-AP210/100)-$D210-IF(AO210&lt;=199.99,Kargo!$E$2,IF(AO210&lt;=399.99,Kargo!$E$3,$F210)))</f>
        <v/>
      </c>
      <c r="AR210" s="23">
        <f>IF(AQ210="","",AQ210/AO210)</f>
        <v/>
      </c>
      <c r="AS210" s="24">
        <f>IF(OR(AQ210="",AG210=""),"",AQ210-AG210)</f>
        <v/>
      </c>
    </row>
    <row r="211">
      <c r="A211">
        <f>IF('Komisyon Tarifeleri'!A211="","",'Komisyon Tarifeleri'!A211)</f>
        <v/>
      </c>
      <c r="B211">
        <f>IF('Komisyon Tarifeleri'!B211="","",'Komisyon Tarifeleri'!B211&amp;"")</f>
        <v/>
      </c>
      <c r="C211">
        <f>IF($B211="","",'Komisyon Tarifeleri'!F211)</f>
        <v/>
      </c>
      <c r="D211" s="10">
        <f>IF($B211="","",IFERROR(VLOOKUP($B211,Maliyetler!$A:$E,3,FALSE),""))</f>
        <v/>
      </c>
      <c r="E211">
        <f>IF($B211="","",IFERROR(VLOOKUP($B211,Maliyetler!$A:$E,4,FALSE),1))</f>
        <v/>
      </c>
      <c r="F211" s="10">
        <f>IF($B211="","",IFERROR(VLOOKUP(MIN(20,MAX(1,ROUND($E211,0))),Kargo!$A:$B,2,FALSE),99.46))</f>
        <v/>
      </c>
      <c r="G211" s="10">
        <f>IF($B211="","",IF(IF(N('Komisyon Tarifeleri'!AA211)&gt;='Komisyon Tarifeleri'!I211,'Komisyon Tarifeleri'!AA211,'Komisyon Tarifeleri'!I211)="","",IF(N('Komisyon Tarifeleri'!AA211)&gt;='Komisyon Tarifeleri'!I211,'Komisyon Tarifeleri'!AA211,'Komisyon Tarifeleri'!I211)))</f>
        <v/>
      </c>
      <c r="H211" s="11">
        <f>IF(G211="","",IF($AM$1=2,'Komisyon Tarifeleri'!U211,'Komisyon Tarifeleri'!P211))</f>
        <v/>
      </c>
      <c r="I211" s="10">
        <f>IF(OR(G211="",$D211=""),"",G211*(1-H211/100)-$D211-IF(G211&lt;=199.99,Kargo!$E$2,IF(G211&lt;=399.99,Kargo!$E$3,$F211)))</f>
        <v/>
      </c>
      <c r="J211" s="12">
        <f>IF(I211="","",I211/G211)</f>
        <v/>
      </c>
      <c r="K211" s="10">
        <f>IF($B211="","",IF('Komisyon Tarifeleri'!J211="","",'Komisyon Tarifeleri'!J211))</f>
        <v/>
      </c>
      <c r="L211" s="11">
        <f>IF(K211="","",IF($AM$1=2,'Komisyon Tarifeleri'!V211,'Komisyon Tarifeleri'!Q211))</f>
        <v/>
      </c>
      <c r="M211" s="10">
        <f>IF(OR(K211="",$D211=""),"",K211*(1-L211/100)-$D211-IF(K211&lt;=199.99,Kargo!$E$2,IF(K211&lt;=399.99,Kargo!$E$3,$F211)))</f>
        <v/>
      </c>
      <c r="N211" s="12">
        <f>IF(M211="","",M211/K211)</f>
        <v/>
      </c>
      <c r="O211" s="10">
        <f>IF($B211="","",IF('Komisyon Tarifeleri'!L211="","",'Komisyon Tarifeleri'!L211))</f>
        <v/>
      </c>
      <c r="P211" s="11">
        <f>IF(O211="","",IF($AM$1=2,'Komisyon Tarifeleri'!W211,'Komisyon Tarifeleri'!R211))</f>
        <v/>
      </c>
      <c r="Q211" s="10">
        <f>IF(OR(O211="",$D211=""),"",O211*(1-P211/100)-$D211-IF(O211&lt;=199.99,Kargo!$E$2,IF(O211&lt;=399.99,Kargo!$E$3,$F211)))</f>
        <v/>
      </c>
      <c r="R211" s="12">
        <f>IF(Q211="","",Q211/O211)</f>
        <v/>
      </c>
      <c r="S211" s="10">
        <f>IF($B211="","",IF('Komisyon Tarifeleri'!N211="","",'Komisyon Tarifeleri'!N211))</f>
        <v/>
      </c>
      <c r="T211" s="11">
        <f>IF(S211="","",IF($AM$1=2,'Komisyon Tarifeleri'!X211,'Komisyon Tarifeleri'!S211))</f>
        <v/>
      </c>
      <c r="U211" s="10">
        <f>IF(OR(S211="",$D211=""),"",S211*(1-T211/100)-$D211-IF(S211&lt;=199.99,Kargo!$E$2,IF(S211&lt;=399.99,Kargo!$E$3,$F211)))</f>
        <v/>
      </c>
      <c r="V211" s="12">
        <f>IF(U211="","",U211/S211)</f>
        <v/>
      </c>
      <c r="W211" s="12">
        <f>IF($B211="","",IFERROR(VLOOKUP($C211,Hedefler!$A:$C,2,FALSE),0.04))</f>
        <v/>
      </c>
      <c r="X211" s="12">
        <f>IF($B211="","",IFERROR(VLOOKUP($C211,Hedefler!$A:$C,3,FALSE),0.1))</f>
        <v/>
      </c>
      <c r="Y211" s="13">
        <f>IF($B211="","",IFERROR(VLOOKUP($B211,Maliyetler!$A:$E,5,FALSE),""))</f>
        <v/>
      </c>
      <c r="Z211" s="13">
        <f>IF(OR(Y211="",Y211=0),"",Y211-1)</f>
        <v/>
      </c>
      <c r="AA211" s="14">
        <f>IF(Z211="","",IF(Z211&gt;='Komisyon Tarifeleri'!I211,IF($AM$1=2,'Komisyon Tarifeleri'!U211,'Komisyon Tarifeleri'!P211),IF(Z211&gt;='Komisyon Tarifeleri'!K211,IF($AM$1=2,'Komisyon Tarifeleri'!V211,'Komisyon Tarifeleri'!Q211),IF(Z211&gt;='Komisyon Tarifeleri'!M211,IF($AM$1=2,'Komisyon Tarifeleri'!W211,'Komisyon Tarifeleri'!R211),IF($AM$1=2,'Komisyon Tarifeleri'!X211,'Komisyon Tarifeleri'!S211)))))</f>
        <v/>
      </c>
      <c r="AB211" s="13">
        <f>IF(OR(AA211="",$D211=""),"",Z211*(1-AA211/100)-$D211-IF(Z211&lt;=199.99,Kargo!$E$2,IF(Z211&lt;=399.99,Kargo!$E$3,$F211)))</f>
        <v/>
      </c>
      <c r="AC211" s="15">
        <f>IF(AB211="","",AB211/Z211)</f>
        <v/>
      </c>
      <c r="AD211" s="10">
        <f>IF(OR($D211="",$B211=""),"",IF(AND((1-T211/100-W211)&gt;0,CEILING(($D211+$F211)/(1-T211/100-W211),1)&lt;='Komisyon Tarifeleri'!N211),CEILING(($D211+$F211)/(1-T211/100-W211),1),IF(AND((1-P211/100-W211)&gt;0,CEILING(MAX('Komisyon Tarifeleri'!M211,($D211+$F211)/(1-P211/100-W211)),1)&lt;='Komisyon Tarifeleri'!L211),CEILING(MAX('Komisyon Tarifeleri'!M211,($D211+$F211)/(1-P211/100-W211)),1),IF(AND((1-L211/100-W211)&gt;0,CEILING(MAX('Komisyon Tarifeleri'!K211,($D211+$F211)/(1-L211/100-W211)),1)&lt;='Komisyon Tarifeleri'!J211),CEILING(MAX('Komisyon Tarifeleri'!K211,($D211+$F211)/(1-L211/100-W211)),1),IF((1-H211/100-W211)&gt;0,CEILING(MAX('Komisyon Tarifeleri'!I211,($D211+$F211)/(1-H211/100-W211)),1),"İMKÂNSIZ")))))</f>
        <v/>
      </c>
      <c r="AE211" s="10">
        <f>IF(OR($D211="",$B211=""),"",IF(AND((1-T211/100-X211)&gt;0,CEILING(($D211+$F211)/(1-T211/100-X211),1)&lt;='Komisyon Tarifeleri'!N211),CEILING(($D211+$F211)/(1-T211/100-X211),1),IF(AND((1-P211/100-X211)&gt;0,CEILING(MAX('Komisyon Tarifeleri'!M211,($D211+$F211)/(1-P211/100-X211)),1)&lt;='Komisyon Tarifeleri'!L211),CEILING(MAX('Komisyon Tarifeleri'!M211,($D211+$F211)/(1-P211/100-X211)),1),IF(AND((1-L211/100-X211)&gt;0,CEILING(MAX('Komisyon Tarifeleri'!K211,($D211+$F211)/(1-L211/100-X211)),1)&lt;='Komisyon Tarifeleri'!J211),CEILING(MAX('Komisyon Tarifeleri'!K211,($D211+$F211)/(1-L211/100-X211)),1),IF((1-H211/100-X211)&gt;0,CEILING(MAX('Komisyon Tarifeleri'!I211,($D211+$F211)/(1-H211/100-X211)),1),"İMKÂNSIZ")))))</f>
        <v/>
      </c>
      <c r="AF211" s="16">
        <f>IF($D211="","",IF(AND(Y211&lt;&gt;"",AC211&lt;&gt;"",AC211&gt;=W211),Z211,IF(Y211&lt;&gt;"",AD211,AE211)))</f>
        <v/>
      </c>
      <c r="AG211" s="16">
        <f>IF(OR(AF211="",AF211="İMKÂNSIZ"),"",AF211*(1-IF(AF211&gt;='Komisyon Tarifeleri'!I211,IF($AM$1=2,'Komisyon Tarifeleri'!U211,'Komisyon Tarifeleri'!P211),IF(AF211&gt;='Komisyon Tarifeleri'!K211,IF($AM$1=2,'Komisyon Tarifeleri'!V211,'Komisyon Tarifeleri'!Q211),IF(AF211&gt;='Komisyon Tarifeleri'!M211,IF($AM$1=2,'Komisyon Tarifeleri'!W211,'Komisyon Tarifeleri'!R211),IF($AM$1=2,'Komisyon Tarifeleri'!X211,'Komisyon Tarifeleri'!S211))))/100)-$D211-IF(AF211&lt;=199.99,Kargo!$E$2,IF(AF211&lt;=399.99,Kargo!$E$3,$F211)))</f>
        <v/>
      </c>
      <c r="AH211" s="17">
        <f>IF(AG211="","",AG211/AF211)</f>
        <v/>
      </c>
      <c r="AI211" s="18">
        <f>IF($D211="","",IF(Y211="","BUYBOX YOK → hedef kârla min fiyat",IF(AC211&gt;=W211,"✓ BUYBOX ALTINA GİR","BUYBOX ALTI KÂRSIZ → min kârlı fiyat")))</f>
        <v/>
      </c>
      <c r="AJ211" s="10">
        <f>IF($B211="","",IFERROR(VLOOKUP($B211,Maliyetler!$A:$G,6,FALSE),""))</f>
        <v/>
      </c>
      <c r="AK211">
        <f>IF($B211="","",IFERROR(VLOOKUP($B211,Maliyetler!$A:$G,7,FALSE),""))</f>
        <v/>
      </c>
      <c r="AO211" s="21">
        <f>IF($B211="","",IFERROR(VLOOKUP($B211&amp;"",'Plus Tarifeleri'!$C:$Q,11,FALSE),""))</f>
        <v/>
      </c>
      <c r="AP211" s="22">
        <f>IF(AO211="","",IFERROR(IF($AM$1=2,VLOOKUP($B211&amp;"",'Plus Tarifeleri'!$C:$Q,15,FALSE),VLOOKUP($B211&amp;"",'Plus Tarifeleri'!$C:$Q,13,FALSE)),""))</f>
        <v/>
      </c>
      <c r="AQ211" s="21">
        <f>IF(OR(AO211="",AP211="",$D211=""),"",AO211*(1-AP211/100)-$D211-IF(AO211&lt;=199.99,Kargo!$E$2,IF(AO211&lt;=399.99,Kargo!$E$3,$F211)))</f>
        <v/>
      </c>
      <c r="AR211" s="23">
        <f>IF(AQ211="","",AQ211/AO211)</f>
        <v/>
      </c>
      <c r="AS211" s="24">
        <f>IF(OR(AQ211="",AG211=""),"",AQ211-AG211)</f>
        <v/>
      </c>
    </row>
    <row r="212">
      <c r="A212">
        <f>IF('Komisyon Tarifeleri'!A212="","",'Komisyon Tarifeleri'!A212)</f>
        <v/>
      </c>
      <c r="B212">
        <f>IF('Komisyon Tarifeleri'!B212="","",'Komisyon Tarifeleri'!B212&amp;"")</f>
        <v/>
      </c>
      <c r="C212">
        <f>IF($B212="","",'Komisyon Tarifeleri'!F212)</f>
        <v/>
      </c>
      <c r="D212" s="10">
        <f>IF($B212="","",IFERROR(VLOOKUP($B212,Maliyetler!$A:$E,3,FALSE),""))</f>
        <v/>
      </c>
      <c r="E212">
        <f>IF($B212="","",IFERROR(VLOOKUP($B212,Maliyetler!$A:$E,4,FALSE),1))</f>
        <v/>
      </c>
      <c r="F212" s="10">
        <f>IF($B212="","",IFERROR(VLOOKUP(MIN(20,MAX(1,ROUND($E212,0))),Kargo!$A:$B,2,FALSE),99.46))</f>
        <v/>
      </c>
      <c r="G212" s="10">
        <f>IF($B212="","",IF(IF(N('Komisyon Tarifeleri'!AA212)&gt;='Komisyon Tarifeleri'!I212,'Komisyon Tarifeleri'!AA212,'Komisyon Tarifeleri'!I212)="","",IF(N('Komisyon Tarifeleri'!AA212)&gt;='Komisyon Tarifeleri'!I212,'Komisyon Tarifeleri'!AA212,'Komisyon Tarifeleri'!I212)))</f>
        <v/>
      </c>
      <c r="H212" s="11">
        <f>IF(G212="","",IF($AM$1=2,'Komisyon Tarifeleri'!U212,'Komisyon Tarifeleri'!P212))</f>
        <v/>
      </c>
      <c r="I212" s="10">
        <f>IF(OR(G212="",$D212=""),"",G212*(1-H212/100)-$D212-IF(G212&lt;=199.99,Kargo!$E$2,IF(G212&lt;=399.99,Kargo!$E$3,$F212)))</f>
        <v/>
      </c>
      <c r="J212" s="12">
        <f>IF(I212="","",I212/G212)</f>
        <v/>
      </c>
      <c r="K212" s="10">
        <f>IF($B212="","",IF('Komisyon Tarifeleri'!J212="","",'Komisyon Tarifeleri'!J212))</f>
        <v/>
      </c>
      <c r="L212" s="11">
        <f>IF(K212="","",IF($AM$1=2,'Komisyon Tarifeleri'!V212,'Komisyon Tarifeleri'!Q212))</f>
        <v/>
      </c>
      <c r="M212" s="10">
        <f>IF(OR(K212="",$D212=""),"",K212*(1-L212/100)-$D212-IF(K212&lt;=199.99,Kargo!$E$2,IF(K212&lt;=399.99,Kargo!$E$3,$F212)))</f>
        <v/>
      </c>
      <c r="N212" s="12">
        <f>IF(M212="","",M212/K212)</f>
        <v/>
      </c>
      <c r="O212" s="10">
        <f>IF($B212="","",IF('Komisyon Tarifeleri'!L212="","",'Komisyon Tarifeleri'!L212))</f>
        <v/>
      </c>
      <c r="P212" s="11">
        <f>IF(O212="","",IF($AM$1=2,'Komisyon Tarifeleri'!W212,'Komisyon Tarifeleri'!R212))</f>
        <v/>
      </c>
      <c r="Q212" s="10">
        <f>IF(OR(O212="",$D212=""),"",O212*(1-P212/100)-$D212-IF(O212&lt;=199.99,Kargo!$E$2,IF(O212&lt;=399.99,Kargo!$E$3,$F212)))</f>
        <v/>
      </c>
      <c r="R212" s="12">
        <f>IF(Q212="","",Q212/O212)</f>
        <v/>
      </c>
      <c r="S212" s="10">
        <f>IF($B212="","",IF('Komisyon Tarifeleri'!N212="","",'Komisyon Tarifeleri'!N212))</f>
        <v/>
      </c>
      <c r="T212" s="11">
        <f>IF(S212="","",IF($AM$1=2,'Komisyon Tarifeleri'!X212,'Komisyon Tarifeleri'!S212))</f>
        <v/>
      </c>
      <c r="U212" s="10">
        <f>IF(OR(S212="",$D212=""),"",S212*(1-T212/100)-$D212-IF(S212&lt;=199.99,Kargo!$E$2,IF(S212&lt;=399.99,Kargo!$E$3,$F212)))</f>
        <v/>
      </c>
      <c r="V212" s="12">
        <f>IF(U212="","",U212/S212)</f>
        <v/>
      </c>
      <c r="W212" s="12">
        <f>IF($B212="","",IFERROR(VLOOKUP($C212,Hedefler!$A:$C,2,FALSE),0.04))</f>
        <v/>
      </c>
      <c r="X212" s="12">
        <f>IF($B212="","",IFERROR(VLOOKUP($C212,Hedefler!$A:$C,3,FALSE),0.1))</f>
        <v/>
      </c>
      <c r="Y212" s="13">
        <f>IF($B212="","",IFERROR(VLOOKUP($B212,Maliyetler!$A:$E,5,FALSE),""))</f>
        <v/>
      </c>
      <c r="Z212" s="13">
        <f>IF(OR(Y212="",Y212=0),"",Y212-1)</f>
        <v/>
      </c>
      <c r="AA212" s="14">
        <f>IF(Z212="","",IF(Z212&gt;='Komisyon Tarifeleri'!I212,IF($AM$1=2,'Komisyon Tarifeleri'!U212,'Komisyon Tarifeleri'!P212),IF(Z212&gt;='Komisyon Tarifeleri'!K212,IF($AM$1=2,'Komisyon Tarifeleri'!V212,'Komisyon Tarifeleri'!Q212),IF(Z212&gt;='Komisyon Tarifeleri'!M212,IF($AM$1=2,'Komisyon Tarifeleri'!W212,'Komisyon Tarifeleri'!R212),IF($AM$1=2,'Komisyon Tarifeleri'!X212,'Komisyon Tarifeleri'!S212)))))</f>
        <v/>
      </c>
      <c r="AB212" s="13">
        <f>IF(OR(AA212="",$D212=""),"",Z212*(1-AA212/100)-$D212-IF(Z212&lt;=199.99,Kargo!$E$2,IF(Z212&lt;=399.99,Kargo!$E$3,$F212)))</f>
        <v/>
      </c>
      <c r="AC212" s="15">
        <f>IF(AB212="","",AB212/Z212)</f>
        <v/>
      </c>
      <c r="AD212" s="10">
        <f>IF(OR($D212="",$B212=""),"",IF(AND((1-T212/100-W212)&gt;0,CEILING(($D212+$F212)/(1-T212/100-W212),1)&lt;='Komisyon Tarifeleri'!N212),CEILING(($D212+$F212)/(1-T212/100-W212),1),IF(AND((1-P212/100-W212)&gt;0,CEILING(MAX('Komisyon Tarifeleri'!M212,($D212+$F212)/(1-P212/100-W212)),1)&lt;='Komisyon Tarifeleri'!L212),CEILING(MAX('Komisyon Tarifeleri'!M212,($D212+$F212)/(1-P212/100-W212)),1),IF(AND((1-L212/100-W212)&gt;0,CEILING(MAX('Komisyon Tarifeleri'!K212,($D212+$F212)/(1-L212/100-W212)),1)&lt;='Komisyon Tarifeleri'!J212),CEILING(MAX('Komisyon Tarifeleri'!K212,($D212+$F212)/(1-L212/100-W212)),1),IF((1-H212/100-W212)&gt;0,CEILING(MAX('Komisyon Tarifeleri'!I212,($D212+$F212)/(1-H212/100-W212)),1),"İMKÂNSIZ")))))</f>
        <v/>
      </c>
      <c r="AE212" s="10">
        <f>IF(OR($D212="",$B212=""),"",IF(AND((1-T212/100-X212)&gt;0,CEILING(($D212+$F212)/(1-T212/100-X212),1)&lt;='Komisyon Tarifeleri'!N212),CEILING(($D212+$F212)/(1-T212/100-X212),1),IF(AND((1-P212/100-X212)&gt;0,CEILING(MAX('Komisyon Tarifeleri'!M212,($D212+$F212)/(1-P212/100-X212)),1)&lt;='Komisyon Tarifeleri'!L212),CEILING(MAX('Komisyon Tarifeleri'!M212,($D212+$F212)/(1-P212/100-X212)),1),IF(AND((1-L212/100-X212)&gt;0,CEILING(MAX('Komisyon Tarifeleri'!K212,($D212+$F212)/(1-L212/100-X212)),1)&lt;='Komisyon Tarifeleri'!J212),CEILING(MAX('Komisyon Tarifeleri'!K212,($D212+$F212)/(1-L212/100-X212)),1),IF((1-H212/100-X212)&gt;0,CEILING(MAX('Komisyon Tarifeleri'!I212,($D212+$F212)/(1-H212/100-X212)),1),"İMKÂNSIZ")))))</f>
        <v/>
      </c>
      <c r="AF212" s="16">
        <f>IF($D212="","",IF(AND(Y212&lt;&gt;"",AC212&lt;&gt;"",AC212&gt;=W212),Z212,IF(Y212&lt;&gt;"",AD212,AE212)))</f>
        <v/>
      </c>
      <c r="AG212" s="16">
        <f>IF(OR(AF212="",AF212="İMKÂNSIZ"),"",AF212*(1-IF(AF212&gt;='Komisyon Tarifeleri'!I212,IF($AM$1=2,'Komisyon Tarifeleri'!U212,'Komisyon Tarifeleri'!P212),IF(AF212&gt;='Komisyon Tarifeleri'!K212,IF($AM$1=2,'Komisyon Tarifeleri'!V212,'Komisyon Tarifeleri'!Q212),IF(AF212&gt;='Komisyon Tarifeleri'!M212,IF($AM$1=2,'Komisyon Tarifeleri'!W212,'Komisyon Tarifeleri'!R212),IF($AM$1=2,'Komisyon Tarifeleri'!X212,'Komisyon Tarifeleri'!S212))))/100)-$D212-IF(AF212&lt;=199.99,Kargo!$E$2,IF(AF212&lt;=399.99,Kargo!$E$3,$F212)))</f>
        <v/>
      </c>
      <c r="AH212" s="17">
        <f>IF(AG212="","",AG212/AF212)</f>
        <v/>
      </c>
      <c r="AI212" s="18">
        <f>IF($D212="","",IF(Y212="","BUYBOX YOK → hedef kârla min fiyat",IF(AC212&gt;=W212,"✓ BUYBOX ALTINA GİR","BUYBOX ALTI KÂRSIZ → min kârlı fiyat")))</f>
        <v/>
      </c>
      <c r="AJ212" s="10">
        <f>IF($B212="","",IFERROR(VLOOKUP($B212,Maliyetler!$A:$G,6,FALSE),""))</f>
        <v/>
      </c>
      <c r="AK212">
        <f>IF($B212="","",IFERROR(VLOOKUP($B212,Maliyetler!$A:$G,7,FALSE),""))</f>
        <v/>
      </c>
      <c r="AO212" s="21">
        <f>IF($B212="","",IFERROR(VLOOKUP($B212&amp;"",'Plus Tarifeleri'!$C:$Q,11,FALSE),""))</f>
        <v/>
      </c>
      <c r="AP212" s="22">
        <f>IF(AO212="","",IFERROR(IF($AM$1=2,VLOOKUP($B212&amp;"",'Plus Tarifeleri'!$C:$Q,15,FALSE),VLOOKUP($B212&amp;"",'Plus Tarifeleri'!$C:$Q,13,FALSE)),""))</f>
        <v/>
      </c>
      <c r="AQ212" s="21">
        <f>IF(OR(AO212="",AP212="",$D212=""),"",AO212*(1-AP212/100)-$D212-IF(AO212&lt;=199.99,Kargo!$E$2,IF(AO212&lt;=399.99,Kargo!$E$3,$F212)))</f>
        <v/>
      </c>
      <c r="AR212" s="23">
        <f>IF(AQ212="","",AQ212/AO212)</f>
        <v/>
      </c>
      <c r="AS212" s="24">
        <f>IF(OR(AQ212="",AG212=""),"",AQ212-AG212)</f>
        <v/>
      </c>
    </row>
    <row r="213">
      <c r="A213">
        <f>IF('Komisyon Tarifeleri'!A213="","",'Komisyon Tarifeleri'!A213)</f>
        <v/>
      </c>
      <c r="B213">
        <f>IF('Komisyon Tarifeleri'!B213="","",'Komisyon Tarifeleri'!B213&amp;"")</f>
        <v/>
      </c>
      <c r="C213">
        <f>IF($B213="","",'Komisyon Tarifeleri'!F213)</f>
        <v/>
      </c>
      <c r="D213" s="10">
        <f>IF($B213="","",IFERROR(VLOOKUP($B213,Maliyetler!$A:$E,3,FALSE),""))</f>
        <v/>
      </c>
      <c r="E213">
        <f>IF($B213="","",IFERROR(VLOOKUP($B213,Maliyetler!$A:$E,4,FALSE),1))</f>
        <v/>
      </c>
      <c r="F213" s="10">
        <f>IF($B213="","",IFERROR(VLOOKUP(MIN(20,MAX(1,ROUND($E213,0))),Kargo!$A:$B,2,FALSE),99.46))</f>
        <v/>
      </c>
      <c r="G213" s="10">
        <f>IF($B213="","",IF(IF(N('Komisyon Tarifeleri'!AA213)&gt;='Komisyon Tarifeleri'!I213,'Komisyon Tarifeleri'!AA213,'Komisyon Tarifeleri'!I213)="","",IF(N('Komisyon Tarifeleri'!AA213)&gt;='Komisyon Tarifeleri'!I213,'Komisyon Tarifeleri'!AA213,'Komisyon Tarifeleri'!I213)))</f>
        <v/>
      </c>
      <c r="H213" s="11">
        <f>IF(G213="","",IF($AM$1=2,'Komisyon Tarifeleri'!U213,'Komisyon Tarifeleri'!P213))</f>
        <v/>
      </c>
      <c r="I213" s="10">
        <f>IF(OR(G213="",$D213=""),"",G213*(1-H213/100)-$D213-IF(G213&lt;=199.99,Kargo!$E$2,IF(G213&lt;=399.99,Kargo!$E$3,$F213)))</f>
        <v/>
      </c>
      <c r="J213" s="12">
        <f>IF(I213="","",I213/G213)</f>
        <v/>
      </c>
      <c r="K213" s="10">
        <f>IF($B213="","",IF('Komisyon Tarifeleri'!J213="","",'Komisyon Tarifeleri'!J213))</f>
        <v/>
      </c>
      <c r="L213" s="11">
        <f>IF(K213="","",IF($AM$1=2,'Komisyon Tarifeleri'!V213,'Komisyon Tarifeleri'!Q213))</f>
        <v/>
      </c>
      <c r="M213" s="10">
        <f>IF(OR(K213="",$D213=""),"",K213*(1-L213/100)-$D213-IF(K213&lt;=199.99,Kargo!$E$2,IF(K213&lt;=399.99,Kargo!$E$3,$F213)))</f>
        <v/>
      </c>
      <c r="N213" s="12">
        <f>IF(M213="","",M213/K213)</f>
        <v/>
      </c>
      <c r="O213" s="10">
        <f>IF($B213="","",IF('Komisyon Tarifeleri'!L213="","",'Komisyon Tarifeleri'!L213))</f>
        <v/>
      </c>
      <c r="P213" s="11">
        <f>IF(O213="","",IF($AM$1=2,'Komisyon Tarifeleri'!W213,'Komisyon Tarifeleri'!R213))</f>
        <v/>
      </c>
      <c r="Q213" s="10">
        <f>IF(OR(O213="",$D213=""),"",O213*(1-P213/100)-$D213-IF(O213&lt;=199.99,Kargo!$E$2,IF(O213&lt;=399.99,Kargo!$E$3,$F213)))</f>
        <v/>
      </c>
      <c r="R213" s="12">
        <f>IF(Q213="","",Q213/O213)</f>
        <v/>
      </c>
      <c r="S213" s="10">
        <f>IF($B213="","",IF('Komisyon Tarifeleri'!N213="","",'Komisyon Tarifeleri'!N213))</f>
        <v/>
      </c>
      <c r="T213" s="11">
        <f>IF(S213="","",IF($AM$1=2,'Komisyon Tarifeleri'!X213,'Komisyon Tarifeleri'!S213))</f>
        <v/>
      </c>
      <c r="U213" s="10">
        <f>IF(OR(S213="",$D213=""),"",S213*(1-T213/100)-$D213-IF(S213&lt;=199.99,Kargo!$E$2,IF(S213&lt;=399.99,Kargo!$E$3,$F213)))</f>
        <v/>
      </c>
      <c r="V213" s="12">
        <f>IF(U213="","",U213/S213)</f>
        <v/>
      </c>
      <c r="W213" s="12">
        <f>IF($B213="","",IFERROR(VLOOKUP($C213,Hedefler!$A:$C,2,FALSE),0.04))</f>
        <v/>
      </c>
      <c r="X213" s="12">
        <f>IF($B213="","",IFERROR(VLOOKUP($C213,Hedefler!$A:$C,3,FALSE),0.1))</f>
        <v/>
      </c>
      <c r="Y213" s="13">
        <f>IF($B213="","",IFERROR(VLOOKUP($B213,Maliyetler!$A:$E,5,FALSE),""))</f>
        <v/>
      </c>
      <c r="Z213" s="13">
        <f>IF(OR(Y213="",Y213=0),"",Y213-1)</f>
        <v/>
      </c>
      <c r="AA213" s="14">
        <f>IF(Z213="","",IF(Z213&gt;='Komisyon Tarifeleri'!I213,IF($AM$1=2,'Komisyon Tarifeleri'!U213,'Komisyon Tarifeleri'!P213),IF(Z213&gt;='Komisyon Tarifeleri'!K213,IF($AM$1=2,'Komisyon Tarifeleri'!V213,'Komisyon Tarifeleri'!Q213),IF(Z213&gt;='Komisyon Tarifeleri'!M213,IF($AM$1=2,'Komisyon Tarifeleri'!W213,'Komisyon Tarifeleri'!R213),IF($AM$1=2,'Komisyon Tarifeleri'!X213,'Komisyon Tarifeleri'!S213)))))</f>
        <v/>
      </c>
      <c r="AB213" s="13">
        <f>IF(OR(AA213="",$D213=""),"",Z213*(1-AA213/100)-$D213-IF(Z213&lt;=199.99,Kargo!$E$2,IF(Z213&lt;=399.99,Kargo!$E$3,$F213)))</f>
        <v/>
      </c>
      <c r="AC213" s="15">
        <f>IF(AB213="","",AB213/Z213)</f>
        <v/>
      </c>
      <c r="AD213" s="10">
        <f>IF(OR($D213="",$B213=""),"",IF(AND((1-T213/100-W213)&gt;0,CEILING(($D213+$F213)/(1-T213/100-W213),1)&lt;='Komisyon Tarifeleri'!N213),CEILING(($D213+$F213)/(1-T213/100-W213),1),IF(AND((1-P213/100-W213)&gt;0,CEILING(MAX('Komisyon Tarifeleri'!M213,($D213+$F213)/(1-P213/100-W213)),1)&lt;='Komisyon Tarifeleri'!L213),CEILING(MAX('Komisyon Tarifeleri'!M213,($D213+$F213)/(1-P213/100-W213)),1),IF(AND((1-L213/100-W213)&gt;0,CEILING(MAX('Komisyon Tarifeleri'!K213,($D213+$F213)/(1-L213/100-W213)),1)&lt;='Komisyon Tarifeleri'!J213),CEILING(MAX('Komisyon Tarifeleri'!K213,($D213+$F213)/(1-L213/100-W213)),1),IF((1-H213/100-W213)&gt;0,CEILING(MAX('Komisyon Tarifeleri'!I213,($D213+$F213)/(1-H213/100-W213)),1),"İMKÂNSIZ")))))</f>
        <v/>
      </c>
      <c r="AE213" s="10">
        <f>IF(OR($D213="",$B213=""),"",IF(AND((1-T213/100-X213)&gt;0,CEILING(($D213+$F213)/(1-T213/100-X213),1)&lt;='Komisyon Tarifeleri'!N213),CEILING(($D213+$F213)/(1-T213/100-X213),1),IF(AND((1-P213/100-X213)&gt;0,CEILING(MAX('Komisyon Tarifeleri'!M213,($D213+$F213)/(1-P213/100-X213)),1)&lt;='Komisyon Tarifeleri'!L213),CEILING(MAX('Komisyon Tarifeleri'!M213,($D213+$F213)/(1-P213/100-X213)),1),IF(AND((1-L213/100-X213)&gt;0,CEILING(MAX('Komisyon Tarifeleri'!K213,($D213+$F213)/(1-L213/100-X213)),1)&lt;='Komisyon Tarifeleri'!J213),CEILING(MAX('Komisyon Tarifeleri'!K213,($D213+$F213)/(1-L213/100-X213)),1),IF((1-H213/100-X213)&gt;0,CEILING(MAX('Komisyon Tarifeleri'!I213,($D213+$F213)/(1-H213/100-X213)),1),"İMKÂNSIZ")))))</f>
        <v/>
      </c>
      <c r="AF213" s="16">
        <f>IF($D213="","",IF(AND(Y213&lt;&gt;"",AC213&lt;&gt;"",AC213&gt;=W213),Z213,IF(Y213&lt;&gt;"",AD213,AE213)))</f>
        <v/>
      </c>
      <c r="AG213" s="16">
        <f>IF(OR(AF213="",AF213="İMKÂNSIZ"),"",AF213*(1-IF(AF213&gt;='Komisyon Tarifeleri'!I213,IF($AM$1=2,'Komisyon Tarifeleri'!U213,'Komisyon Tarifeleri'!P213),IF(AF213&gt;='Komisyon Tarifeleri'!K213,IF($AM$1=2,'Komisyon Tarifeleri'!V213,'Komisyon Tarifeleri'!Q213),IF(AF213&gt;='Komisyon Tarifeleri'!M213,IF($AM$1=2,'Komisyon Tarifeleri'!W213,'Komisyon Tarifeleri'!R213),IF($AM$1=2,'Komisyon Tarifeleri'!X213,'Komisyon Tarifeleri'!S213))))/100)-$D213-IF(AF213&lt;=199.99,Kargo!$E$2,IF(AF213&lt;=399.99,Kargo!$E$3,$F213)))</f>
        <v/>
      </c>
      <c r="AH213" s="17">
        <f>IF(AG213="","",AG213/AF213)</f>
        <v/>
      </c>
      <c r="AI213" s="18">
        <f>IF($D213="","",IF(Y213="","BUYBOX YOK → hedef kârla min fiyat",IF(AC213&gt;=W213,"✓ BUYBOX ALTINA GİR","BUYBOX ALTI KÂRSIZ → min kârlı fiyat")))</f>
        <v/>
      </c>
      <c r="AJ213" s="10">
        <f>IF($B213="","",IFERROR(VLOOKUP($B213,Maliyetler!$A:$G,6,FALSE),""))</f>
        <v/>
      </c>
      <c r="AK213">
        <f>IF($B213="","",IFERROR(VLOOKUP($B213,Maliyetler!$A:$G,7,FALSE),""))</f>
        <v/>
      </c>
      <c r="AO213" s="21">
        <f>IF($B213="","",IFERROR(VLOOKUP($B213&amp;"",'Plus Tarifeleri'!$C:$Q,11,FALSE),""))</f>
        <v/>
      </c>
      <c r="AP213" s="22">
        <f>IF(AO213="","",IFERROR(IF($AM$1=2,VLOOKUP($B213&amp;"",'Plus Tarifeleri'!$C:$Q,15,FALSE),VLOOKUP($B213&amp;"",'Plus Tarifeleri'!$C:$Q,13,FALSE)),""))</f>
        <v/>
      </c>
      <c r="AQ213" s="21">
        <f>IF(OR(AO213="",AP213="",$D213=""),"",AO213*(1-AP213/100)-$D213-IF(AO213&lt;=199.99,Kargo!$E$2,IF(AO213&lt;=399.99,Kargo!$E$3,$F213)))</f>
        <v/>
      </c>
      <c r="AR213" s="23">
        <f>IF(AQ213="","",AQ213/AO213)</f>
        <v/>
      </c>
      <c r="AS213" s="24">
        <f>IF(OR(AQ213="",AG213=""),"",AQ213-AG213)</f>
        <v/>
      </c>
    </row>
    <row r="214">
      <c r="A214">
        <f>IF('Komisyon Tarifeleri'!A214="","",'Komisyon Tarifeleri'!A214)</f>
        <v/>
      </c>
      <c r="B214">
        <f>IF('Komisyon Tarifeleri'!B214="","",'Komisyon Tarifeleri'!B214&amp;"")</f>
        <v/>
      </c>
      <c r="C214">
        <f>IF($B214="","",'Komisyon Tarifeleri'!F214)</f>
        <v/>
      </c>
      <c r="D214" s="10">
        <f>IF($B214="","",IFERROR(VLOOKUP($B214,Maliyetler!$A:$E,3,FALSE),""))</f>
        <v/>
      </c>
      <c r="E214">
        <f>IF($B214="","",IFERROR(VLOOKUP($B214,Maliyetler!$A:$E,4,FALSE),1))</f>
        <v/>
      </c>
      <c r="F214" s="10">
        <f>IF($B214="","",IFERROR(VLOOKUP(MIN(20,MAX(1,ROUND($E214,0))),Kargo!$A:$B,2,FALSE),99.46))</f>
        <v/>
      </c>
      <c r="G214" s="10">
        <f>IF($B214="","",IF(IF(N('Komisyon Tarifeleri'!AA214)&gt;='Komisyon Tarifeleri'!I214,'Komisyon Tarifeleri'!AA214,'Komisyon Tarifeleri'!I214)="","",IF(N('Komisyon Tarifeleri'!AA214)&gt;='Komisyon Tarifeleri'!I214,'Komisyon Tarifeleri'!AA214,'Komisyon Tarifeleri'!I214)))</f>
        <v/>
      </c>
      <c r="H214" s="11">
        <f>IF(G214="","",IF($AM$1=2,'Komisyon Tarifeleri'!U214,'Komisyon Tarifeleri'!P214))</f>
        <v/>
      </c>
      <c r="I214" s="10">
        <f>IF(OR(G214="",$D214=""),"",G214*(1-H214/100)-$D214-IF(G214&lt;=199.99,Kargo!$E$2,IF(G214&lt;=399.99,Kargo!$E$3,$F214)))</f>
        <v/>
      </c>
      <c r="J214" s="12">
        <f>IF(I214="","",I214/G214)</f>
        <v/>
      </c>
      <c r="K214" s="10">
        <f>IF($B214="","",IF('Komisyon Tarifeleri'!J214="","",'Komisyon Tarifeleri'!J214))</f>
        <v/>
      </c>
      <c r="L214" s="11">
        <f>IF(K214="","",IF($AM$1=2,'Komisyon Tarifeleri'!V214,'Komisyon Tarifeleri'!Q214))</f>
        <v/>
      </c>
      <c r="M214" s="10">
        <f>IF(OR(K214="",$D214=""),"",K214*(1-L214/100)-$D214-IF(K214&lt;=199.99,Kargo!$E$2,IF(K214&lt;=399.99,Kargo!$E$3,$F214)))</f>
        <v/>
      </c>
      <c r="N214" s="12">
        <f>IF(M214="","",M214/K214)</f>
        <v/>
      </c>
      <c r="O214" s="10">
        <f>IF($B214="","",IF('Komisyon Tarifeleri'!L214="","",'Komisyon Tarifeleri'!L214))</f>
        <v/>
      </c>
      <c r="P214" s="11">
        <f>IF(O214="","",IF($AM$1=2,'Komisyon Tarifeleri'!W214,'Komisyon Tarifeleri'!R214))</f>
        <v/>
      </c>
      <c r="Q214" s="10">
        <f>IF(OR(O214="",$D214=""),"",O214*(1-P214/100)-$D214-IF(O214&lt;=199.99,Kargo!$E$2,IF(O214&lt;=399.99,Kargo!$E$3,$F214)))</f>
        <v/>
      </c>
      <c r="R214" s="12">
        <f>IF(Q214="","",Q214/O214)</f>
        <v/>
      </c>
      <c r="S214" s="10">
        <f>IF($B214="","",IF('Komisyon Tarifeleri'!N214="","",'Komisyon Tarifeleri'!N214))</f>
        <v/>
      </c>
      <c r="T214" s="11">
        <f>IF(S214="","",IF($AM$1=2,'Komisyon Tarifeleri'!X214,'Komisyon Tarifeleri'!S214))</f>
        <v/>
      </c>
      <c r="U214" s="10">
        <f>IF(OR(S214="",$D214=""),"",S214*(1-T214/100)-$D214-IF(S214&lt;=199.99,Kargo!$E$2,IF(S214&lt;=399.99,Kargo!$E$3,$F214)))</f>
        <v/>
      </c>
      <c r="V214" s="12">
        <f>IF(U214="","",U214/S214)</f>
        <v/>
      </c>
      <c r="W214" s="12">
        <f>IF($B214="","",IFERROR(VLOOKUP($C214,Hedefler!$A:$C,2,FALSE),0.04))</f>
        <v/>
      </c>
      <c r="X214" s="12">
        <f>IF($B214="","",IFERROR(VLOOKUP($C214,Hedefler!$A:$C,3,FALSE),0.1))</f>
        <v/>
      </c>
      <c r="Y214" s="13">
        <f>IF($B214="","",IFERROR(VLOOKUP($B214,Maliyetler!$A:$E,5,FALSE),""))</f>
        <v/>
      </c>
      <c r="Z214" s="13">
        <f>IF(OR(Y214="",Y214=0),"",Y214-1)</f>
        <v/>
      </c>
      <c r="AA214" s="14">
        <f>IF(Z214="","",IF(Z214&gt;='Komisyon Tarifeleri'!I214,IF($AM$1=2,'Komisyon Tarifeleri'!U214,'Komisyon Tarifeleri'!P214),IF(Z214&gt;='Komisyon Tarifeleri'!K214,IF($AM$1=2,'Komisyon Tarifeleri'!V214,'Komisyon Tarifeleri'!Q214),IF(Z214&gt;='Komisyon Tarifeleri'!M214,IF($AM$1=2,'Komisyon Tarifeleri'!W214,'Komisyon Tarifeleri'!R214),IF($AM$1=2,'Komisyon Tarifeleri'!X214,'Komisyon Tarifeleri'!S214)))))</f>
        <v/>
      </c>
      <c r="AB214" s="13">
        <f>IF(OR(AA214="",$D214=""),"",Z214*(1-AA214/100)-$D214-IF(Z214&lt;=199.99,Kargo!$E$2,IF(Z214&lt;=399.99,Kargo!$E$3,$F214)))</f>
        <v/>
      </c>
      <c r="AC214" s="15">
        <f>IF(AB214="","",AB214/Z214)</f>
        <v/>
      </c>
      <c r="AD214" s="10">
        <f>IF(OR($D214="",$B214=""),"",IF(AND((1-T214/100-W214)&gt;0,CEILING(($D214+$F214)/(1-T214/100-W214),1)&lt;='Komisyon Tarifeleri'!N214),CEILING(($D214+$F214)/(1-T214/100-W214),1),IF(AND((1-P214/100-W214)&gt;0,CEILING(MAX('Komisyon Tarifeleri'!M214,($D214+$F214)/(1-P214/100-W214)),1)&lt;='Komisyon Tarifeleri'!L214),CEILING(MAX('Komisyon Tarifeleri'!M214,($D214+$F214)/(1-P214/100-W214)),1),IF(AND((1-L214/100-W214)&gt;0,CEILING(MAX('Komisyon Tarifeleri'!K214,($D214+$F214)/(1-L214/100-W214)),1)&lt;='Komisyon Tarifeleri'!J214),CEILING(MAX('Komisyon Tarifeleri'!K214,($D214+$F214)/(1-L214/100-W214)),1),IF((1-H214/100-W214)&gt;0,CEILING(MAX('Komisyon Tarifeleri'!I214,($D214+$F214)/(1-H214/100-W214)),1),"İMKÂNSIZ")))))</f>
        <v/>
      </c>
      <c r="AE214" s="10">
        <f>IF(OR($D214="",$B214=""),"",IF(AND((1-T214/100-X214)&gt;0,CEILING(($D214+$F214)/(1-T214/100-X214),1)&lt;='Komisyon Tarifeleri'!N214),CEILING(($D214+$F214)/(1-T214/100-X214),1),IF(AND((1-P214/100-X214)&gt;0,CEILING(MAX('Komisyon Tarifeleri'!M214,($D214+$F214)/(1-P214/100-X214)),1)&lt;='Komisyon Tarifeleri'!L214),CEILING(MAX('Komisyon Tarifeleri'!M214,($D214+$F214)/(1-P214/100-X214)),1),IF(AND((1-L214/100-X214)&gt;0,CEILING(MAX('Komisyon Tarifeleri'!K214,($D214+$F214)/(1-L214/100-X214)),1)&lt;='Komisyon Tarifeleri'!J214),CEILING(MAX('Komisyon Tarifeleri'!K214,($D214+$F214)/(1-L214/100-X214)),1),IF((1-H214/100-X214)&gt;0,CEILING(MAX('Komisyon Tarifeleri'!I214,($D214+$F214)/(1-H214/100-X214)),1),"İMKÂNSIZ")))))</f>
        <v/>
      </c>
      <c r="AF214" s="16">
        <f>IF($D214="","",IF(AND(Y214&lt;&gt;"",AC214&lt;&gt;"",AC214&gt;=W214),Z214,IF(Y214&lt;&gt;"",AD214,AE214)))</f>
        <v/>
      </c>
      <c r="AG214" s="16">
        <f>IF(OR(AF214="",AF214="İMKÂNSIZ"),"",AF214*(1-IF(AF214&gt;='Komisyon Tarifeleri'!I214,IF($AM$1=2,'Komisyon Tarifeleri'!U214,'Komisyon Tarifeleri'!P214),IF(AF214&gt;='Komisyon Tarifeleri'!K214,IF($AM$1=2,'Komisyon Tarifeleri'!V214,'Komisyon Tarifeleri'!Q214),IF(AF214&gt;='Komisyon Tarifeleri'!M214,IF($AM$1=2,'Komisyon Tarifeleri'!W214,'Komisyon Tarifeleri'!R214),IF($AM$1=2,'Komisyon Tarifeleri'!X214,'Komisyon Tarifeleri'!S214))))/100)-$D214-IF(AF214&lt;=199.99,Kargo!$E$2,IF(AF214&lt;=399.99,Kargo!$E$3,$F214)))</f>
        <v/>
      </c>
      <c r="AH214" s="17">
        <f>IF(AG214="","",AG214/AF214)</f>
        <v/>
      </c>
      <c r="AI214" s="18">
        <f>IF($D214="","",IF(Y214="","BUYBOX YOK → hedef kârla min fiyat",IF(AC214&gt;=W214,"✓ BUYBOX ALTINA GİR","BUYBOX ALTI KÂRSIZ → min kârlı fiyat")))</f>
        <v/>
      </c>
      <c r="AJ214" s="10">
        <f>IF($B214="","",IFERROR(VLOOKUP($B214,Maliyetler!$A:$G,6,FALSE),""))</f>
        <v/>
      </c>
      <c r="AK214">
        <f>IF($B214="","",IFERROR(VLOOKUP($B214,Maliyetler!$A:$G,7,FALSE),""))</f>
        <v/>
      </c>
      <c r="AO214" s="21">
        <f>IF($B214="","",IFERROR(VLOOKUP($B214&amp;"",'Plus Tarifeleri'!$C:$Q,11,FALSE),""))</f>
        <v/>
      </c>
      <c r="AP214" s="22">
        <f>IF(AO214="","",IFERROR(IF($AM$1=2,VLOOKUP($B214&amp;"",'Plus Tarifeleri'!$C:$Q,15,FALSE),VLOOKUP($B214&amp;"",'Plus Tarifeleri'!$C:$Q,13,FALSE)),""))</f>
        <v/>
      </c>
      <c r="AQ214" s="21">
        <f>IF(OR(AO214="",AP214="",$D214=""),"",AO214*(1-AP214/100)-$D214-IF(AO214&lt;=199.99,Kargo!$E$2,IF(AO214&lt;=399.99,Kargo!$E$3,$F214)))</f>
        <v/>
      </c>
      <c r="AR214" s="23">
        <f>IF(AQ214="","",AQ214/AO214)</f>
        <v/>
      </c>
      <c r="AS214" s="24">
        <f>IF(OR(AQ214="",AG214=""),"",AQ214-AG214)</f>
        <v/>
      </c>
    </row>
    <row r="215">
      <c r="A215">
        <f>IF('Komisyon Tarifeleri'!A215="","",'Komisyon Tarifeleri'!A215)</f>
        <v/>
      </c>
      <c r="B215">
        <f>IF('Komisyon Tarifeleri'!B215="","",'Komisyon Tarifeleri'!B215&amp;"")</f>
        <v/>
      </c>
      <c r="C215">
        <f>IF($B215="","",'Komisyon Tarifeleri'!F215)</f>
        <v/>
      </c>
      <c r="D215" s="10">
        <f>IF($B215="","",IFERROR(VLOOKUP($B215,Maliyetler!$A:$E,3,FALSE),""))</f>
        <v/>
      </c>
      <c r="E215">
        <f>IF($B215="","",IFERROR(VLOOKUP($B215,Maliyetler!$A:$E,4,FALSE),1))</f>
        <v/>
      </c>
      <c r="F215" s="10">
        <f>IF($B215="","",IFERROR(VLOOKUP(MIN(20,MAX(1,ROUND($E215,0))),Kargo!$A:$B,2,FALSE),99.46))</f>
        <v/>
      </c>
      <c r="G215" s="10">
        <f>IF($B215="","",IF(IF(N('Komisyon Tarifeleri'!AA215)&gt;='Komisyon Tarifeleri'!I215,'Komisyon Tarifeleri'!AA215,'Komisyon Tarifeleri'!I215)="","",IF(N('Komisyon Tarifeleri'!AA215)&gt;='Komisyon Tarifeleri'!I215,'Komisyon Tarifeleri'!AA215,'Komisyon Tarifeleri'!I215)))</f>
        <v/>
      </c>
      <c r="H215" s="11">
        <f>IF(G215="","",IF($AM$1=2,'Komisyon Tarifeleri'!U215,'Komisyon Tarifeleri'!P215))</f>
        <v/>
      </c>
      <c r="I215" s="10">
        <f>IF(OR(G215="",$D215=""),"",G215*(1-H215/100)-$D215-IF(G215&lt;=199.99,Kargo!$E$2,IF(G215&lt;=399.99,Kargo!$E$3,$F215)))</f>
        <v/>
      </c>
      <c r="J215" s="12">
        <f>IF(I215="","",I215/G215)</f>
        <v/>
      </c>
      <c r="K215" s="10">
        <f>IF($B215="","",IF('Komisyon Tarifeleri'!J215="","",'Komisyon Tarifeleri'!J215))</f>
        <v/>
      </c>
      <c r="L215" s="11">
        <f>IF(K215="","",IF($AM$1=2,'Komisyon Tarifeleri'!V215,'Komisyon Tarifeleri'!Q215))</f>
        <v/>
      </c>
      <c r="M215" s="10">
        <f>IF(OR(K215="",$D215=""),"",K215*(1-L215/100)-$D215-IF(K215&lt;=199.99,Kargo!$E$2,IF(K215&lt;=399.99,Kargo!$E$3,$F215)))</f>
        <v/>
      </c>
      <c r="N215" s="12">
        <f>IF(M215="","",M215/K215)</f>
        <v/>
      </c>
      <c r="O215" s="10">
        <f>IF($B215="","",IF('Komisyon Tarifeleri'!L215="","",'Komisyon Tarifeleri'!L215))</f>
        <v/>
      </c>
      <c r="P215" s="11">
        <f>IF(O215="","",IF($AM$1=2,'Komisyon Tarifeleri'!W215,'Komisyon Tarifeleri'!R215))</f>
        <v/>
      </c>
      <c r="Q215" s="10">
        <f>IF(OR(O215="",$D215=""),"",O215*(1-P215/100)-$D215-IF(O215&lt;=199.99,Kargo!$E$2,IF(O215&lt;=399.99,Kargo!$E$3,$F215)))</f>
        <v/>
      </c>
      <c r="R215" s="12">
        <f>IF(Q215="","",Q215/O215)</f>
        <v/>
      </c>
      <c r="S215" s="10">
        <f>IF($B215="","",IF('Komisyon Tarifeleri'!N215="","",'Komisyon Tarifeleri'!N215))</f>
        <v/>
      </c>
      <c r="T215" s="11">
        <f>IF(S215="","",IF($AM$1=2,'Komisyon Tarifeleri'!X215,'Komisyon Tarifeleri'!S215))</f>
        <v/>
      </c>
      <c r="U215" s="10">
        <f>IF(OR(S215="",$D215=""),"",S215*(1-T215/100)-$D215-IF(S215&lt;=199.99,Kargo!$E$2,IF(S215&lt;=399.99,Kargo!$E$3,$F215)))</f>
        <v/>
      </c>
      <c r="V215" s="12">
        <f>IF(U215="","",U215/S215)</f>
        <v/>
      </c>
      <c r="W215" s="12">
        <f>IF($B215="","",IFERROR(VLOOKUP($C215,Hedefler!$A:$C,2,FALSE),0.04))</f>
        <v/>
      </c>
      <c r="X215" s="12">
        <f>IF($B215="","",IFERROR(VLOOKUP($C215,Hedefler!$A:$C,3,FALSE),0.1))</f>
        <v/>
      </c>
      <c r="Y215" s="13">
        <f>IF($B215="","",IFERROR(VLOOKUP($B215,Maliyetler!$A:$E,5,FALSE),""))</f>
        <v/>
      </c>
      <c r="Z215" s="13">
        <f>IF(OR(Y215="",Y215=0),"",Y215-1)</f>
        <v/>
      </c>
      <c r="AA215" s="14">
        <f>IF(Z215="","",IF(Z215&gt;='Komisyon Tarifeleri'!I215,IF($AM$1=2,'Komisyon Tarifeleri'!U215,'Komisyon Tarifeleri'!P215),IF(Z215&gt;='Komisyon Tarifeleri'!K215,IF($AM$1=2,'Komisyon Tarifeleri'!V215,'Komisyon Tarifeleri'!Q215),IF(Z215&gt;='Komisyon Tarifeleri'!M215,IF($AM$1=2,'Komisyon Tarifeleri'!W215,'Komisyon Tarifeleri'!R215),IF($AM$1=2,'Komisyon Tarifeleri'!X215,'Komisyon Tarifeleri'!S215)))))</f>
        <v/>
      </c>
      <c r="AB215" s="13">
        <f>IF(OR(AA215="",$D215=""),"",Z215*(1-AA215/100)-$D215-IF(Z215&lt;=199.99,Kargo!$E$2,IF(Z215&lt;=399.99,Kargo!$E$3,$F215)))</f>
        <v/>
      </c>
      <c r="AC215" s="15">
        <f>IF(AB215="","",AB215/Z215)</f>
        <v/>
      </c>
      <c r="AD215" s="10">
        <f>IF(OR($D215="",$B215=""),"",IF(AND((1-T215/100-W215)&gt;0,CEILING(($D215+$F215)/(1-T215/100-W215),1)&lt;='Komisyon Tarifeleri'!N215),CEILING(($D215+$F215)/(1-T215/100-W215),1),IF(AND((1-P215/100-W215)&gt;0,CEILING(MAX('Komisyon Tarifeleri'!M215,($D215+$F215)/(1-P215/100-W215)),1)&lt;='Komisyon Tarifeleri'!L215),CEILING(MAX('Komisyon Tarifeleri'!M215,($D215+$F215)/(1-P215/100-W215)),1),IF(AND((1-L215/100-W215)&gt;0,CEILING(MAX('Komisyon Tarifeleri'!K215,($D215+$F215)/(1-L215/100-W215)),1)&lt;='Komisyon Tarifeleri'!J215),CEILING(MAX('Komisyon Tarifeleri'!K215,($D215+$F215)/(1-L215/100-W215)),1),IF((1-H215/100-W215)&gt;0,CEILING(MAX('Komisyon Tarifeleri'!I215,($D215+$F215)/(1-H215/100-W215)),1),"İMKÂNSIZ")))))</f>
        <v/>
      </c>
      <c r="AE215" s="10">
        <f>IF(OR($D215="",$B215=""),"",IF(AND((1-T215/100-X215)&gt;0,CEILING(($D215+$F215)/(1-T215/100-X215),1)&lt;='Komisyon Tarifeleri'!N215),CEILING(($D215+$F215)/(1-T215/100-X215),1),IF(AND((1-P215/100-X215)&gt;0,CEILING(MAX('Komisyon Tarifeleri'!M215,($D215+$F215)/(1-P215/100-X215)),1)&lt;='Komisyon Tarifeleri'!L215),CEILING(MAX('Komisyon Tarifeleri'!M215,($D215+$F215)/(1-P215/100-X215)),1),IF(AND((1-L215/100-X215)&gt;0,CEILING(MAX('Komisyon Tarifeleri'!K215,($D215+$F215)/(1-L215/100-X215)),1)&lt;='Komisyon Tarifeleri'!J215),CEILING(MAX('Komisyon Tarifeleri'!K215,($D215+$F215)/(1-L215/100-X215)),1),IF((1-H215/100-X215)&gt;0,CEILING(MAX('Komisyon Tarifeleri'!I215,($D215+$F215)/(1-H215/100-X215)),1),"İMKÂNSIZ")))))</f>
        <v/>
      </c>
      <c r="AF215" s="16">
        <f>IF($D215="","",IF(AND(Y215&lt;&gt;"",AC215&lt;&gt;"",AC215&gt;=W215),Z215,IF(Y215&lt;&gt;"",AD215,AE215)))</f>
        <v/>
      </c>
      <c r="AG215" s="16">
        <f>IF(OR(AF215="",AF215="İMKÂNSIZ"),"",AF215*(1-IF(AF215&gt;='Komisyon Tarifeleri'!I215,IF($AM$1=2,'Komisyon Tarifeleri'!U215,'Komisyon Tarifeleri'!P215),IF(AF215&gt;='Komisyon Tarifeleri'!K215,IF($AM$1=2,'Komisyon Tarifeleri'!V215,'Komisyon Tarifeleri'!Q215),IF(AF215&gt;='Komisyon Tarifeleri'!M215,IF($AM$1=2,'Komisyon Tarifeleri'!W215,'Komisyon Tarifeleri'!R215),IF($AM$1=2,'Komisyon Tarifeleri'!X215,'Komisyon Tarifeleri'!S215))))/100)-$D215-IF(AF215&lt;=199.99,Kargo!$E$2,IF(AF215&lt;=399.99,Kargo!$E$3,$F215)))</f>
        <v/>
      </c>
      <c r="AH215" s="17">
        <f>IF(AG215="","",AG215/AF215)</f>
        <v/>
      </c>
      <c r="AI215" s="18">
        <f>IF($D215="","",IF(Y215="","BUYBOX YOK → hedef kârla min fiyat",IF(AC215&gt;=W215,"✓ BUYBOX ALTINA GİR","BUYBOX ALTI KÂRSIZ → min kârlı fiyat")))</f>
        <v/>
      </c>
      <c r="AJ215" s="10">
        <f>IF($B215="","",IFERROR(VLOOKUP($B215,Maliyetler!$A:$G,6,FALSE),""))</f>
        <v/>
      </c>
      <c r="AK215">
        <f>IF($B215="","",IFERROR(VLOOKUP($B215,Maliyetler!$A:$G,7,FALSE),""))</f>
        <v/>
      </c>
      <c r="AO215" s="21">
        <f>IF($B215="","",IFERROR(VLOOKUP($B215&amp;"",'Plus Tarifeleri'!$C:$Q,11,FALSE),""))</f>
        <v/>
      </c>
      <c r="AP215" s="22">
        <f>IF(AO215="","",IFERROR(IF($AM$1=2,VLOOKUP($B215&amp;"",'Plus Tarifeleri'!$C:$Q,15,FALSE),VLOOKUP($B215&amp;"",'Plus Tarifeleri'!$C:$Q,13,FALSE)),""))</f>
        <v/>
      </c>
      <c r="AQ215" s="21">
        <f>IF(OR(AO215="",AP215="",$D215=""),"",AO215*(1-AP215/100)-$D215-IF(AO215&lt;=199.99,Kargo!$E$2,IF(AO215&lt;=399.99,Kargo!$E$3,$F215)))</f>
        <v/>
      </c>
      <c r="AR215" s="23">
        <f>IF(AQ215="","",AQ215/AO215)</f>
        <v/>
      </c>
      <c r="AS215" s="24">
        <f>IF(OR(AQ215="",AG215=""),"",AQ215-AG215)</f>
        <v/>
      </c>
    </row>
    <row r="216">
      <c r="A216">
        <f>IF('Komisyon Tarifeleri'!A216="","",'Komisyon Tarifeleri'!A216)</f>
        <v/>
      </c>
      <c r="B216">
        <f>IF('Komisyon Tarifeleri'!B216="","",'Komisyon Tarifeleri'!B216&amp;"")</f>
        <v/>
      </c>
      <c r="C216">
        <f>IF($B216="","",'Komisyon Tarifeleri'!F216)</f>
        <v/>
      </c>
      <c r="D216" s="10">
        <f>IF($B216="","",IFERROR(VLOOKUP($B216,Maliyetler!$A:$E,3,FALSE),""))</f>
        <v/>
      </c>
      <c r="E216">
        <f>IF($B216="","",IFERROR(VLOOKUP($B216,Maliyetler!$A:$E,4,FALSE),1))</f>
        <v/>
      </c>
      <c r="F216" s="10">
        <f>IF($B216="","",IFERROR(VLOOKUP(MIN(20,MAX(1,ROUND($E216,0))),Kargo!$A:$B,2,FALSE),99.46))</f>
        <v/>
      </c>
      <c r="G216" s="10">
        <f>IF($B216="","",IF(IF(N('Komisyon Tarifeleri'!AA216)&gt;='Komisyon Tarifeleri'!I216,'Komisyon Tarifeleri'!AA216,'Komisyon Tarifeleri'!I216)="","",IF(N('Komisyon Tarifeleri'!AA216)&gt;='Komisyon Tarifeleri'!I216,'Komisyon Tarifeleri'!AA216,'Komisyon Tarifeleri'!I216)))</f>
        <v/>
      </c>
      <c r="H216" s="11">
        <f>IF(G216="","",IF($AM$1=2,'Komisyon Tarifeleri'!U216,'Komisyon Tarifeleri'!P216))</f>
        <v/>
      </c>
      <c r="I216" s="10">
        <f>IF(OR(G216="",$D216=""),"",G216*(1-H216/100)-$D216-IF(G216&lt;=199.99,Kargo!$E$2,IF(G216&lt;=399.99,Kargo!$E$3,$F216)))</f>
        <v/>
      </c>
      <c r="J216" s="12">
        <f>IF(I216="","",I216/G216)</f>
        <v/>
      </c>
      <c r="K216" s="10">
        <f>IF($B216="","",IF('Komisyon Tarifeleri'!J216="","",'Komisyon Tarifeleri'!J216))</f>
        <v/>
      </c>
      <c r="L216" s="11">
        <f>IF(K216="","",IF($AM$1=2,'Komisyon Tarifeleri'!V216,'Komisyon Tarifeleri'!Q216))</f>
        <v/>
      </c>
      <c r="M216" s="10">
        <f>IF(OR(K216="",$D216=""),"",K216*(1-L216/100)-$D216-IF(K216&lt;=199.99,Kargo!$E$2,IF(K216&lt;=399.99,Kargo!$E$3,$F216)))</f>
        <v/>
      </c>
      <c r="N216" s="12">
        <f>IF(M216="","",M216/K216)</f>
        <v/>
      </c>
      <c r="O216" s="10">
        <f>IF($B216="","",IF('Komisyon Tarifeleri'!L216="","",'Komisyon Tarifeleri'!L216))</f>
        <v/>
      </c>
      <c r="P216" s="11">
        <f>IF(O216="","",IF($AM$1=2,'Komisyon Tarifeleri'!W216,'Komisyon Tarifeleri'!R216))</f>
        <v/>
      </c>
      <c r="Q216" s="10">
        <f>IF(OR(O216="",$D216=""),"",O216*(1-P216/100)-$D216-IF(O216&lt;=199.99,Kargo!$E$2,IF(O216&lt;=399.99,Kargo!$E$3,$F216)))</f>
        <v/>
      </c>
      <c r="R216" s="12">
        <f>IF(Q216="","",Q216/O216)</f>
        <v/>
      </c>
      <c r="S216" s="10">
        <f>IF($B216="","",IF('Komisyon Tarifeleri'!N216="","",'Komisyon Tarifeleri'!N216))</f>
        <v/>
      </c>
      <c r="T216" s="11">
        <f>IF(S216="","",IF($AM$1=2,'Komisyon Tarifeleri'!X216,'Komisyon Tarifeleri'!S216))</f>
        <v/>
      </c>
      <c r="U216" s="10">
        <f>IF(OR(S216="",$D216=""),"",S216*(1-T216/100)-$D216-IF(S216&lt;=199.99,Kargo!$E$2,IF(S216&lt;=399.99,Kargo!$E$3,$F216)))</f>
        <v/>
      </c>
      <c r="V216" s="12">
        <f>IF(U216="","",U216/S216)</f>
        <v/>
      </c>
      <c r="W216" s="12">
        <f>IF($B216="","",IFERROR(VLOOKUP($C216,Hedefler!$A:$C,2,FALSE),0.04))</f>
        <v/>
      </c>
      <c r="X216" s="12">
        <f>IF($B216="","",IFERROR(VLOOKUP($C216,Hedefler!$A:$C,3,FALSE),0.1))</f>
        <v/>
      </c>
      <c r="Y216" s="13">
        <f>IF($B216="","",IFERROR(VLOOKUP($B216,Maliyetler!$A:$E,5,FALSE),""))</f>
        <v/>
      </c>
      <c r="Z216" s="13">
        <f>IF(OR(Y216="",Y216=0),"",Y216-1)</f>
        <v/>
      </c>
      <c r="AA216" s="14">
        <f>IF(Z216="","",IF(Z216&gt;='Komisyon Tarifeleri'!I216,IF($AM$1=2,'Komisyon Tarifeleri'!U216,'Komisyon Tarifeleri'!P216),IF(Z216&gt;='Komisyon Tarifeleri'!K216,IF($AM$1=2,'Komisyon Tarifeleri'!V216,'Komisyon Tarifeleri'!Q216),IF(Z216&gt;='Komisyon Tarifeleri'!M216,IF($AM$1=2,'Komisyon Tarifeleri'!W216,'Komisyon Tarifeleri'!R216),IF($AM$1=2,'Komisyon Tarifeleri'!X216,'Komisyon Tarifeleri'!S216)))))</f>
        <v/>
      </c>
      <c r="AB216" s="13">
        <f>IF(OR(AA216="",$D216=""),"",Z216*(1-AA216/100)-$D216-IF(Z216&lt;=199.99,Kargo!$E$2,IF(Z216&lt;=399.99,Kargo!$E$3,$F216)))</f>
        <v/>
      </c>
      <c r="AC216" s="15">
        <f>IF(AB216="","",AB216/Z216)</f>
        <v/>
      </c>
      <c r="AD216" s="10">
        <f>IF(OR($D216="",$B216=""),"",IF(AND((1-T216/100-W216)&gt;0,CEILING(($D216+$F216)/(1-T216/100-W216),1)&lt;='Komisyon Tarifeleri'!N216),CEILING(($D216+$F216)/(1-T216/100-W216),1),IF(AND((1-P216/100-W216)&gt;0,CEILING(MAX('Komisyon Tarifeleri'!M216,($D216+$F216)/(1-P216/100-W216)),1)&lt;='Komisyon Tarifeleri'!L216),CEILING(MAX('Komisyon Tarifeleri'!M216,($D216+$F216)/(1-P216/100-W216)),1),IF(AND((1-L216/100-W216)&gt;0,CEILING(MAX('Komisyon Tarifeleri'!K216,($D216+$F216)/(1-L216/100-W216)),1)&lt;='Komisyon Tarifeleri'!J216),CEILING(MAX('Komisyon Tarifeleri'!K216,($D216+$F216)/(1-L216/100-W216)),1),IF((1-H216/100-W216)&gt;0,CEILING(MAX('Komisyon Tarifeleri'!I216,($D216+$F216)/(1-H216/100-W216)),1),"İMKÂNSIZ")))))</f>
        <v/>
      </c>
      <c r="AE216" s="10">
        <f>IF(OR($D216="",$B216=""),"",IF(AND((1-T216/100-X216)&gt;0,CEILING(($D216+$F216)/(1-T216/100-X216),1)&lt;='Komisyon Tarifeleri'!N216),CEILING(($D216+$F216)/(1-T216/100-X216),1),IF(AND((1-P216/100-X216)&gt;0,CEILING(MAX('Komisyon Tarifeleri'!M216,($D216+$F216)/(1-P216/100-X216)),1)&lt;='Komisyon Tarifeleri'!L216),CEILING(MAX('Komisyon Tarifeleri'!M216,($D216+$F216)/(1-P216/100-X216)),1),IF(AND((1-L216/100-X216)&gt;0,CEILING(MAX('Komisyon Tarifeleri'!K216,($D216+$F216)/(1-L216/100-X216)),1)&lt;='Komisyon Tarifeleri'!J216),CEILING(MAX('Komisyon Tarifeleri'!K216,($D216+$F216)/(1-L216/100-X216)),1),IF((1-H216/100-X216)&gt;0,CEILING(MAX('Komisyon Tarifeleri'!I216,($D216+$F216)/(1-H216/100-X216)),1),"İMKÂNSIZ")))))</f>
        <v/>
      </c>
      <c r="AF216" s="16">
        <f>IF($D216="","",IF(AND(Y216&lt;&gt;"",AC216&lt;&gt;"",AC216&gt;=W216),Z216,IF(Y216&lt;&gt;"",AD216,AE216)))</f>
        <v/>
      </c>
      <c r="AG216" s="16">
        <f>IF(OR(AF216="",AF216="İMKÂNSIZ"),"",AF216*(1-IF(AF216&gt;='Komisyon Tarifeleri'!I216,IF($AM$1=2,'Komisyon Tarifeleri'!U216,'Komisyon Tarifeleri'!P216),IF(AF216&gt;='Komisyon Tarifeleri'!K216,IF($AM$1=2,'Komisyon Tarifeleri'!V216,'Komisyon Tarifeleri'!Q216),IF(AF216&gt;='Komisyon Tarifeleri'!M216,IF($AM$1=2,'Komisyon Tarifeleri'!W216,'Komisyon Tarifeleri'!R216),IF($AM$1=2,'Komisyon Tarifeleri'!X216,'Komisyon Tarifeleri'!S216))))/100)-$D216-IF(AF216&lt;=199.99,Kargo!$E$2,IF(AF216&lt;=399.99,Kargo!$E$3,$F216)))</f>
        <v/>
      </c>
      <c r="AH216" s="17">
        <f>IF(AG216="","",AG216/AF216)</f>
        <v/>
      </c>
      <c r="AI216" s="18">
        <f>IF($D216="","",IF(Y216="","BUYBOX YOK → hedef kârla min fiyat",IF(AC216&gt;=W216,"✓ BUYBOX ALTINA GİR","BUYBOX ALTI KÂRSIZ → min kârlı fiyat")))</f>
        <v/>
      </c>
      <c r="AJ216" s="10">
        <f>IF($B216="","",IFERROR(VLOOKUP($B216,Maliyetler!$A:$G,6,FALSE),""))</f>
        <v/>
      </c>
      <c r="AK216">
        <f>IF($B216="","",IFERROR(VLOOKUP($B216,Maliyetler!$A:$G,7,FALSE),""))</f>
        <v/>
      </c>
      <c r="AO216" s="21">
        <f>IF($B216="","",IFERROR(VLOOKUP($B216&amp;"",'Plus Tarifeleri'!$C:$Q,11,FALSE),""))</f>
        <v/>
      </c>
      <c r="AP216" s="22">
        <f>IF(AO216="","",IFERROR(IF($AM$1=2,VLOOKUP($B216&amp;"",'Plus Tarifeleri'!$C:$Q,15,FALSE),VLOOKUP($B216&amp;"",'Plus Tarifeleri'!$C:$Q,13,FALSE)),""))</f>
        <v/>
      </c>
      <c r="AQ216" s="21">
        <f>IF(OR(AO216="",AP216="",$D216=""),"",AO216*(1-AP216/100)-$D216-IF(AO216&lt;=199.99,Kargo!$E$2,IF(AO216&lt;=399.99,Kargo!$E$3,$F216)))</f>
        <v/>
      </c>
      <c r="AR216" s="23">
        <f>IF(AQ216="","",AQ216/AO216)</f>
        <v/>
      </c>
      <c r="AS216" s="24">
        <f>IF(OR(AQ216="",AG216=""),"",AQ216-AG216)</f>
        <v/>
      </c>
    </row>
    <row r="217">
      <c r="A217">
        <f>IF('Komisyon Tarifeleri'!A217="","",'Komisyon Tarifeleri'!A217)</f>
        <v/>
      </c>
      <c r="B217">
        <f>IF('Komisyon Tarifeleri'!B217="","",'Komisyon Tarifeleri'!B217&amp;"")</f>
        <v/>
      </c>
      <c r="C217">
        <f>IF($B217="","",'Komisyon Tarifeleri'!F217)</f>
        <v/>
      </c>
      <c r="D217" s="10">
        <f>IF($B217="","",IFERROR(VLOOKUP($B217,Maliyetler!$A:$E,3,FALSE),""))</f>
        <v/>
      </c>
      <c r="E217">
        <f>IF($B217="","",IFERROR(VLOOKUP($B217,Maliyetler!$A:$E,4,FALSE),1))</f>
        <v/>
      </c>
      <c r="F217" s="10">
        <f>IF($B217="","",IFERROR(VLOOKUP(MIN(20,MAX(1,ROUND($E217,0))),Kargo!$A:$B,2,FALSE),99.46))</f>
        <v/>
      </c>
      <c r="G217" s="10">
        <f>IF($B217="","",IF(IF(N('Komisyon Tarifeleri'!AA217)&gt;='Komisyon Tarifeleri'!I217,'Komisyon Tarifeleri'!AA217,'Komisyon Tarifeleri'!I217)="","",IF(N('Komisyon Tarifeleri'!AA217)&gt;='Komisyon Tarifeleri'!I217,'Komisyon Tarifeleri'!AA217,'Komisyon Tarifeleri'!I217)))</f>
        <v/>
      </c>
      <c r="H217" s="11">
        <f>IF(G217="","",IF($AM$1=2,'Komisyon Tarifeleri'!U217,'Komisyon Tarifeleri'!P217))</f>
        <v/>
      </c>
      <c r="I217" s="10">
        <f>IF(OR(G217="",$D217=""),"",G217*(1-H217/100)-$D217-IF(G217&lt;=199.99,Kargo!$E$2,IF(G217&lt;=399.99,Kargo!$E$3,$F217)))</f>
        <v/>
      </c>
      <c r="J217" s="12">
        <f>IF(I217="","",I217/G217)</f>
        <v/>
      </c>
      <c r="K217" s="10">
        <f>IF($B217="","",IF('Komisyon Tarifeleri'!J217="","",'Komisyon Tarifeleri'!J217))</f>
        <v/>
      </c>
      <c r="L217" s="11">
        <f>IF(K217="","",IF($AM$1=2,'Komisyon Tarifeleri'!V217,'Komisyon Tarifeleri'!Q217))</f>
        <v/>
      </c>
      <c r="M217" s="10">
        <f>IF(OR(K217="",$D217=""),"",K217*(1-L217/100)-$D217-IF(K217&lt;=199.99,Kargo!$E$2,IF(K217&lt;=399.99,Kargo!$E$3,$F217)))</f>
        <v/>
      </c>
      <c r="N217" s="12">
        <f>IF(M217="","",M217/K217)</f>
        <v/>
      </c>
      <c r="O217" s="10">
        <f>IF($B217="","",IF('Komisyon Tarifeleri'!L217="","",'Komisyon Tarifeleri'!L217))</f>
        <v/>
      </c>
      <c r="P217" s="11">
        <f>IF(O217="","",IF($AM$1=2,'Komisyon Tarifeleri'!W217,'Komisyon Tarifeleri'!R217))</f>
        <v/>
      </c>
      <c r="Q217" s="10">
        <f>IF(OR(O217="",$D217=""),"",O217*(1-P217/100)-$D217-IF(O217&lt;=199.99,Kargo!$E$2,IF(O217&lt;=399.99,Kargo!$E$3,$F217)))</f>
        <v/>
      </c>
      <c r="R217" s="12">
        <f>IF(Q217="","",Q217/O217)</f>
        <v/>
      </c>
      <c r="S217" s="10">
        <f>IF($B217="","",IF('Komisyon Tarifeleri'!N217="","",'Komisyon Tarifeleri'!N217))</f>
        <v/>
      </c>
      <c r="T217" s="11">
        <f>IF(S217="","",IF($AM$1=2,'Komisyon Tarifeleri'!X217,'Komisyon Tarifeleri'!S217))</f>
        <v/>
      </c>
      <c r="U217" s="10">
        <f>IF(OR(S217="",$D217=""),"",S217*(1-T217/100)-$D217-IF(S217&lt;=199.99,Kargo!$E$2,IF(S217&lt;=399.99,Kargo!$E$3,$F217)))</f>
        <v/>
      </c>
      <c r="V217" s="12">
        <f>IF(U217="","",U217/S217)</f>
        <v/>
      </c>
      <c r="W217" s="12">
        <f>IF($B217="","",IFERROR(VLOOKUP($C217,Hedefler!$A:$C,2,FALSE),0.04))</f>
        <v/>
      </c>
      <c r="X217" s="12">
        <f>IF($B217="","",IFERROR(VLOOKUP($C217,Hedefler!$A:$C,3,FALSE),0.1))</f>
        <v/>
      </c>
      <c r="Y217" s="13">
        <f>IF($B217="","",IFERROR(VLOOKUP($B217,Maliyetler!$A:$E,5,FALSE),""))</f>
        <v/>
      </c>
      <c r="Z217" s="13">
        <f>IF(OR(Y217="",Y217=0),"",Y217-1)</f>
        <v/>
      </c>
      <c r="AA217" s="14">
        <f>IF(Z217="","",IF(Z217&gt;='Komisyon Tarifeleri'!I217,IF($AM$1=2,'Komisyon Tarifeleri'!U217,'Komisyon Tarifeleri'!P217),IF(Z217&gt;='Komisyon Tarifeleri'!K217,IF($AM$1=2,'Komisyon Tarifeleri'!V217,'Komisyon Tarifeleri'!Q217),IF(Z217&gt;='Komisyon Tarifeleri'!M217,IF($AM$1=2,'Komisyon Tarifeleri'!W217,'Komisyon Tarifeleri'!R217),IF($AM$1=2,'Komisyon Tarifeleri'!X217,'Komisyon Tarifeleri'!S217)))))</f>
        <v/>
      </c>
      <c r="AB217" s="13">
        <f>IF(OR(AA217="",$D217=""),"",Z217*(1-AA217/100)-$D217-IF(Z217&lt;=199.99,Kargo!$E$2,IF(Z217&lt;=399.99,Kargo!$E$3,$F217)))</f>
        <v/>
      </c>
      <c r="AC217" s="15">
        <f>IF(AB217="","",AB217/Z217)</f>
        <v/>
      </c>
      <c r="AD217" s="10">
        <f>IF(OR($D217="",$B217=""),"",IF(AND((1-T217/100-W217)&gt;0,CEILING(($D217+$F217)/(1-T217/100-W217),1)&lt;='Komisyon Tarifeleri'!N217),CEILING(($D217+$F217)/(1-T217/100-W217),1),IF(AND((1-P217/100-W217)&gt;0,CEILING(MAX('Komisyon Tarifeleri'!M217,($D217+$F217)/(1-P217/100-W217)),1)&lt;='Komisyon Tarifeleri'!L217),CEILING(MAX('Komisyon Tarifeleri'!M217,($D217+$F217)/(1-P217/100-W217)),1),IF(AND((1-L217/100-W217)&gt;0,CEILING(MAX('Komisyon Tarifeleri'!K217,($D217+$F217)/(1-L217/100-W217)),1)&lt;='Komisyon Tarifeleri'!J217),CEILING(MAX('Komisyon Tarifeleri'!K217,($D217+$F217)/(1-L217/100-W217)),1),IF((1-H217/100-W217)&gt;0,CEILING(MAX('Komisyon Tarifeleri'!I217,($D217+$F217)/(1-H217/100-W217)),1),"İMKÂNSIZ")))))</f>
        <v/>
      </c>
      <c r="AE217" s="10">
        <f>IF(OR($D217="",$B217=""),"",IF(AND((1-T217/100-X217)&gt;0,CEILING(($D217+$F217)/(1-T217/100-X217),1)&lt;='Komisyon Tarifeleri'!N217),CEILING(($D217+$F217)/(1-T217/100-X217),1),IF(AND((1-P217/100-X217)&gt;0,CEILING(MAX('Komisyon Tarifeleri'!M217,($D217+$F217)/(1-P217/100-X217)),1)&lt;='Komisyon Tarifeleri'!L217),CEILING(MAX('Komisyon Tarifeleri'!M217,($D217+$F217)/(1-P217/100-X217)),1),IF(AND((1-L217/100-X217)&gt;0,CEILING(MAX('Komisyon Tarifeleri'!K217,($D217+$F217)/(1-L217/100-X217)),1)&lt;='Komisyon Tarifeleri'!J217),CEILING(MAX('Komisyon Tarifeleri'!K217,($D217+$F217)/(1-L217/100-X217)),1),IF((1-H217/100-X217)&gt;0,CEILING(MAX('Komisyon Tarifeleri'!I217,($D217+$F217)/(1-H217/100-X217)),1),"İMKÂNSIZ")))))</f>
        <v/>
      </c>
      <c r="AF217" s="16">
        <f>IF($D217="","",IF(AND(Y217&lt;&gt;"",AC217&lt;&gt;"",AC217&gt;=W217),Z217,IF(Y217&lt;&gt;"",AD217,AE217)))</f>
        <v/>
      </c>
      <c r="AG217" s="16">
        <f>IF(OR(AF217="",AF217="İMKÂNSIZ"),"",AF217*(1-IF(AF217&gt;='Komisyon Tarifeleri'!I217,IF($AM$1=2,'Komisyon Tarifeleri'!U217,'Komisyon Tarifeleri'!P217),IF(AF217&gt;='Komisyon Tarifeleri'!K217,IF($AM$1=2,'Komisyon Tarifeleri'!V217,'Komisyon Tarifeleri'!Q217),IF(AF217&gt;='Komisyon Tarifeleri'!M217,IF($AM$1=2,'Komisyon Tarifeleri'!W217,'Komisyon Tarifeleri'!R217),IF($AM$1=2,'Komisyon Tarifeleri'!X217,'Komisyon Tarifeleri'!S217))))/100)-$D217-IF(AF217&lt;=199.99,Kargo!$E$2,IF(AF217&lt;=399.99,Kargo!$E$3,$F217)))</f>
        <v/>
      </c>
      <c r="AH217" s="17">
        <f>IF(AG217="","",AG217/AF217)</f>
        <v/>
      </c>
      <c r="AI217" s="18">
        <f>IF($D217="","",IF(Y217="","BUYBOX YOK → hedef kârla min fiyat",IF(AC217&gt;=W217,"✓ BUYBOX ALTINA GİR","BUYBOX ALTI KÂRSIZ → min kârlı fiyat")))</f>
        <v/>
      </c>
      <c r="AJ217" s="10">
        <f>IF($B217="","",IFERROR(VLOOKUP($B217,Maliyetler!$A:$G,6,FALSE),""))</f>
        <v/>
      </c>
      <c r="AK217">
        <f>IF($B217="","",IFERROR(VLOOKUP($B217,Maliyetler!$A:$G,7,FALSE),""))</f>
        <v/>
      </c>
      <c r="AO217" s="21">
        <f>IF($B217="","",IFERROR(VLOOKUP($B217&amp;"",'Plus Tarifeleri'!$C:$Q,11,FALSE),""))</f>
        <v/>
      </c>
      <c r="AP217" s="22">
        <f>IF(AO217="","",IFERROR(IF($AM$1=2,VLOOKUP($B217&amp;"",'Plus Tarifeleri'!$C:$Q,15,FALSE),VLOOKUP($B217&amp;"",'Plus Tarifeleri'!$C:$Q,13,FALSE)),""))</f>
        <v/>
      </c>
      <c r="AQ217" s="21">
        <f>IF(OR(AO217="",AP217="",$D217=""),"",AO217*(1-AP217/100)-$D217-IF(AO217&lt;=199.99,Kargo!$E$2,IF(AO217&lt;=399.99,Kargo!$E$3,$F217)))</f>
        <v/>
      </c>
      <c r="AR217" s="23">
        <f>IF(AQ217="","",AQ217/AO217)</f>
        <v/>
      </c>
      <c r="AS217" s="24">
        <f>IF(OR(AQ217="",AG217=""),"",AQ217-AG217)</f>
        <v/>
      </c>
    </row>
    <row r="218">
      <c r="A218">
        <f>IF('Komisyon Tarifeleri'!A218="","",'Komisyon Tarifeleri'!A218)</f>
        <v/>
      </c>
      <c r="B218">
        <f>IF('Komisyon Tarifeleri'!B218="","",'Komisyon Tarifeleri'!B218&amp;"")</f>
        <v/>
      </c>
      <c r="C218">
        <f>IF($B218="","",'Komisyon Tarifeleri'!F218)</f>
        <v/>
      </c>
      <c r="D218" s="10">
        <f>IF($B218="","",IFERROR(VLOOKUP($B218,Maliyetler!$A:$E,3,FALSE),""))</f>
        <v/>
      </c>
      <c r="E218">
        <f>IF($B218="","",IFERROR(VLOOKUP($B218,Maliyetler!$A:$E,4,FALSE),1))</f>
        <v/>
      </c>
      <c r="F218" s="10">
        <f>IF($B218="","",IFERROR(VLOOKUP(MIN(20,MAX(1,ROUND($E218,0))),Kargo!$A:$B,2,FALSE),99.46))</f>
        <v/>
      </c>
      <c r="G218" s="10">
        <f>IF($B218="","",IF(IF(N('Komisyon Tarifeleri'!AA218)&gt;='Komisyon Tarifeleri'!I218,'Komisyon Tarifeleri'!AA218,'Komisyon Tarifeleri'!I218)="","",IF(N('Komisyon Tarifeleri'!AA218)&gt;='Komisyon Tarifeleri'!I218,'Komisyon Tarifeleri'!AA218,'Komisyon Tarifeleri'!I218)))</f>
        <v/>
      </c>
      <c r="H218" s="11">
        <f>IF(G218="","",IF($AM$1=2,'Komisyon Tarifeleri'!U218,'Komisyon Tarifeleri'!P218))</f>
        <v/>
      </c>
      <c r="I218" s="10">
        <f>IF(OR(G218="",$D218=""),"",G218*(1-H218/100)-$D218-IF(G218&lt;=199.99,Kargo!$E$2,IF(G218&lt;=399.99,Kargo!$E$3,$F218)))</f>
        <v/>
      </c>
      <c r="J218" s="12">
        <f>IF(I218="","",I218/G218)</f>
        <v/>
      </c>
      <c r="K218" s="10">
        <f>IF($B218="","",IF('Komisyon Tarifeleri'!J218="","",'Komisyon Tarifeleri'!J218))</f>
        <v/>
      </c>
      <c r="L218" s="11">
        <f>IF(K218="","",IF($AM$1=2,'Komisyon Tarifeleri'!V218,'Komisyon Tarifeleri'!Q218))</f>
        <v/>
      </c>
      <c r="M218" s="10">
        <f>IF(OR(K218="",$D218=""),"",K218*(1-L218/100)-$D218-IF(K218&lt;=199.99,Kargo!$E$2,IF(K218&lt;=399.99,Kargo!$E$3,$F218)))</f>
        <v/>
      </c>
      <c r="N218" s="12">
        <f>IF(M218="","",M218/K218)</f>
        <v/>
      </c>
      <c r="O218" s="10">
        <f>IF($B218="","",IF('Komisyon Tarifeleri'!L218="","",'Komisyon Tarifeleri'!L218))</f>
        <v/>
      </c>
      <c r="P218" s="11">
        <f>IF(O218="","",IF($AM$1=2,'Komisyon Tarifeleri'!W218,'Komisyon Tarifeleri'!R218))</f>
        <v/>
      </c>
      <c r="Q218" s="10">
        <f>IF(OR(O218="",$D218=""),"",O218*(1-P218/100)-$D218-IF(O218&lt;=199.99,Kargo!$E$2,IF(O218&lt;=399.99,Kargo!$E$3,$F218)))</f>
        <v/>
      </c>
      <c r="R218" s="12">
        <f>IF(Q218="","",Q218/O218)</f>
        <v/>
      </c>
      <c r="S218" s="10">
        <f>IF($B218="","",IF('Komisyon Tarifeleri'!N218="","",'Komisyon Tarifeleri'!N218))</f>
        <v/>
      </c>
      <c r="T218" s="11">
        <f>IF(S218="","",IF($AM$1=2,'Komisyon Tarifeleri'!X218,'Komisyon Tarifeleri'!S218))</f>
        <v/>
      </c>
      <c r="U218" s="10">
        <f>IF(OR(S218="",$D218=""),"",S218*(1-T218/100)-$D218-IF(S218&lt;=199.99,Kargo!$E$2,IF(S218&lt;=399.99,Kargo!$E$3,$F218)))</f>
        <v/>
      </c>
      <c r="V218" s="12">
        <f>IF(U218="","",U218/S218)</f>
        <v/>
      </c>
      <c r="W218" s="12">
        <f>IF($B218="","",IFERROR(VLOOKUP($C218,Hedefler!$A:$C,2,FALSE),0.04))</f>
        <v/>
      </c>
      <c r="X218" s="12">
        <f>IF($B218="","",IFERROR(VLOOKUP($C218,Hedefler!$A:$C,3,FALSE),0.1))</f>
        <v/>
      </c>
      <c r="Y218" s="13">
        <f>IF($B218="","",IFERROR(VLOOKUP($B218,Maliyetler!$A:$E,5,FALSE),""))</f>
        <v/>
      </c>
      <c r="Z218" s="13">
        <f>IF(OR(Y218="",Y218=0),"",Y218-1)</f>
        <v/>
      </c>
      <c r="AA218" s="14">
        <f>IF(Z218="","",IF(Z218&gt;='Komisyon Tarifeleri'!I218,IF($AM$1=2,'Komisyon Tarifeleri'!U218,'Komisyon Tarifeleri'!P218),IF(Z218&gt;='Komisyon Tarifeleri'!K218,IF($AM$1=2,'Komisyon Tarifeleri'!V218,'Komisyon Tarifeleri'!Q218),IF(Z218&gt;='Komisyon Tarifeleri'!M218,IF($AM$1=2,'Komisyon Tarifeleri'!W218,'Komisyon Tarifeleri'!R218),IF($AM$1=2,'Komisyon Tarifeleri'!X218,'Komisyon Tarifeleri'!S218)))))</f>
        <v/>
      </c>
      <c r="AB218" s="13">
        <f>IF(OR(AA218="",$D218=""),"",Z218*(1-AA218/100)-$D218-IF(Z218&lt;=199.99,Kargo!$E$2,IF(Z218&lt;=399.99,Kargo!$E$3,$F218)))</f>
        <v/>
      </c>
      <c r="AC218" s="15">
        <f>IF(AB218="","",AB218/Z218)</f>
        <v/>
      </c>
      <c r="AD218" s="10">
        <f>IF(OR($D218="",$B218=""),"",IF(AND((1-T218/100-W218)&gt;0,CEILING(($D218+$F218)/(1-T218/100-W218),1)&lt;='Komisyon Tarifeleri'!N218),CEILING(($D218+$F218)/(1-T218/100-W218),1),IF(AND((1-P218/100-W218)&gt;0,CEILING(MAX('Komisyon Tarifeleri'!M218,($D218+$F218)/(1-P218/100-W218)),1)&lt;='Komisyon Tarifeleri'!L218),CEILING(MAX('Komisyon Tarifeleri'!M218,($D218+$F218)/(1-P218/100-W218)),1),IF(AND((1-L218/100-W218)&gt;0,CEILING(MAX('Komisyon Tarifeleri'!K218,($D218+$F218)/(1-L218/100-W218)),1)&lt;='Komisyon Tarifeleri'!J218),CEILING(MAX('Komisyon Tarifeleri'!K218,($D218+$F218)/(1-L218/100-W218)),1),IF((1-H218/100-W218)&gt;0,CEILING(MAX('Komisyon Tarifeleri'!I218,($D218+$F218)/(1-H218/100-W218)),1),"İMKÂNSIZ")))))</f>
        <v/>
      </c>
      <c r="AE218" s="10">
        <f>IF(OR($D218="",$B218=""),"",IF(AND((1-T218/100-X218)&gt;0,CEILING(($D218+$F218)/(1-T218/100-X218),1)&lt;='Komisyon Tarifeleri'!N218),CEILING(($D218+$F218)/(1-T218/100-X218),1),IF(AND((1-P218/100-X218)&gt;0,CEILING(MAX('Komisyon Tarifeleri'!M218,($D218+$F218)/(1-P218/100-X218)),1)&lt;='Komisyon Tarifeleri'!L218),CEILING(MAX('Komisyon Tarifeleri'!M218,($D218+$F218)/(1-P218/100-X218)),1),IF(AND((1-L218/100-X218)&gt;0,CEILING(MAX('Komisyon Tarifeleri'!K218,($D218+$F218)/(1-L218/100-X218)),1)&lt;='Komisyon Tarifeleri'!J218),CEILING(MAX('Komisyon Tarifeleri'!K218,($D218+$F218)/(1-L218/100-X218)),1),IF((1-H218/100-X218)&gt;0,CEILING(MAX('Komisyon Tarifeleri'!I218,($D218+$F218)/(1-H218/100-X218)),1),"İMKÂNSIZ")))))</f>
        <v/>
      </c>
      <c r="AF218" s="16">
        <f>IF($D218="","",IF(AND(Y218&lt;&gt;"",AC218&lt;&gt;"",AC218&gt;=W218),Z218,IF(Y218&lt;&gt;"",AD218,AE218)))</f>
        <v/>
      </c>
      <c r="AG218" s="16">
        <f>IF(OR(AF218="",AF218="İMKÂNSIZ"),"",AF218*(1-IF(AF218&gt;='Komisyon Tarifeleri'!I218,IF($AM$1=2,'Komisyon Tarifeleri'!U218,'Komisyon Tarifeleri'!P218),IF(AF218&gt;='Komisyon Tarifeleri'!K218,IF($AM$1=2,'Komisyon Tarifeleri'!V218,'Komisyon Tarifeleri'!Q218),IF(AF218&gt;='Komisyon Tarifeleri'!M218,IF($AM$1=2,'Komisyon Tarifeleri'!W218,'Komisyon Tarifeleri'!R218),IF($AM$1=2,'Komisyon Tarifeleri'!X218,'Komisyon Tarifeleri'!S218))))/100)-$D218-IF(AF218&lt;=199.99,Kargo!$E$2,IF(AF218&lt;=399.99,Kargo!$E$3,$F218)))</f>
        <v/>
      </c>
      <c r="AH218" s="17">
        <f>IF(AG218="","",AG218/AF218)</f>
        <v/>
      </c>
      <c r="AI218" s="18">
        <f>IF($D218="","",IF(Y218="","BUYBOX YOK → hedef kârla min fiyat",IF(AC218&gt;=W218,"✓ BUYBOX ALTINA GİR","BUYBOX ALTI KÂRSIZ → min kârlı fiyat")))</f>
        <v/>
      </c>
      <c r="AJ218" s="10">
        <f>IF($B218="","",IFERROR(VLOOKUP($B218,Maliyetler!$A:$G,6,FALSE),""))</f>
        <v/>
      </c>
      <c r="AK218">
        <f>IF($B218="","",IFERROR(VLOOKUP($B218,Maliyetler!$A:$G,7,FALSE),""))</f>
        <v/>
      </c>
      <c r="AO218" s="21">
        <f>IF($B218="","",IFERROR(VLOOKUP($B218&amp;"",'Plus Tarifeleri'!$C:$Q,11,FALSE),""))</f>
        <v/>
      </c>
      <c r="AP218" s="22">
        <f>IF(AO218="","",IFERROR(IF($AM$1=2,VLOOKUP($B218&amp;"",'Plus Tarifeleri'!$C:$Q,15,FALSE),VLOOKUP($B218&amp;"",'Plus Tarifeleri'!$C:$Q,13,FALSE)),""))</f>
        <v/>
      </c>
      <c r="AQ218" s="21">
        <f>IF(OR(AO218="",AP218="",$D218=""),"",AO218*(1-AP218/100)-$D218-IF(AO218&lt;=199.99,Kargo!$E$2,IF(AO218&lt;=399.99,Kargo!$E$3,$F218)))</f>
        <v/>
      </c>
      <c r="AR218" s="23">
        <f>IF(AQ218="","",AQ218/AO218)</f>
        <v/>
      </c>
      <c r="AS218" s="24">
        <f>IF(OR(AQ218="",AG218=""),"",AQ218-AG218)</f>
        <v/>
      </c>
    </row>
    <row r="219">
      <c r="A219">
        <f>IF('Komisyon Tarifeleri'!A219="","",'Komisyon Tarifeleri'!A219)</f>
        <v/>
      </c>
      <c r="B219">
        <f>IF('Komisyon Tarifeleri'!B219="","",'Komisyon Tarifeleri'!B219&amp;"")</f>
        <v/>
      </c>
      <c r="C219">
        <f>IF($B219="","",'Komisyon Tarifeleri'!F219)</f>
        <v/>
      </c>
      <c r="D219" s="10">
        <f>IF($B219="","",IFERROR(VLOOKUP($B219,Maliyetler!$A:$E,3,FALSE),""))</f>
        <v/>
      </c>
      <c r="E219">
        <f>IF($B219="","",IFERROR(VLOOKUP($B219,Maliyetler!$A:$E,4,FALSE),1))</f>
        <v/>
      </c>
      <c r="F219" s="10">
        <f>IF($B219="","",IFERROR(VLOOKUP(MIN(20,MAX(1,ROUND($E219,0))),Kargo!$A:$B,2,FALSE),99.46))</f>
        <v/>
      </c>
      <c r="G219" s="10">
        <f>IF($B219="","",IF(IF(N('Komisyon Tarifeleri'!AA219)&gt;='Komisyon Tarifeleri'!I219,'Komisyon Tarifeleri'!AA219,'Komisyon Tarifeleri'!I219)="","",IF(N('Komisyon Tarifeleri'!AA219)&gt;='Komisyon Tarifeleri'!I219,'Komisyon Tarifeleri'!AA219,'Komisyon Tarifeleri'!I219)))</f>
        <v/>
      </c>
      <c r="H219" s="11">
        <f>IF(G219="","",IF($AM$1=2,'Komisyon Tarifeleri'!U219,'Komisyon Tarifeleri'!P219))</f>
        <v/>
      </c>
      <c r="I219" s="10">
        <f>IF(OR(G219="",$D219=""),"",G219*(1-H219/100)-$D219-IF(G219&lt;=199.99,Kargo!$E$2,IF(G219&lt;=399.99,Kargo!$E$3,$F219)))</f>
        <v/>
      </c>
      <c r="J219" s="12">
        <f>IF(I219="","",I219/G219)</f>
        <v/>
      </c>
      <c r="K219" s="10">
        <f>IF($B219="","",IF('Komisyon Tarifeleri'!J219="","",'Komisyon Tarifeleri'!J219))</f>
        <v/>
      </c>
      <c r="L219" s="11">
        <f>IF(K219="","",IF($AM$1=2,'Komisyon Tarifeleri'!V219,'Komisyon Tarifeleri'!Q219))</f>
        <v/>
      </c>
      <c r="M219" s="10">
        <f>IF(OR(K219="",$D219=""),"",K219*(1-L219/100)-$D219-IF(K219&lt;=199.99,Kargo!$E$2,IF(K219&lt;=399.99,Kargo!$E$3,$F219)))</f>
        <v/>
      </c>
      <c r="N219" s="12">
        <f>IF(M219="","",M219/K219)</f>
        <v/>
      </c>
      <c r="O219" s="10">
        <f>IF($B219="","",IF('Komisyon Tarifeleri'!L219="","",'Komisyon Tarifeleri'!L219))</f>
        <v/>
      </c>
      <c r="P219" s="11">
        <f>IF(O219="","",IF($AM$1=2,'Komisyon Tarifeleri'!W219,'Komisyon Tarifeleri'!R219))</f>
        <v/>
      </c>
      <c r="Q219" s="10">
        <f>IF(OR(O219="",$D219=""),"",O219*(1-P219/100)-$D219-IF(O219&lt;=199.99,Kargo!$E$2,IF(O219&lt;=399.99,Kargo!$E$3,$F219)))</f>
        <v/>
      </c>
      <c r="R219" s="12">
        <f>IF(Q219="","",Q219/O219)</f>
        <v/>
      </c>
      <c r="S219" s="10">
        <f>IF($B219="","",IF('Komisyon Tarifeleri'!N219="","",'Komisyon Tarifeleri'!N219))</f>
        <v/>
      </c>
      <c r="T219" s="11">
        <f>IF(S219="","",IF($AM$1=2,'Komisyon Tarifeleri'!X219,'Komisyon Tarifeleri'!S219))</f>
        <v/>
      </c>
      <c r="U219" s="10">
        <f>IF(OR(S219="",$D219=""),"",S219*(1-T219/100)-$D219-IF(S219&lt;=199.99,Kargo!$E$2,IF(S219&lt;=399.99,Kargo!$E$3,$F219)))</f>
        <v/>
      </c>
      <c r="V219" s="12">
        <f>IF(U219="","",U219/S219)</f>
        <v/>
      </c>
      <c r="W219" s="12">
        <f>IF($B219="","",IFERROR(VLOOKUP($C219,Hedefler!$A:$C,2,FALSE),0.04))</f>
        <v/>
      </c>
      <c r="X219" s="12">
        <f>IF($B219="","",IFERROR(VLOOKUP($C219,Hedefler!$A:$C,3,FALSE),0.1))</f>
        <v/>
      </c>
      <c r="Y219" s="13">
        <f>IF($B219="","",IFERROR(VLOOKUP($B219,Maliyetler!$A:$E,5,FALSE),""))</f>
        <v/>
      </c>
      <c r="Z219" s="13">
        <f>IF(OR(Y219="",Y219=0),"",Y219-1)</f>
        <v/>
      </c>
      <c r="AA219" s="14">
        <f>IF(Z219="","",IF(Z219&gt;='Komisyon Tarifeleri'!I219,IF($AM$1=2,'Komisyon Tarifeleri'!U219,'Komisyon Tarifeleri'!P219),IF(Z219&gt;='Komisyon Tarifeleri'!K219,IF($AM$1=2,'Komisyon Tarifeleri'!V219,'Komisyon Tarifeleri'!Q219),IF(Z219&gt;='Komisyon Tarifeleri'!M219,IF($AM$1=2,'Komisyon Tarifeleri'!W219,'Komisyon Tarifeleri'!R219),IF($AM$1=2,'Komisyon Tarifeleri'!X219,'Komisyon Tarifeleri'!S219)))))</f>
        <v/>
      </c>
      <c r="AB219" s="13">
        <f>IF(OR(AA219="",$D219=""),"",Z219*(1-AA219/100)-$D219-IF(Z219&lt;=199.99,Kargo!$E$2,IF(Z219&lt;=399.99,Kargo!$E$3,$F219)))</f>
        <v/>
      </c>
      <c r="AC219" s="15">
        <f>IF(AB219="","",AB219/Z219)</f>
        <v/>
      </c>
      <c r="AD219" s="10">
        <f>IF(OR($D219="",$B219=""),"",IF(AND((1-T219/100-W219)&gt;0,CEILING(($D219+$F219)/(1-T219/100-W219),1)&lt;='Komisyon Tarifeleri'!N219),CEILING(($D219+$F219)/(1-T219/100-W219),1),IF(AND((1-P219/100-W219)&gt;0,CEILING(MAX('Komisyon Tarifeleri'!M219,($D219+$F219)/(1-P219/100-W219)),1)&lt;='Komisyon Tarifeleri'!L219),CEILING(MAX('Komisyon Tarifeleri'!M219,($D219+$F219)/(1-P219/100-W219)),1),IF(AND((1-L219/100-W219)&gt;0,CEILING(MAX('Komisyon Tarifeleri'!K219,($D219+$F219)/(1-L219/100-W219)),1)&lt;='Komisyon Tarifeleri'!J219),CEILING(MAX('Komisyon Tarifeleri'!K219,($D219+$F219)/(1-L219/100-W219)),1),IF((1-H219/100-W219)&gt;0,CEILING(MAX('Komisyon Tarifeleri'!I219,($D219+$F219)/(1-H219/100-W219)),1),"İMKÂNSIZ")))))</f>
        <v/>
      </c>
      <c r="AE219" s="10">
        <f>IF(OR($D219="",$B219=""),"",IF(AND((1-T219/100-X219)&gt;0,CEILING(($D219+$F219)/(1-T219/100-X219),1)&lt;='Komisyon Tarifeleri'!N219),CEILING(($D219+$F219)/(1-T219/100-X219),1),IF(AND((1-P219/100-X219)&gt;0,CEILING(MAX('Komisyon Tarifeleri'!M219,($D219+$F219)/(1-P219/100-X219)),1)&lt;='Komisyon Tarifeleri'!L219),CEILING(MAX('Komisyon Tarifeleri'!M219,($D219+$F219)/(1-P219/100-X219)),1),IF(AND((1-L219/100-X219)&gt;0,CEILING(MAX('Komisyon Tarifeleri'!K219,($D219+$F219)/(1-L219/100-X219)),1)&lt;='Komisyon Tarifeleri'!J219),CEILING(MAX('Komisyon Tarifeleri'!K219,($D219+$F219)/(1-L219/100-X219)),1),IF((1-H219/100-X219)&gt;0,CEILING(MAX('Komisyon Tarifeleri'!I219,($D219+$F219)/(1-H219/100-X219)),1),"İMKÂNSIZ")))))</f>
        <v/>
      </c>
      <c r="AF219" s="16">
        <f>IF($D219="","",IF(AND(Y219&lt;&gt;"",AC219&lt;&gt;"",AC219&gt;=W219),Z219,IF(Y219&lt;&gt;"",AD219,AE219)))</f>
        <v/>
      </c>
      <c r="AG219" s="16">
        <f>IF(OR(AF219="",AF219="İMKÂNSIZ"),"",AF219*(1-IF(AF219&gt;='Komisyon Tarifeleri'!I219,IF($AM$1=2,'Komisyon Tarifeleri'!U219,'Komisyon Tarifeleri'!P219),IF(AF219&gt;='Komisyon Tarifeleri'!K219,IF($AM$1=2,'Komisyon Tarifeleri'!V219,'Komisyon Tarifeleri'!Q219),IF(AF219&gt;='Komisyon Tarifeleri'!M219,IF($AM$1=2,'Komisyon Tarifeleri'!W219,'Komisyon Tarifeleri'!R219),IF($AM$1=2,'Komisyon Tarifeleri'!X219,'Komisyon Tarifeleri'!S219))))/100)-$D219-IF(AF219&lt;=199.99,Kargo!$E$2,IF(AF219&lt;=399.99,Kargo!$E$3,$F219)))</f>
        <v/>
      </c>
      <c r="AH219" s="17">
        <f>IF(AG219="","",AG219/AF219)</f>
        <v/>
      </c>
      <c r="AI219" s="18">
        <f>IF($D219="","",IF(Y219="","BUYBOX YOK → hedef kârla min fiyat",IF(AC219&gt;=W219,"✓ BUYBOX ALTINA GİR","BUYBOX ALTI KÂRSIZ → min kârlı fiyat")))</f>
        <v/>
      </c>
      <c r="AJ219" s="10">
        <f>IF($B219="","",IFERROR(VLOOKUP($B219,Maliyetler!$A:$G,6,FALSE),""))</f>
        <v/>
      </c>
      <c r="AK219">
        <f>IF($B219="","",IFERROR(VLOOKUP($B219,Maliyetler!$A:$G,7,FALSE),""))</f>
        <v/>
      </c>
      <c r="AO219" s="21">
        <f>IF($B219="","",IFERROR(VLOOKUP($B219&amp;"",'Plus Tarifeleri'!$C:$Q,11,FALSE),""))</f>
        <v/>
      </c>
      <c r="AP219" s="22">
        <f>IF(AO219="","",IFERROR(IF($AM$1=2,VLOOKUP($B219&amp;"",'Plus Tarifeleri'!$C:$Q,15,FALSE),VLOOKUP($B219&amp;"",'Plus Tarifeleri'!$C:$Q,13,FALSE)),""))</f>
        <v/>
      </c>
      <c r="AQ219" s="21">
        <f>IF(OR(AO219="",AP219="",$D219=""),"",AO219*(1-AP219/100)-$D219-IF(AO219&lt;=199.99,Kargo!$E$2,IF(AO219&lt;=399.99,Kargo!$E$3,$F219)))</f>
        <v/>
      </c>
      <c r="AR219" s="23">
        <f>IF(AQ219="","",AQ219/AO219)</f>
        <v/>
      </c>
      <c r="AS219" s="24">
        <f>IF(OR(AQ219="",AG219=""),"",AQ219-AG219)</f>
        <v/>
      </c>
    </row>
    <row r="220">
      <c r="A220">
        <f>IF('Komisyon Tarifeleri'!A220="","",'Komisyon Tarifeleri'!A220)</f>
        <v/>
      </c>
      <c r="B220">
        <f>IF('Komisyon Tarifeleri'!B220="","",'Komisyon Tarifeleri'!B220&amp;"")</f>
        <v/>
      </c>
      <c r="C220">
        <f>IF($B220="","",'Komisyon Tarifeleri'!F220)</f>
        <v/>
      </c>
      <c r="D220" s="10">
        <f>IF($B220="","",IFERROR(VLOOKUP($B220,Maliyetler!$A:$E,3,FALSE),""))</f>
        <v/>
      </c>
      <c r="E220">
        <f>IF($B220="","",IFERROR(VLOOKUP($B220,Maliyetler!$A:$E,4,FALSE),1))</f>
        <v/>
      </c>
      <c r="F220" s="10">
        <f>IF($B220="","",IFERROR(VLOOKUP(MIN(20,MAX(1,ROUND($E220,0))),Kargo!$A:$B,2,FALSE),99.46))</f>
        <v/>
      </c>
      <c r="G220" s="10">
        <f>IF($B220="","",IF(IF(N('Komisyon Tarifeleri'!AA220)&gt;='Komisyon Tarifeleri'!I220,'Komisyon Tarifeleri'!AA220,'Komisyon Tarifeleri'!I220)="","",IF(N('Komisyon Tarifeleri'!AA220)&gt;='Komisyon Tarifeleri'!I220,'Komisyon Tarifeleri'!AA220,'Komisyon Tarifeleri'!I220)))</f>
        <v/>
      </c>
      <c r="H220" s="11">
        <f>IF(G220="","",IF($AM$1=2,'Komisyon Tarifeleri'!U220,'Komisyon Tarifeleri'!P220))</f>
        <v/>
      </c>
      <c r="I220" s="10">
        <f>IF(OR(G220="",$D220=""),"",G220*(1-H220/100)-$D220-IF(G220&lt;=199.99,Kargo!$E$2,IF(G220&lt;=399.99,Kargo!$E$3,$F220)))</f>
        <v/>
      </c>
      <c r="J220" s="12">
        <f>IF(I220="","",I220/G220)</f>
        <v/>
      </c>
      <c r="K220" s="10">
        <f>IF($B220="","",IF('Komisyon Tarifeleri'!J220="","",'Komisyon Tarifeleri'!J220))</f>
        <v/>
      </c>
      <c r="L220" s="11">
        <f>IF(K220="","",IF($AM$1=2,'Komisyon Tarifeleri'!V220,'Komisyon Tarifeleri'!Q220))</f>
        <v/>
      </c>
      <c r="M220" s="10">
        <f>IF(OR(K220="",$D220=""),"",K220*(1-L220/100)-$D220-IF(K220&lt;=199.99,Kargo!$E$2,IF(K220&lt;=399.99,Kargo!$E$3,$F220)))</f>
        <v/>
      </c>
      <c r="N220" s="12">
        <f>IF(M220="","",M220/K220)</f>
        <v/>
      </c>
      <c r="O220" s="10">
        <f>IF($B220="","",IF('Komisyon Tarifeleri'!L220="","",'Komisyon Tarifeleri'!L220))</f>
        <v/>
      </c>
      <c r="P220" s="11">
        <f>IF(O220="","",IF($AM$1=2,'Komisyon Tarifeleri'!W220,'Komisyon Tarifeleri'!R220))</f>
        <v/>
      </c>
      <c r="Q220" s="10">
        <f>IF(OR(O220="",$D220=""),"",O220*(1-P220/100)-$D220-IF(O220&lt;=199.99,Kargo!$E$2,IF(O220&lt;=399.99,Kargo!$E$3,$F220)))</f>
        <v/>
      </c>
      <c r="R220" s="12">
        <f>IF(Q220="","",Q220/O220)</f>
        <v/>
      </c>
      <c r="S220" s="10">
        <f>IF($B220="","",IF('Komisyon Tarifeleri'!N220="","",'Komisyon Tarifeleri'!N220))</f>
        <v/>
      </c>
      <c r="T220" s="11">
        <f>IF(S220="","",IF($AM$1=2,'Komisyon Tarifeleri'!X220,'Komisyon Tarifeleri'!S220))</f>
        <v/>
      </c>
      <c r="U220" s="10">
        <f>IF(OR(S220="",$D220=""),"",S220*(1-T220/100)-$D220-IF(S220&lt;=199.99,Kargo!$E$2,IF(S220&lt;=399.99,Kargo!$E$3,$F220)))</f>
        <v/>
      </c>
      <c r="V220" s="12">
        <f>IF(U220="","",U220/S220)</f>
        <v/>
      </c>
      <c r="W220" s="12">
        <f>IF($B220="","",IFERROR(VLOOKUP($C220,Hedefler!$A:$C,2,FALSE),0.04))</f>
        <v/>
      </c>
      <c r="X220" s="12">
        <f>IF($B220="","",IFERROR(VLOOKUP($C220,Hedefler!$A:$C,3,FALSE),0.1))</f>
        <v/>
      </c>
      <c r="Y220" s="13">
        <f>IF($B220="","",IFERROR(VLOOKUP($B220,Maliyetler!$A:$E,5,FALSE),""))</f>
        <v/>
      </c>
      <c r="Z220" s="13">
        <f>IF(OR(Y220="",Y220=0),"",Y220-1)</f>
        <v/>
      </c>
      <c r="AA220" s="14">
        <f>IF(Z220="","",IF(Z220&gt;='Komisyon Tarifeleri'!I220,IF($AM$1=2,'Komisyon Tarifeleri'!U220,'Komisyon Tarifeleri'!P220),IF(Z220&gt;='Komisyon Tarifeleri'!K220,IF($AM$1=2,'Komisyon Tarifeleri'!V220,'Komisyon Tarifeleri'!Q220),IF(Z220&gt;='Komisyon Tarifeleri'!M220,IF($AM$1=2,'Komisyon Tarifeleri'!W220,'Komisyon Tarifeleri'!R220),IF($AM$1=2,'Komisyon Tarifeleri'!X220,'Komisyon Tarifeleri'!S220)))))</f>
        <v/>
      </c>
      <c r="AB220" s="13">
        <f>IF(OR(AA220="",$D220=""),"",Z220*(1-AA220/100)-$D220-IF(Z220&lt;=199.99,Kargo!$E$2,IF(Z220&lt;=399.99,Kargo!$E$3,$F220)))</f>
        <v/>
      </c>
      <c r="AC220" s="15">
        <f>IF(AB220="","",AB220/Z220)</f>
        <v/>
      </c>
      <c r="AD220" s="10">
        <f>IF(OR($D220="",$B220=""),"",IF(AND((1-T220/100-W220)&gt;0,CEILING(($D220+$F220)/(1-T220/100-W220),1)&lt;='Komisyon Tarifeleri'!N220),CEILING(($D220+$F220)/(1-T220/100-W220),1),IF(AND((1-P220/100-W220)&gt;0,CEILING(MAX('Komisyon Tarifeleri'!M220,($D220+$F220)/(1-P220/100-W220)),1)&lt;='Komisyon Tarifeleri'!L220),CEILING(MAX('Komisyon Tarifeleri'!M220,($D220+$F220)/(1-P220/100-W220)),1),IF(AND((1-L220/100-W220)&gt;0,CEILING(MAX('Komisyon Tarifeleri'!K220,($D220+$F220)/(1-L220/100-W220)),1)&lt;='Komisyon Tarifeleri'!J220),CEILING(MAX('Komisyon Tarifeleri'!K220,($D220+$F220)/(1-L220/100-W220)),1),IF((1-H220/100-W220)&gt;0,CEILING(MAX('Komisyon Tarifeleri'!I220,($D220+$F220)/(1-H220/100-W220)),1),"İMKÂNSIZ")))))</f>
        <v/>
      </c>
      <c r="AE220" s="10">
        <f>IF(OR($D220="",$B220=""),"",IF(AND((1-T220/100-X220)&gt;0,CEILING(($D220+$F220)/(1-T220/100-X220),1)&lt;='Komisyon Tarifeleri'!N220),CEILING(($D220+$F220)/(1-T220/100-X220),1),IF(AND((1-P220/100-X220)&gt;0,CEILING(MAX('Komisyon Tarifeleri'!M220,($D220+$F220)/(1-P220/100-X220)),1)&lt;='Komisyon Tarifeleri'!L220),CEILING(MAX('Komisyon Tarifeleri'!M220,($D220+$F220)/(1-P220/100-X220)),1),IF(AND((1-L220/100-X220)&gt;0,CEILING(MAX('Komisyon Tarifeleri'!K220,($D220+$F220)/(1-L220/100-X220)),1)&lt;='Komisyon Tarifeleri'!J220),CEILING(MAX('Komisyon Tarifeleri'!K220,($D220+$F220)/(1-L220/100-X220)),1),IF((1-H220/100-X220)&gt;0,CEILING(MAX('Komisyon Tarifeleri'!I220,($D220+$F220)/(1-H220/100-X220)),1),"İMKÂNSIZ")))))</f>
        <v/>
      </c>
      <c r="AF220" s="16">
        <f>IF($D220="","",IF(AND(Y220&lt;&gt;"",AC220&lt;&gt;"",AC220&gt;=W220),Z220,IF(Y220&lt;&gt;"",AD220,AE220)))</f>
        <v/>
      </c>
      <c r="AG220" s="16">
        <f>IF(OR(AF220="",AF220="İMKÂNSIZ"),"",AF220*(1-IF(AF220&gt;='Komisyon Tarifeleri'!I220,IF($AM$1=2,'Komisyon Tarifeleri'!U220,'Komisyon Tarifeleri'!P220),IF(AF220&gt;='Komisyon Tarifeleri'!K220,IF($AM$1=2,'Komisyon Tarifeleri'!V220,'Komisyon Tarifeleri'!Q220),IF(AF220&gt;='Komisyon Tarifeleri'!M220,IF($AM$1=2,'Komisyon Tarifeleri'!W220,'Komisyon Tarifeleri'!R220),IF($AM$1=2,'Komisyon Tarifeleri'!X220,'Komisyon Tarifeleri'!S220))))/100)-$D220-IF(AF220&lt;=199.99,Kargo!$E$2,IF(AF220&lt;=399.99,Kargo!$E$3,$F220)))</f>
        <v/>
      </c>
      <c r="AH220" s="17">
        <f>IF(AG220="","",AG220/AF220)</f>
        <v/>
      </c>
      <c r="AI220" s="18">
        <f>IF($D220="","",IF(Y220="","BUYBOX YOK → hedef kârla min fiyat",IF(AC220&gt;=W220,"✓ BUYBOX ALTINA GİR","BUYBOX ALTI KÂRSIZ → min kârlı fiyat")))</f>
        <v/>
      </c>
      <c r="AJ220" s="10">
        <f>IF($B220="","",IFERROR(VLOOKUP($B220,Maliyetler!$A:$G,6,FALSE),""))</f>
        <v/>
      </c>
      <c r="AK220">
        <f>IF($B220="","",IFERROR(VLOOKUP($B220,Maliyetler!$A:$G,7,FALSE),""))</f>
        <v/>
      </c>
      <c r="AO220" s="21">
        <f>IF($B220="","",IFERROR(VLOOKUP($B220&amp;"",'Plus Tarifeleri'!$C:$Q,11,FALSE),""))</f>
        <v/>
      </c>
      <c r="AP220" s="22">
        <f>IF(AO220="","",IFERROR(IF($AM$1=2,VLOOKUP($B220&amp;"",'Plus Tarifeleri'!$C:$Q,15,FALSE),VLOOKUP($B220&amp;"",'Plus Tarifeleri'!$C:$Q,13,FALSE)),""))</f>
        <v/>
      </c>
      <c r="AQ220" s="21">
        <f>IF(OR(AO220="",AP220="",$D220=""),"",AO220*(1-AP220/100)-$D220-IF(AO220&lt;=199.99,Kargo!$E$2,IF(AO220&lt;=399.99,Kargo!$E$3,$F220)))</f>
        <v/>
      </c>
      <c r="AR220" s="23">
        <f>IF(AQ220="","",AQ220/AO220)</f>
        <v/>
      </c>
      <c r="AS220" s="24">
        <f>IF(OR(AQ220="",AG220=""),"",AQ220-AG220)</f>
        <v/>
      </c>
    </row>
    <row r="221">
      <c r="A221">
        <f>IF('Komisyon Tarifeleri'!A221="","",'Komisyon Tarifeleri'!A221)</f>
        <v/>
      </c>
      <c r="B221">
        <f>IF('Komisyon Tarifeleri'!B221="","",'Komisyon Tarifeleri'!B221&amp;"")</f>
        <v/>
      </c>
      <c r="C221">
        <f>IF($B221="","",'Komisyon Tarifeleri'!F221)</f>
        <v/>
      </c>
      <c r="D221" s="10">
        <f>IF($B221="","",IFERROR(VLOOKUP($B221,Maliyetler!$A:$E,3,FALSE),""))</f>
        <v/>
      </c>
      <c r="E221">
        <f>IF($B221="","",IFERROR(VLOOKUP($B221,Maliyetler!$A:$E,4,FALSE),1))</f>
        <v/>
      </c>
      <c r="F221" s="10">
        <f>IF($B221="","",IFERROR(VLOOKUP(MIN(20,MAX(1,ROUND($E221,0))),Kargo!$A:$B,2,FALSE),99.46))</f>
        <v/>
      </c>
      <c r="G221" s="10">
        <f>IF($B221="","",IF(IF(N('Komisyon Tarifeleri'!AA221)&gt;='Komisyon Tarifeleri'!I221,'Komisyon Tarifeleri'!AA221,'Komisyon Tarifeleri'!I221)="","",IF(N('Komisyon Tarifeleri'!AA221)&gt;='Komisyon Tarifeleri'!I221,'Komisyon Tarifeleri'!AA221,'Komisyon Tarifeleri'!I221)))</f>
        <v/>
      </c>
      <c r="H221" s="11">
        <f>IF(G221="","",IF($AM$1=2,'Komisyon Tarifeleri'!U221,'Komisyon Tarifeleri'!P221))</f>
        <v/>
      </c>
      <c r="I221" s="10">
        <f>IF(OR(G221="",$D221=""),"",G221*(1-H221/100)-$D221-IF(G221&lt;=199.99,Kargo!$E$2,IF(G221&lt;=399.99,Kargo!$E$3,$F221)))</f>
        <v/>
      </c>
      <c r="J221" s="12">
        <f>IF(I221="","",I221/G221)</f>
        <v/>
      </c>
      <c r="K221" s="10">
        <f>IF($B221="","",IF('Komisyon Tarifeleri'!J221="","",'Komisyon Tarifeleri'!J221))</f>
        <v/>
      </c>
      <c r="L221" s="11">
        <f>IF(K221="","",IF($AM$1=2,'Komisyon Tarifeleri'!V221,'Komisyon Tarifeleri'!Q221))</f>
        <v/>
      </c>
      <c r="M221" s="10">
        <f>IF(OR(K221="",$D221=""),"",K221*(1-L221/100)-$D221-IF(K221&lt;=199.99,Kargo!$E$2,IF(K221&lt;=399.99,Kargo!$E$3,$F221)))</f>
        <v/>
      </c>
      <c r="N221" s="12">
        <f>IF(M221="","",M221/K221)</f>
        <v/>
      </c>
      <c r="O221" s="10">
        <f>IF($B221="","",IF('Komisyon Tarifeleri'!L221="","",'Komisyon Tarifeleri'!L221))</f>
        <v/>
      </c>
      <c r="P221" s="11">
        <f>IF(O221="","",IF($AM$1=2,'Komisyon Tarifeleri'!W221,'Komisyon Tarifeleri'!R221))</f>
        <v/>
      </c>
      <c r="Q221" s="10">
        <f>IF(OR(O221="",$D221=""),"",O221*(1-P221/100)-$D221-IF(O221&lt;=199.99,Kargo!$E$2,IF(O221&lt;=399.99,Kargo!$E$3,$F221)))</f>
        <v/>
      </c>
      <c r="R221" s="12">
        <f>IF(Q221="","",Q221/O221)</f>
        <v/>
      </c>
      <c r="S221" s="10">
        <f>IF($B221="","",IF('Komisyon Tarifeleri'!N221="","",'Komisyon Tarifeleri'!N221))</f>
        <v/>
      </c>
      <c r="T221" s="11">
        <f>IF(S221="","",IF($AM$1=2,'Komisyon Tarifeleri'!X221,'Komisyon Tarifeleri'!S221))</f>
        <v/>
      </c>
      <c r="U221" s="10">
        <f>IF(OR(S221="",$D221=""),"",S221*(1-T221/100)-$D221-IF(S221&lt;=199.99,Kargo!$E$2,IF(S221&lt;=399.99,Kargo!$E$3,$F221)))</f>
        <v/>
      </c>
      <c r="V221" s="12">
        <f>IF(U221="","",U221/S221)</f>
        <v/>
      </c>
      <c r="W221" s="12">
        <f>IF($B221="","",IFERROR(VLOOKUP($C221,Hedefler!$A:$C,2,FALSE),0.04))</f>
        <v/>
      </c>
      <c r="X221" s="12">
        <f>IF($B221="","",IFERROR(VLOOKUP($C221,Hedefler!$A:$C,3,FALSE),0.1))</f>
        <v/>
      </c>
      <c r="Y221" s="13">
        <f>IF($B221="","",IFERROR(VLOOKUP($B221,Maliyetler!$A:$E,5,FALSE),""))</f>
        <v/>
      </c>
      <c r="Z221" s="13">
        <f>IF(OR(Y221="",Y221=0),"",Y221-1)</f>
        <v/>
      </c>
      <c r="AA221" s="14">
        <f>IF(Z221="","",IF(Z221&gt;='Komisyon Tarifeleri'!I221,IF($AM$1=2,'Komisyon Tarifeleri'!U221,'Komisyon Tarifeleri'!P221),IF(Z221&gt;='Komisyon Tarifeleri'!K221,IF($AM$1=2,'Komisyon Tarifeleri'!V221,'Komisyon Tarifeleri'!Q221),IF(Z221&gt;='Komisyon Tarifeleri'!M221,IF($AM$1=2,'Komisyon Tarifeleri'!W221,'Komisyon Tarifeleri'!R221),IF($AM$1=2,'Komisyon Tarifeleri'!X221,'Komisyon Tarifeleri'!S221)))))</f>
        <v/>
      </c>
      <c r="AB221" s="13">
        <f>IF(OR(AA221="",$D221=""),"",Z221*(1-AA221/100)-$D221-IF(Z221&lt;=199.99,Kargo!$E$2,IF(Z221&lt;=399.99,Kargo!$E$3,$F221)))</f>
        <v/>
      </c>
      <c r="AC221" s="15">
        <f>IF(AB221="","",AB221/Z221)</f>
        <v/>
      </c>
      <c r="AD221" s="10">
        <f>IF(OR($D221="",$B221=""),"",IF(AND((1-T221/100-W221)&gt;0,CEILING(($D221+$F221)/(1-T221/100-W221),1)&lt;='Komisyon Tarifeleri'!N221),CEILING(($D221+$F221)/(1-T221/100-W221),1),IF(AND((1-P221/100-W221)&gt;0,CEILING(MAX('Komisyon Tarifeleri'!M221,($D221+$F221)/(1-P221/100-W221)),1)&lt;='Komisyon Tarifeleri'!L221),CEILING(MAX('Komisyon Tarifeleri'!M221,($D221+$F221)/(1-P221/100-W221)),1),IF(AND((1-L221/100-W221)&gt;0,CEILING(MAX('Komisyon Tarifeleri'!K221,($D221+$F221)/(1-L221/100-W221)),1)&lt;='Komisyon Tarifeleri'!J221),CEILING(MAX('Komisyon Tarifeleri'!K221,($D221+$F221)/(1-L221/100-W221)),1),IF((1-H221/100-W221)&gt;0,CEILING(MAX('Komisyon Tarifeleri'!I221,($D221+$F221)/(1-H221/100-W221)),1),"İMKÂNSIZ")))))</f>
        <v/>
      </c>
      <c r="AE221" s="10">
        <f>IF(OR($D221="",$B221=""),"",IF(AND((1-T221/100-X221)&gt;0,CEILING(($D221+$F221)/(1-T221/100-X221),1)&lt;='Komisyon Tarifeleri'!N221),CEILING(($D221+$F221)/(1-T221/100-X221),1),IF(AND((1-P221/100-X221)&gt;0,CEILING(MAX('Komisyon Tarifeleri'!M221,($D221+$F221)/(1-P221/100-X221)),1)&lt;='Komisyon Tarifeleri'!L221),CEILING(MAX('Komisyon Tarifeleri'!M221,($D221+$F221)/(1-P221/100-X221)),1),IF(AND((1-L221/100-X221)&gt;0,CEILING(MAX('Komisyon Tarifeleri'!K221,($D221+$F221)/(1-L221/100-X221)),1)&lt;='Komisyon Tarifeleri'!J221),CEILING(MAX('Komisyon Tarifeleri'!K221,($D221+$F221)/(1-L221/100-X221)),1),IF((1-H221/100-X221)&gt;0,CEILING(MAX('Komisyon Tarifeleri'!I221,($D221+$F221)/(1-H221/100-X221)),1),"İMKÂNSIZ")))))</f>
        <v/>
      </c>
      <c r="AF221" s="16">
        <f>IF($D221="","",IF(AND(Y221&lt;&gt;"",AC221&lt;&gt;"",AC221&gt;=W221),Z221,IF(Y221&lt;&gt;"",AD221,AE221)))</f>
        <v/>
      </c>
      <c r="AG221" s="16">
        <f>IF(OR(AF221="",AF221="İMKÂNSIZ"),"",AF221*(1-IF(AF221&gt;='Komisyon Tarifeleri'!I221,IF($AM$1=2,'Komisyon Tarifeleri'!U221,'Komisyon Tarifeleri'!P221),IF(AF221&gt;='Komisyon Tarifeleri'!K221,IF($AM$1=2,'Komisyon Tarifeleri'!V221,'Komisyon Tarifeleri'!Q221),IF(AF221&gt;='Komisyon Tarifeleri'!M221,IF($AM$1=2,'Komisyon Tarifeleri'!W221,'Komisyon Tarifeleri'!R221),IF($AM$1=2,'Komisyon Tarifeleri'!X221,'Komisyon Tarifeleri'!S221))))/100)-$D221-IF(AF221&lt;=199.99,Kargo!$E$2,IF(AF221&lt;=399.99,Kargo!$E$3,$F221)))</f>
        <v/>
      </c>
      <c r="AH221" s="17">
        <f>IF(AG221="","",AG221/AF221)</f>
        <v/>
      </c>
      <c r="AI221" s="18">
        <f>IF($D221="","",IF(Y221="","BUYBOX YOK → hedef kârla min fiyat",IF(AC221&gt;=W221,"✓ BUYBOX ALTINA GİR","BUYBOX ALTI KÂRSIZ → min kârlı fiyat")))</f>
        <v/>
      </c>
      <c r="AJ221" s="10">
        <f>IF($B221="","",IFERROR(VLOOKUP($B221,Maliyetler!$A:$G,6,FALSE),""))</f>
        <v/>
      </c>
      <c r="AK221">
        <f>IF($B221="","",IFERROR(VLOOKUP($B221,Maliyetler!$A:$G,7,FALSE),""))</f>
        <v/>
      </c>
      <c r="AO221" s="21">
        <f>IF($B221="","",IFERROR(VLOOKUP($B221&amp;"",'Plus Tarifeleri'!$C:$Q,11,FALSE),""))</f>
        <v/>
      </c>
      <c r="AP221" s="22">
        <f>IF(AO221="","",IFERROR(IF($AM$1=2,VLOOKUP($B221&amp;"",'Plus Tarifeleri'!$C:$Q,15,FALSE),VLOOKUP($B221&amp;"",'Plus Tarifeleri'!$C:$Q,13,FALSE)),""))</f>
        <v/>
      </c>
      <c r="AQ221" s="21">
        <f>IF(OR(AO221="",AP221="",$D221=""),"",AO221*(1-AP221/100)-$D221-IF(AO221&lt;=199.99,Kargo!$E$2,IF(AO221&lt;=399.99,Kargo!$E$3,$F221)))</f>
        <v/>
      </c>
      <c r="AR221" s="23">
        <f>IF(AQ221="","",AQ221/AO221)</f>
        <v/>
      </c>
      <c r="AS221" s="24">
        <f>IF(OR(AQ221="",AG221=""),"",AQ221-AG221)</f>
        <v/>
      </c>
    </row>
    <row r="222">
      <c r="A222">
        <f>IF('Komisyon Tarifeleri'!A222="","",'Komisyon Tarifeleri'!A222)</f>
        <v/>
      </c>
      <c r="B222">
        <f>IF('Komisyon Tarifeleri'!B222="","",'Komisyon Tarifeleri'!B222&amp;"")</f>
        <v/>
      </c>
      <c r="C222">
        <f>IF($B222="","",'Komisyon Tarifeleri'!F222)</f>
        <v/>
      </c>
      <c r="D222" s="10">
        <f>IF($B222="","",IFERROR(VLOOKUP($B222,Maliyetler!$A:$E,3,FALSE),""))</f>
        <v/>
      </c>
      <c r="E222">
        <f>IF($B222="","",IFERROR(VLOOKUP($B222,Maliyetler!$A:$E,4,FALSE),1))</f>
        <v/>
      </c>
      <c r="F222" s="10">
        <f>IF($B222="","",IFERROR(VLOOKUP(MIN(20,MAX(1,ROUND($E222,0))),Kargo!$A:$B,2,FALSE),99.46))</f>
        <v/>
      </c>
      <c r="G222" s="10">
        <f>IF($B222="","",IF(IF(N('Komisyon Tarifeleri'!AA222)&gt;='Komisyon Tarifeleri'!I222,'Komisyon Tarifeleri'!AA222,'Komisyon Tarifeleri'!I222)="","",IF(N('Komisyon Tarifeleri'!AA222)&gt;='Komisyon Tarifeleri'!I222,'Komisyon Tarifeleri'!AA222,'Komisyon Tarifeleri'!I222)))</f>
        <v/>
      </c>
      <c r="H222" s="11">
        <f>IF(G222="","",IF($AM$1=2,'Komisyon Tarifeleri'!U222,'Komisyon Tarifeleri'!P222))</f>
        <v/>
      </c>
      <c r="I222" s="10">
        <f>IF(OR(G222="",$D222=""),"",G222*(1-H222/100)-$D222-IF(G222&lt;=199.99,Kargo!$E$2,IF(G222&lt;=399.99,Kargo!$E$3,$F222)))</f>
        <v/>
      </c>
      <c r="J222" s="12">
        <f>IF(I222="","",I222/G222)</f>
        <v/>
      </c>
      <c r="K222" s="10">
        <f>IF($B222="","",IF('Komisyon Tarifeleri'!J222="","",'Komisyon Tarifeleri'!J222))</f>
        <v/>
      </c>
      <c r="L222" s="11">
        <f>IF(K222="","",IF($AM$1=2,'Komisyon Tarifeleri'!V222,'Komisyon Tarifeleri'!Q222))</f>
        <v/>
      </c>
      <c r="M222" s="10">
        <f>IF(OR(K222="",$D222=""),"",K222*(1-L222/100)-$D222-IF(K222&lt;=199.99,Kargo!$E$2,IF(K222&lt;=399.99,Kargo!$E$3,$F222)))</f>
        <v/>
      </c>
      <c r="N222" s="12">
        <f>IF(M222="","",M222/K222)</f>
        <v/>
      </c>
      <c r="O222" s="10">
        <f>IF($B222="","",IF('Komisyon Tarifeleri'!L222="","",'Komisyon Tarifeleri'!L222))</f>
        <v/>
      </c>
      <c r="P222" s="11">
        <f>IF(O222="","",IF($AM$1=2,'Komisyon Tarifeleri'!W222,'Komisyon Tarifeleri'!R222))</f>
        <v/>
      </c>
      <c r="Q222" s="10">
        <f>IF(OR(O222="",$D222=""),"",O222*(1-P222/100)-$D222-IF(O222&lt;=199.99,Kargo!$E$2,IF(O222&lt;=399.99,Kargo!$E$3,$F222)))</f>
        <v/>
      </c>
      <c r="R222" s="12">
        <f>IF(Q222="","",Q222/O222)</f>
        <v/>
      </c>
      <c r="S222" s="10">
        <f>IF($B222="","",IF('Komisyon Tarifeleri'!N222="","",'Komisyon Tarifeleri'!N222))</f>
        <v/>
      </c>
      <c r="T222" s="11">
        <f>IF(S222="","",IF($AM$1=2,'Komisyon Tarifeleri'!X222,'Komisyon Tarifeleri'!S222))</f>
        <v/>
      </c>
      <c r="U222" s="10">
        <f>IF(OR(S222="",$D222=""),"",S222*(1-T222/100)-$D222-IF(S222&lt;=199.99,Kargo!$E$2,IF(S222&lt;=399.99,Kargo!$E$3,$F222)))</f>
        <v/>
      </c>
      <c r="V222" s="12">
        <f>IF(U222="","",U222/S222)</f>
        <v/>
      </c>
      <c r="W222" s="12">
        <f>IF($B222="","",IFERROR(VLOOKUP($C222,Hedefler!$A:$C,2,FALSE),0.04))</f>
        <v/>
      </c>
      <c r="X222" s="12">
        <f>IF($B222="","",IFERROR(VLOOKUP($C222,Hedefler!$A:$C,3,FALSE),0.1))</f>
        <v/>
      </c>
      <c r="Y222" s="13">
        <f>IF($B222="","",IFERROR(VLOOKUP($B222,Maliyetler!$A:$E,5,FALSE),""))</f>
        <v/>
      </c>
      <c r="Z222" s="13">
        <f>IF(OR(Y222="",Y222=0),"",Y222-1)</f>
        <v/>
      </c>
      <c r="AA222" s="14">
        <f>IF(Z222="","",IF(Z222&gt;='Komisyon Tarifeleri'!I222,IF($AM$1=2,'Komisyon Tarifeleri'!U222,'Komisyon Tarifeleri'!P222),IF(Z222&gt;='Komisyon Tarifeleri'!K222,IF($AM$1=2,'Komisyon Tarifeleri'!V222,'Komisyon Tarifeleri'!Q222),IF(Z222&gt;='Komisyon Tarifeleri'!M222,IF($AM$1=2,'Komisyon Tarifeleri'!W222,'Komisyon Tarifeleri'!R222),IF($AM$1=2,'Komisyon Tarifeleri'!X222,'Komisyon Tarifeleri'!S222)))))</f>
        <v/>
      </c>
      <c r="AB222" s="13">
        <f>IF(OR(AA222="",$D222=""),"",Z222*(1-AA222/100)-$D222-IF(Z222&lt;=199.99,Kargo!$E$2,IF(Z222&lt;=399.99,Kargo!$E$3,$F222)))</f>
        <v/>
      </c>
      <c r="AC222" s="15">
        <f>IF(AB222="","",AB222/Z222)</f>
        <v/>
      </c>
      <c r="AD222" s="10">
        <f>IF(OR($D222="",$B222=""),"",IF(AND((1-T222/100-W222)&gt;0,CEILING(($D222+$F222)/(1-T222/100-W222),1)&lt;='Komisyon Tarifeleri'!N222),CEILING(($D222+$F222)/(1-T222/100-W222),1),IF(AND((1-P222/100-W222)&gt;0,CEILING(MAX('Komisyon Tarifeleri'!M222,($D222+$F222)/(1-P222/100-W222)),1)&lt;='Komisyon Tarifeleri'!L222),CEILING(MAX('Komisyon Tarifeleri'!M222,($D222+$F222)/(1-P222/100-W222)),1),IF(AND((1-L222/100-W222)&gt;0,CEILING(MAX('Komisyon Tarifeleri'!K222,($D222+$F222)/(1-L222/100-W222)),1)&lt;='Komisyon Tarifeleri'!J222),CEILING(MAX('Komisyon Tarifeleri'!K222,($D222+$F222)/(1-L222/100-W222)),1),IF((1-H222/100-W222)&gt;0,CEILING(MAX('Komisyon Tarifeleri'!I222,($D222+$F222)/(1-H222/100-W222)),1),"İMKÂNSIZ")))))</f>
        <v/>
      </c>
      <c r="AE222" s="10">
        <f>IF(OR($D222="",$B222=""),"",IF(AND((1-T222/100-X222)&gt;0,CEILING(($D222+$F222)/(1-T222/100-X222),1)&lt;='Komisyon Tarifeleri'!N222),CEILING(($D222+$F222)/(1-T222/100-X222),1),IF(AND((1-P222/100-X222)&gt;0,CEILING(MAX('Komisyon Tarifeleri'!M222,($D222+$F222)/(1-P222/100-X222)),1)&lt;='Komisyon Tarifeleri'!L222),CEILING(MAX('Komisyon Tarifeleri'!M222,($D222+$F222)/(1-P222/100-X222)),1),IF(AND((1-L222/100-X222)&gt;0,CEILING(MAX('Komisyon Tarifeleri'!K222,($D222+$F222)/(1-L222/100-X222)),1)&lt;='Komisyon Tarifeleri'!J222),CEILING(MAX('Komisyon Tarifeleri'!K222,($D222+$F222)/(1-L222/100-X222)),1),IF((1-H222/100-X222)&gt;0,CEILING(MAX('Komisyon Tarifeleri'!I222,($D222+$F222)/(1-H222/100-X222)),1),"İMKÂNSIZ")))))</f>
        <v/>
      </c>
      <c r="AF222" s="16">
        <f>IF($D222="","",IF(AND(Y222&lt;&gt;"",AC222&lt;&gt;"",AC222&gt;=W222),Z222,IF(Y222&lt;&gt;"",AD222,AE222)))</f>
        <v/>
      </c>
      <c r="AG222" s="16">
        <f>IF(OR(AF222="",AF222="İMKÂNSIZ"),"",AF222*(1-IF(AF222&gt;='Komisyon Tarifeleri'!I222,IF($AM$1=2,'Komisyon Tarifeleri'!U222,'Komisyon Tarifeleri'!P222),IF(AF222&gt;='Komisyon Tarifeleri'!K222,IF($AM$1=2,'Komisyon Tarifeleri'!V222,'Komisyon Tarifeleri'!Q222),IF(AF222&gt;='Komisyon Tarifeleri'!M222,IF($AM$1=2,'Komisyon Tarifeleri'!W222,'Komisyon Tarifeleri'!R222),IF($AM$1=2,'Komisyon Tarifeleri'!X222,'Komisyon Tarifeleri'!S222))))/100)-$D222-IF(AF222&lt;=199.99,Kargo!$E$2,IF(AF222&lt;=399.99,Kargo!$E$3,$F222)))</f>
        <v/>
      </c>
      <c r="AH222" s="17">
        <f>IF(AG222="","",AG222/AF222)</f>
        <v/>
      </c>
      <c r="AI222" s="18">
        <f>IF($D222="","",IF(Y222="","BUYBOX YOK → hedef kârla min fiyat",IF(AC222&gt;=W222,"✓ BUYBOX ALTINA GİR","BUYBOX ALTI KÂRSIZ → min kârlı fiyat")))</f>
        <v/>
      </c>
      <c r="AJ222" s="10">
        <f>IF($B222="","",IFERROR(VLOOKUP($B222,Maliyetler!$A:$G,6,FALSE),""))</f>
        <v/>
      </c>
      <c r="AK222">
        <f>IF($B222="","",IFERROR(VLOOKUP($B222,Maliyetler!$A:$G,7,FALSE),""))</f>
        <v/>
      </c>
      <c r="AO222" s="21">
        <f>IF($B222="","",IFERROR(VLOOKUP($B222&amp;"",'Plus Tarifeleri'!$C:$Q,11,FALSE),""))</f>
        <v/>
      </c>
      <c r="AP222" s="22">
        <f>IF(AO222="","",IFERROR(IF($AM$1=2,VLOOKUP($B222&amp;"",'Plus Tarifeleri'!$C:$Q,15,FALSE),VLOOKUP($B222&amp;"",'Plus Tarifeleri'!$C:$Q,13,FALSE)),""))</f>
        <v/>
      </c>
      <c r="AQ222" s="21">
        <f>IF(OR(AO222="",AP222="",$D222=""),"",AO222*(1-AP222/100)-$D222-IF(AO222&lt;=199.99,Kargo!$E$2,IF(AO222&lt;=399.99,Kargo!$E$3,$F222)))</f>
        <v/>
      </c>
      <c r="AR222" s="23">
        <f>IF(AQ222="","",AQ222/AO222)</f>
        <v/>
      </c>
      <c r="AS222" s="24">
        <f>IF(OR(AQ222="",AG222=""),"",AQ222-AG222)</f>
        <v/>
      </c>
    </row>
    <row r="223">
      <c r="A223">
        <f>IF('Komisyon Tarifeleri'!A223="","",'Komisyon Tarifeleri'!A223)</f>
        <v/>
      </c>
      <c r="B223">
        <f>IF('Komisyon Tarifeleri'!B223="","",'Komisyon Tarifeleri'!B223&amp;"")</f>
        <v/>
      </c>
      <c r="C223">
        <f>IF($B223="","",'Komisyon Tarifeleri'!F223)</f>
        <v/>
      </c>
      <c r="D223" s="10">
        <f>IF($B223="","",IFERROR(VLOOKUP($B223,Maliyetler!$A:$E,3,FALSE),""))</f>
        <v/>
      </c>
      <c r="E223">
        <f>IF($B223="","",IFERROR(VLOOKUP($B223,Maliyetler!$A:$E,4,FALSE),1))</f>
        <v/>
      </c>
      <c r="F223" s="10">
        <f>IF($B223="","",IFERROR(VLOOKUP(MIN(20,MAX(1,ROUND($E223,0))),Kargo!$A:$B,2,FALSE),99.46))</f>
        <v/>
      </c>
      <c r="G223" s="10">
        <f>IF($B223="","",IF(IF(N('Komisyon Tarifeleri'!AA223)&gt;='Komisyon Tarifeleri'!I223,'Komisyon Tarifeleri'!AA223,'Komisyon Tarifeleri'!I223)="","",IF(N('Komisyon Tarifeleri'!AA223)&gt;='Komisyon Tarifeleri'!I223,'Komisyon Tarifeleri'!AA223,'Komisyon Tarifeleri'!I223)))</f>
        <v/>
      </c>
      <c r="H223" s="11">
        <f>IF(G223="","",IF($AM$1=2,'Komisyon Tarifeleri'!U223,'Komisyon Tarifeleri'!P223))</f>
        <v/>
      </c>
      <c r="I223" s="10">
        <f>IF(OR(G223="",$D223=""),"",G223*(1-H223/100)-$D223-IF(G223&lt;=199.99,Kargo!$E$2,IF(G223&lt;=399.99,Kargo!$E$3,$F223)))</f>
        <v/>
      </c>
      <c r="J223" s="12">
        <f>IF(I223="","",I223/G223)</f>
        <v/>
      </c>
      <c r="K223" s="10">
        <f>IF($B223="","",IF('Komisyon Tarifeleri'!J223="","",'Komisyon Tarifeleri'!J223))</f>
        <v/>
      </c>
      <c r="L223" s="11">
        <f>IF(K223="","",IF($AM$1=2,'Komisyon Tarifeleri'!V223,'Komisyon Tarifeleri'!Q223))</f>
        <v/>
      </c>
      <c r="M223" s="10">
        <f>IF(OR(K223="",$D223=""),"",K223*(1-L223/100)-$D223-IF(K223&lt;=199.99,Kargo!$E$2,IF(K223&lt;=399.99,Kargo!$E$3,$F223)))</f>
        <v/>
      </c>
      <c r="N223" s="12">
        <f>IF(M223="","",M223/K223)</f>
        <v/>
      </c>
      <c r="O223" s="10">
        <f>IF($B223="","",IF('Komisyon Tarifeleri'!L223="","",'Komisyon Tarifeleri'!L223))</f>
        <v/>
      </c>
      <c r="P223" s="11">
        <f>IF(O223="","",IF($AM$1=2,'Komisyon Tarifeleri'!W223,'Komisyon Tarifeleri'!R223))</f>
        <v/>
      </c>
      <c r="Q223" s="10">
        <f>IF(OR(O223="",$D223=""),"",O223*(1-P223/100)-$D223-IF(O223&lt;=199.99,Kargo!$E$2,IF(O223&lt;=399.99,Kargo!$E$3,$F223)))</f>
        <v/>
      </c>
      <c r="R223" s="12">
        <f>IF(Q223="","",Q223/O223)</f>
        <v/>
      </c>
      <c r="S223" s="10">
        <f>IF($B223="","",IF('Komisyon Tarifeleri'!N223="","",'Komisyon Tarifeleri'!N223))</f>
        <v/>
      </c>
      <c r="T223" s="11">
        <f>IF(S223="","",IF($AM$1=2,'Komisyon Tarifeleri'!X223,'Komisyon Tarifeleri'!S223))</f>
        <v/>
      </c>
      <c r="U223" s="10">
        <f>IF(OR(S223="",$D223=""),"",S223*(1-T223/100)-$D223-IF(S223&lt;=199.99,Kargo!$E$2,IF(S223&lt;=399.99,Kargo!$E$3,$F223)))</f>
        <v/>
      </c>
      <c r="V223" s="12">
        <f>IF(U223="","",U223/S223)</f>
        <v/>
      </c>
      <c r="W223" s="12">
        <f>IF($B223="","",IFERROR(VLOOKUP($C223,Hedefler!$A:$C,2,FALSE),0.04))</f>
        <v/>
      </c>
      <c r="X223" s="12">
        <f>IF($B223="","",IFERROR(VLOOKUP($C223,Hedefler!$A:$C,3,FALSE),0.1))</f>
        <v/>
      </c>
      <c r="Y223" s="13">
        <f>IF($B223="","",IFERROR(VLOOKUP($B223,Maliyetler!$A:$E,5,FALSE),""))</f>
        <v/>
      </c>
      <c r="Z223" s="13">
        <f>IF(OR(Y223="",Y223=0),"",Y223-1)</f>
        <v/>
      </c>
      <c r="AA223" s="14">
        <f>IF(Z223="","",IF(Z223&gt;='Komisyon Tarifeleri'!I223,IF($AM$1=2,'Komisyon Tarifeleri'!U223,'Komisyon Tarifeleri'!P223),IF(Z223&gt;='Komisyon Tarifeleri'!K223,IF($AM$1=2,'Komisyon Tarifeleri'!V223,'Komisyon Tarifeleri'!Q223),IF(Z223&gt;='Komisyon Tarifeleri'!M223,IF($AM$1=2,'Komisyon Tarifeleri'!W223,'Komisyon Tarifeleri'!R223),IF($AM$1=2,'Komisyon Tarifeleri'!X223,'Komisyon Tarifeleri'!S223)))))</f>
        <v/>
      </c>
      <c r="AB223" s="13">
        <f>IF(OR(AA223="",$D223=""),"",Z223*(1-AA223/100)-$D223-IF(Z223&lt;=199.99,Kargo!$E$2,IF(Z223&lt;=399.99,Kargo!$E$3,$F223)))</f>
        <v/>
      </c>
      <c r="AC223" s="15">
        <f>IF(AB223="","",AB223/Z223)</f>
        <v/>
      </c>
      <c r="AD223" s="10">
        <f>IF(OR($D223="",$B223=""),"",IF(AND((1-T223/100-W223)&gt;0,CEILING(($D223+$F223)/(1-T223/100-W223),1)&lt;='Komisyon Tarifeleri'!N223),CEILING(($D223+$F223)/(1-T223/100-W223),1),IF(AND((1-P223/100-W223)&gt;0,CEILING(MAX('Komisyon Tarifeleri'!M223,($D223+$F223)/(1-P223/100-W223)),1)&lt;='Komisyon Tarifeleri'!L223),CEILING(MAX('Komisyon Tarifeleri'!M223,($D223+$F223)/(1-P223/100-W223)),1),IF(AND((1-L223/100-W223)&gt;0,CEILING(MAX('Komisyon Tarifeleri'!K223,($D223+$F223)/(1-L223/100-W223)),1)&lt;='Komisyon Tarifeleri'!J223),CEILING(MAX('Komisyon Tarifeleri'!K223,($D223+$F223)/(1-L223/100-W223)),1),IF((1-H223/100-W223)&gt;0,CEILING(MAX('Komisyon Tarifeleri'!I223,($D223+$F223)/(1-H223/100-W223)),1),"İMKÂNSIZ")))))</f>
        <v/>
      </c>
      <c r="AE223" s="10">
        <f>IF(OR($D223="",$B223=""),"",IF(AND((1-T223/100-X223)&gt;0,CEILING(($D223+$F223)/(1-T223/100-X223),1)&lt;='Komisyon Tarifeleri'!N223),CEILING(($D223+$F223)/(1-T223/100-X223),1),IF(AND((1-P223/100-X223)&gt;0,CEILING(MAX('Komisyon Tarifeleri'!M223,($D223+$F223)/(1-P223/100-X223)),1)&lt;='Komisyon Tarifeleri'!L223),CEILING(MAX('Komisyon Tarifeleri'!M223,($D223+$F223)/(1-P223/100-X223)),1),IF(AND((1-L223/100-X223)&gt;0,CEILING(MAX('Komisyon Tarifeleri'!K223,($D223+$F223)/(1-L223/100-X223)),1)&lt;='Komisyon Tarifeleri'!J223),CEILING(MAX('Komisyon Tarifeleri'!K223,($D223+$F223)/(1-L223/100-X223)),1),IF((1-H223/100-X223)&gt;0,CEILING(MAX('Komisyon Tarifeleri'!I223,($D223+$F223)/(1-H223/100-X223)),1),"İMKÂNSIZ")))))</f>
        <v/>
      </c>
      <c r="AF223" s="16">
        <f>IF($D223="","",IF(AND(Y223&lt;&gt;"",AC223&lt;&gt;"",AC223&gt;=W223),Z223,IF(Y223&lt;&gt;"",AD223,AE223)))</f>
        <v/>
      </c>
      <c r="AG223" s="16">
        <f>IF(OR(AF223="",AF223="İMKÂNSIZ"),"",AF223*(1-IF(AF223&gt;='Komisyon Tarifeleri'!I223,IF($AM$1=2,'Komisyon Tarifeleri'!U223,'Komisyon Tarifeleri'!P223),IF(AF223&gt;='Komisyon Tarifeleri'!K223,IF($AM$1=2,'Komisyon Tarifeleri'!V223,'Komisyon Tarifeleri'!Q223),IF(AF223&gt;='Komisyon Tarifeleri'!M223,IF($AM$1=2,'Komisyon Tarifeleri'!W223,'Komisyon Tarifeleri'!R223),IF($AM$1=2,'Komisyon Tarifeleri'!X223,'Komisyon Tarifeleri'!S223))))/100)-$D223-IF(AF223&lt;=199.99,Kargo!$E$2,IF(AF223&lt;=399.99,Kargo!$E$3,$F223)))</f>
        <v/>
      </c>
      <c r="AH223" s="17">
        <f>IF(AG223="","",AG223/AF223)</f>
        <v/>
      </c>
      <c r="AI223" s="18">
        <f>IF($D223="","",IF(Y223="","BUYBOX YOK → hedef kârla min fiyat",IF(AC223&gt;=W223,"✓ BUYBOX ALTINA GİR","BUYBOX ALTI KÂRSIZ → min kârlı fiyat")))</f>
        <v/>
      </c>
      <c r="AJ223" s="10">
        <f>IF($B223="","",IFERROR(VLOOKUP($B223,Maliyetler!$A:$G,6,FALSE),""))</f>
        <v/>
      </c>
      <c r="AK223">
        <f>IF($B223="","",IFERROR(VLOOKUP($B223,Maliyetler!$A:$G,7,FALSE),""))</f>
        <v/>
      </c>
      <c r="AO223" s="21">
        <f>IF($B223="","",IFERROR(VLOOKUP($B223&amp;"",'Plus Tarifeleri'!$C:$Q,11,FALSE),""))</f>
        <v/>
      </c>
      <c r="AP223" s="22">
        <f>IF(AO223="","",IFERROR(IF($AM$1=2,VLOOKUP($B223&amp;"",'Plus Tarifeleri'!$C:$Q,15,FALSE),VLOOKUP($B223&amp;"",'Plus Tarifeleri'!$C:$Q,13,FALSE)),""))</f>
        <v/>
      </c>
      <c r="AQ223" s="21">
        <f>IF(OR(AO223="",AP223="",$D223=""),"",AO223*(1-AP223/100)-$D223-IF(AO223&lt;=199.99,Kargo!$E$2,IF(AO223&lt;=399.99,Kargo!$E$3,$F223)))</f>
        <v/>
      </c>
      <c r="AR223" s="23">
        <f>IF(AQ223="","",AQ223/AO223)</f>
        <v/>
      </c>
      <c r="AS223" s="24">
        <f>IF(OR(AQ223="",AG223=""),"",AQ223-AG223)</f>
        <v/>
      </c>
    </row>
    <row r="224">
      <c r="A224">
        <f>IF('Komisyon Tarifeleri'!A224="","",'Komisyon Tarifeleri'!A224)</f>
        <v/>
      </c>
      <c r="B224">
        <f>IF('Komisyon Tarifeleri'!B224="","",'Komisyon Tarifeleri'!B224&amp;"")</f>
        <v/>
      </c>
      <c r="C224">
        <f>IF($B224="","",'Komisyon Tarifeleri'!F224)</f>
        <v/>
      </c>
      <c r="D224" s="10">
        <f>IF($B224="","",IFERROR(VLOOKUP($B224,Maliyetler!$A:$E,3,FALSE),""))</f>
        <v/>
      </c>
      <c r="E224">
        <f>IF($B224="","",IFERROR(VLOOKUP($B224,Maliyetler!$A:$E,4,FALSE),1))</f>
        <v/>
      </c>
      <c r="F224" s="10">
        <f>IF($B224="","",IFERROR(VLOOKUP(MIN(20,MAX(1,ROUND($E224,0))),Kargo!$A:$B,2,FALSE),99.46))</f>
        <v/>
      </c>
      <c r="G224" s="10">
        <f>IF($B224="","",IF(IF(N('Komisyon Tarifeleri'!AA224)&gt;='Komisyon Tarifeleri'!I224,'Komisyon Tarifeleri'!AA224,'Komisyon Tarifeleri'!I224)="","",IF(N('Komisyon Tarifeleri'!AA224)&gt;='Komisyon Tarifeleri'!I224,'Komisyon Tarifeleri'!AA224,'Komisyon Tarifeleri'!I224)))</f>
        <v/>
      </c>
      <c r="H224" s="11">
        <f>IF(G224="","",IF($AM$1=2,'Komisyon Tarifeleri'!U224,'Komisyon Tarifeleri'!P224))</f>
        <v/>
      </c>
      <c r="I224" s="10">
        <f>IF(OR(G224="",$D224=""),"",G224*(1-H224/100)-$D224-IF(G224&lt;=199.99,Kargo!$E$2,IF(G224&lt;=399.99,Kargo!$E$3,$F224)))</f>
        <v/>
      </c>
      <c r="J224" s="12">
        <f>IF(I224="","",I224/G224)</f>
        <v/>
      </c>
      <c r="K224" s="10">
        <f>IF($B224="","",IF('Komisyon Tarifeleri'!J224="","",'Komisyon Tarifeleri'!J224))</f>
        <v/>
      </c>
      <c r="L224" s="11">
        <f>IF(K224="","",IF($AM$1=2,'Komisyon Tarifeleri'!V224,'Komisyon Tarifeleri'!Q224))</f>
        <v/>
      </c>
      <c r="M224" s="10">
        <f>IF(OR(K224="",$D224=""),"",K224*(1-L224/100)-$D224-IF(K224&lt;=199.99,Kargo!$E$2,IF(K224&lt;=399.99,Kargo!$E$3,$F224)))</f>
        <v/>
      </c>
      <c r="N224" s="12">
        <f>IF(M224="","",M224/K224)</f>
        <v/>
      </c>
      <c r="O224" s="10">
        <f>IF($B224="","",IF('Komisyon Tarifeleri'!L224="","",'Komisyon Tarifeleri'!L224))</f>
        <v/>
      </c>
      <c r="P224" s="11">
        <f>IF(O224="","",IF($AM$1=2,'Komisyon Tarifeleri'!W224,'Komisyon Tarifeleri'!R224))</f>
        <v/>
      </c>
      <c r="Q224" s="10">
        <f>IF(OR(O224="",$D224=""),"",O224*(1-P224/100)-$D224-IF(O224&lt;=199.99,Kargo!$E$2,IF(O224&lt;=399.99,Kargo!$E$3,$F224)))</f>
        <v/>
      </c>
      <c r="R224" s="12">
        <f>IF(Q224="","",Q224/O224)</f>
        <v/>
      </c>
      <c r="S224" s="10">
        <f>IF($B224="","",IF('Komisyon Tarifeleri'!N224="","",'Komisyon Tarifeleri'!N224))</f>
        <v/>
      </c>
      <c r="T224" s="11">
        <f>IF(S224="","",IF($AM$1=2,'Komisyon Tarifeleri'!X224,'Komisyon Tarifeleri'!S224))</f>
        <v/>
      </c>
      <c r="U224" s="10">
        <f>IF(OR(S224="",$D224=""),"",S224*(1-T224/100)-$D224-IF(S224&lt;=199.99,Kargo!$E$2,IF(S224&lt;=399.99,Kargo!$E$3,$F224)))</f>
        <v/>
      </c>
      <c r="V224" s="12">
        <f>IF(U224="","",U224/S224)</f>
        <v/>
      </c>
      <c r="W224" s="12">
        <f>IF($B224="","",IFERROR(VLOOKUP($C224,Hedefler!$A:$C,2,FALSE),0.04))</f>
        <v/>
      </c>
      <c r="X224" s="12">
        <f>IF($B224="","",IFERROR(VLOOKUP($C224,Hedefler!$A:$C,3,FALSE),0.1))</f>
        <v/>
      </c>
      <c r="Y224" s="13">
        <f>IF($B224="","",IFERROR(VLOOKUP($B224,Maliyetler!$A:$E,5,FALSE),""))</f>
        <v/>
      </c>
      <c r="Z224" s="13">
        <f>IF(OR(Y224="",Y224=0),"",Y224-1)</f>
        <v/>
      </c>
      <c r="AA224" s="14">
        <f>IF(Z224="","",IF(Z224&gt;='Komisyon Tarifeleri'!I224,IF($AM$1=2,'Komisyon Tarifeleri'!U224,'Komisyon Tarifeleri'!P224),IF(Z224&gt;='Komisyon Tarifeleri'!K224,IF($AM$1=2,'Komisyon Tarifeleri'!V224,'Komisyon Tarifeleri'!Q224),IF(Z224&gt;='Komisyon Tarifeleri'!M224,IF($AM$1=2,'Komisyon Tarifeleri'!W224,'Komisyon Tarifeleri'!R224),IF($AM$1=2,'Komisyon Tarifeleri'!X224,'Komisyon Tarifeleri'!S224)))))</f>
        <v/>
      </c>
      <c r="AB224" s="13">
        <f>IF(OR(AA224="",$D224=""),"",Z224*(1-AA224/100)-$D224-IF(Z224&lt;=199.99,Kargo!$E$2,IF(Z224&lt;=399.99,Kargo!$E$3,$F224)))</f>
        <v/>
      </c>
      <c r="AC224" s="15">
        <f>IF(AB224="","",AB224/Z224)</f>
        <v/>
      </c>
      <c r="AD224" s="10">
        <f>IF(OR($D224="",$B224=""),"",IF(AND((1-T224/100-W224)&gt;0,CEILING(($D224+$F224)/(1-T224/100-W224),1)&lt;='Komisyon Tarifeleri'!N224),CEILING(($D224+$F224)/(1-T224/100-W224),1),IF(AND((1-P224/100-W224)&gt;0,CEILING(MAX('Komisyon Tarifeleri'!M224,($D224+$F224)/(1-P224/100-W224)),1)&lt;='Komisyon Tarifeleri'!L224),CEILING(MAX('Komisyon Tarifeleri'!M224,($D224+$F224)/(1-P224/100-W224)),1),IF(AND((1-L224/100-W224)&gt;0,CEILING(MAX('Komisyon Tarifeleri'!K224,($D224+$F224)/(1-L224/100-W224)),1)&lt;='Komisyon Tarifeleri'!J224),CEILING(MAX('Komisyon Tarifeleri'!K224,($D224+$F224)/(1-L224/100-W224)),1),IF((1-H224/100-W224)&gt;0,CEILING(MAX('Komisyon Tarifeleri'!I224,($D224+$F224)/(1-H224/100-W224)),1),"İMKÂNSIZ")))))</f>
        <v/>
      </c>
      <c r="AE224" s="10">
        <f>IF(OR($D224="",$B224=""),"",IF(AND((1-T224/100-X224)&gt;0,CEILING(($D224+$F224)/(1-T224/100-X224),1)&lt;='Komisyon Tarifeleri'!N224),CEILING(($D224+$F224)/(1-T224/100-X224),1),IF(AND((1-P224/100-X224)&gt;0,CEILING(MAX('Komisyon Tarifeleri'!M224,($D224+$F224)/(1-P224/100-X224)),1)&lt;='Komisyon Tarifeleri'!L224),CEILING(MAX('Komisyon Tarifeleri'!M224,($D224+$F224)/(1-P224/100-X224)),1),IF(AND((1-L224/100-X224)&gt;0,CEILING(MAX('Komisyon Tarifeleri'!K224,($D224+$F224)/(1-L224/100-X224)),1)&lt;='Komisyon Tarifeleri'!J224),CEILING(MAX('Komisyon Tarifeleri'!K224,($D224+$F224)/(1-L224/100-X224)),1),IF((1-H224/100-X224)&gt;0,CEILING(MAX('Komisyon Tarifeleri'!I224,($D224+$F224)/(1-H224/100-X224)),1),"İMKÂNSIZ")))))</f>
        <v/>
      </c>
      <c r="AF224" s="16">
        <f>IF($D224="","",IF(AND(Y224&lt;&gt;"",AC224&lt;&gt;"",AC224&gt;=W224),Z224,IF(Y224&lt;&gt;"",AD224,AE224)))</f>
        <v/>
      </c>
      <c r="AG224" s="16">
        <f>IF(OR(AF224="",AF224="İMKÂNSIZ"),"",AF224*(1-IF(AF224&gt;='Komisyon Tarifeleri'!I224,IF($AM$1=2,'Komisyon Tarifeleri'!U224,'Komisyon Tarifeleri'!P224),IF(AF224&gt;='Komisyon Tarifeleri'!K224,IF($AM$1=2,'Komisyon Tarifeleri'!V224,'Komisyon Tarifeleri'!Q224),IF(AF224&gt;='Komisyon Tarifeleri'!M224,IF($AM$1=2,'Komisyon Tarifeleri'!W224,'Komisyon Tarifeleri'!R224),IF($AM$1=2,'Komisyon Tarifeleri'!X224,'Komisyon Tarifeleri'!S224))))/100)-$D224-IF(AF224&lt;=199.99,Kargo!$E$2,IF(AF224&lt;=399.99,Kargo!$E$3,$F224)))</f>
        <v/>
      </c>
      <c r="AH224" s="17">
        <f>IF(AG224="","",AG224/AF224)</f>
        <v/>
      </c>
      <c r="AI224" s="18">
        <f>IF($D224="","",IF(Y224="","BUYBOX YOK → hedef kârla min fiyat",IF(AC224&gt;=W224,"✓ BUYBOX ALTINA GİR","BUYBOX ALTI KÂRSIZ → min kârlı fiyat")))</f>
        <v/>
      </c>
      <c r="AJ224" s="10">
        <f>IF($B224="","",IFERROR(VLOOKUP($B224,Maliyetler!$A:$G,6,FALSE),""))</f>
        <v/>
      </c>
      <c r="AK224">
        <f>IF($B224="","",IFERROR(VLOOKUP($B224,Maliyetler!$A:$G,7,FALSE),""))</f>
        <v/>
      </c>
      <c r="AO224" s="21">
        <f>IF($B224="","",IFERROR(VLOOKUP($B224&amp;"",'Plus Tarifeleri'!$C:$Q,11,FALSE),""))</f>
        <v/>
      </c>
      <c r="AP224" s="22">
        <f>IF(AO224="","",IFERROR(IF($AM$1=2,VLOOKUP($B224&amp;"",'Plus Tarifeleri'!$C:$Q,15,FALSE),VLOOKUP($B224&amp;"",'Plus Tarifeleri'!$C:$Q,13,FALSE)),""))</f>
        <v/>
      </c>
      <c r="AQ224" s="21">
        <f>IF(OR(AO224="",AP224="",$D224=""),"",AO224*(1-AP224/100)-$D224-IF(AO224&lt;=199.99,Kargo!$E$2,IF(AO224&lt;=399.99,Kargo!$E$3,$F224)))</f>
        <v/>
      </c>
      <c r="AR224" s="23">
        <f>IF(AQ224="","",AQ224/AO224)</f>
        <v/>
      </c>
      <c r="AS224" s="24">
        <f>IF(OR(AQ224="",AG224=""),"",AQ224-AG224)</f>
        <v/>
      </c>
    </row>
    <row r="225">
      <c r="A225">
        <f>IF('Komisyon Tarifeleri'!A225="","",'Komisyon Tarifeleri'!A225)</f>
        <v/>
      </c>
      <c r="B225">
        <f>IF('Komisyon Tarifeleri'!B225="","",'Komisyon Tarifeleri'!B225&amp;"")</f>
        <v/>
      </c>
      <c r="C225">
        <f>IF($B225="","",'Komisyon Tarifeleri'!F225)</f>
        <v/>
      </c>
      <c r="D225" s="10">
        <f>IF($B225="","",IFERROR(VLOOKUP($B225,Maliyetler!$A:$E,3,FALSE),""))</f>
        <v/>
      </c>
      <c r="E225">
        <f>IF($B225="","",IFERROR(VLOOKUP($B225,Maliyetler!$A:$E,4,FALSE),1))</f>
        <v/>
      </c>
      <c r="F225" s="10">
        <f>IF($B225="","",IFERROR(VLOOKUP(MIN(20,MAX(1,ROUND($E225,0))),Kargo!$A:$B,2,FALSE),99.46))</f>
        <v/>
      </c>
      <c r="G225" s="10">
        <f>IF($B225="","",IF(IF(N('Komisyon Tarifeleri'!AA225)&gt;='Komisyon Tarifeleri'!I225,'Komisyon Tarifeleri'!AA225,'Komisyon Tarifeleri'!I225)="","",IF(N('Komisyon Tarifeleri'!AA225)&gt;='Komisyon Tarifeleri'!I225,'Komisyon Tarifeleri'!AA225,'Komisyon Tarifeleri'!I225)))</f>
        <v/>
      </c>
      <c r="H225" s="11">
        <f>IF(G225="","",IF($AM$1=2,'Komisyon Tarifeleri'!U225,'Komisyon Tarifeleri'!P225))</f>
        <v/>
      </c>
      <c r="I225" s="10">
        <f>IF(OR(G225="",$D225=""),"",G225*(1-H225/100)-$D225-IF(G225&lt;=199.99,Kargo!$E$2,IF(G225&lt;=399.99,Kargo!$E$3,$F225)))</f>
        <v/>
      </c>
      <c r="J225" s="12">
        <f>IF(I225="","",I225/G225)</f>
        <v/>
      </c>
      <c r="K225" s="10">
        <f>IF($B225="","",IF('Komisyon Tarifeleri'!J225="","",'Komisyon Tarifeleri'!J225))</f>
        <v/>
      </c>
      <c r="L225" s="11">
        <f>IF(K225="","",IF($AM$1=2,'Komisyon Tarifeleri'!V225,'Komisyon Tarifeleri'!Q225))</f>
        <v/>
      </c>
      <c r="M225" s="10">
        <f>IF(OR(K225="",$D225=""),"",K225*(1-L225/100)-$D225-IF(K225&lt;=199.99,Kargo!$E$2,IF(K225&lt;=399.99,Kargo!$E$3,$F225)))</f>
        <v/>
      </c>
      <c r="N225" s="12">
        <f>IF(M225="","",M225/K225)</f>
        <v/>
      </c>
      <c r="O225" s="10">
        <f>IF($B225="","",IF('Komisyon Tarifeleri'!L225="","",'Komisyon Tarifeleri'!L225))</f>
        <v/>
      </c>
      <c r="P225" s="11">
        <f>IF(O225="","",IF($AM$1=2,'Komisyon Tarifeleri'!W225,'Komisyon Tarifeleri'!R225))</f>
        <v/>
      </c>
      <c r="Q225" s="10">
        <f>IF(OR(O225="",$D225=""),"",O225*(1-P225/100)-$D225-IF(O225&lt;=199.99,Kargo!$E$2,IF(O225&lt;=399.99,Kargo!$E$3,$F225)))</f>
        <v/>
      </c>
      <c r="R225" s="12">
        <f>IF(Q225="","",Q225/O225)</f>
        <v/>
      </c>
      <c r="S225" s="10">
        <f>IF($B225="","",IF('Komisyon Tarifeleri'!N225="","",'Komisyon Tarifeleri'!N225))</f>
        <v/>
      </c>
      <c r="T225" s="11">
        <f>IF(S225="","",IF($AM$1=2,'Komisyon Tarifeleri'!X225,'Komisyon Tarifeleri'!S225))</f>
        <v/>
      </c>
      <c r="U225" s="10">
        <f>IF(OR(S225="",$D225=""),"",S225*(1-T225/100)-$D225-IF(S225&lt;=199.99,Kargo!$E$2,IF(S225&lt;=399.99,Kargo!$E$3,$F225)))</f>
        <v/>
      </c>
      <c r="V225" s="12">
        <f>IF(U225="","",U225/S225)</f>
        <v/>
      </c>
      <c r="W225" s="12">
        <f>IF($B225="","",IFERROR(VLOOKUP($C225,Hedefler!$A:$C,2,FALSE),0.04))</f>
        <v/>
      </c>
      <c r="X225" s="12">
        <f>IF($B225="","",IFERROR(VLOOKUP($C225,Hedefler!$A:$C,3,FALSE),0.1))</f>
        <v/>
      </c>
      <c r="Y225" s="13">
        <f>IF($B225="","",IFERROR(VLOOKUP($B225,Maliyetler!$A:$E,5,FALSE),""))</f>
        <v/>
      </c>
      <c r="Z225" s="13">
        <f>IF(OR(Y225="",Y225=0),"",Y225-1)</f>
        <v/>
      </c>
      <c r="AA225" s="14">
        <f>IF(Z225="","",IF(Z225&gt;='Komisyon Tarifeleri'!I225,IF($AM$1=2,'Komisyon Tarifeleri'!U225,'Komisyon Tarifeleri'!P225),IF(Z225&gt;='Komisyon Tarifeleri'!K225,IF($AM$1=2,'Komisyon Tarifeleri'!V225,'Komisyon Tarifeleri'!Q225),IF(Z225&gt;='Komisyon Tarifeleri'!M225,IF($AM$1=2,'Komisyon Tarifeleri'!W225,'Komisyon Tarifeleri'!R225),IF($AM$1=2,'Komisyon Tarifeleri'!X225,'Komisyon Tarifeleri'!S225)))))</f>
        <v/>
      </c>
      <c r="AB225" s="13">
        <f>IF(OR(AA225="",$D225=""),"",Z225*(1-AA225/100)-$D225-IF(Z225&lt;=199.99,Kargo!$E$2,IF(Z225&lt;=399.99,Kargo!$E$3,$F225)))</f>
        <v/>
      </c>
      <c r="AC225" s="15">
        <f>IF(AB225="","",AB225/Z225)</f>
        <v/>
      </c>
      <c r="AD225" s="10">
        <f>IF(OR($D225="",$B225=""),"",IF(AND((1-T225/100-W225)&gt;0,CEILING(($D225+$F225)/(1-T225/100-W225),1)&lt;='Komisyon Tarifeleri'!N225),CEILING(($D225+$F225)/(1-T225/100-W225),1),IF(AND((1-P225/100-W225)&gt;0,CEILING(MAX('Komisyon Tarifeleri'!M225,($D225+$F225)/(1-P225/100-W225)),1)&lt;='Komisyon Tarifeleri'!L225),CEILING(MAX('Komisyon Tarifeleri'!M225,($D225+$F225)/(1-P225/100-W225)),1),IF(AND((1-L225/100-W225)&gt;0,CEILING(MAX('Komisyon Tarifeleri'!K225,($D225+$F225)/(1-L225/100-W225)),1)&lt;='Komisyon Tarifeleri'!J225),CEILING(MAX('Komisyon Tarifeleri'!K225,($D225+$F225)/(1-L225/100-W225)),1),IF((1-H225/100-W225)&gt;0,CEILING(MAX('Komisyon Tarifeleri'!I225,($D225+$F225)/(1-H225/100-W225)),1),"İMKÂNSIZ")))))</f>
        <v/>
      </c>
      <c r="AE225" s="10">
        <f>IF(OR($D225="",$B225=""),"",IF(AND((1-T225/100-X225)&gt;0,CEILING(($D225+$F225)/(1-T225/100-X225),1)&lt;='Komisyon Tarifeleri'!N225),CEILING(($D225+$F225)/(1-T225/100-X225),1),IF(AND((1-P225/100-X225)&gt;0,CEILING(MAX('Komisyon Tarifeleri'!M225,($D225+$F225)/(1-P225/100-X225)),1)&lt;='Komisyon Tarifeleri'!L225),CEILING(MAX('Komisyon Tarifeleri'!M225,($D225+$F225)/(1-P225/100-X225)),1),IF(AND((1-L225/100-X225)&gt;0,CEILING(MAX('Komisyon Tarifeleri'!K225,($D225+$F225)/(1-L225/100-X225)),1)&lt;='Komisyon Tarifeleri'!J225),CEILING(MAX('Komisyon Tarifeleri'!K225,($D225+$F225)/(1-L225/100-X225)),1),IF((1-H225/100-X225)&gt;0,CEILING(MAX('Komisyon Tarifeleri'!I225,($D225+$F225)/(1-H225/100-X225)),1),"İMKÂNSIZ")))))</f>
        <v/>
      </c>
      <c r="AF225" s="16">
        <f>IF($D225="","",IF(AND(Y225&lt;&gt;"",AC225&lt;&gt;"",AC225&gt;=W225),Z225,IF(Y225&lt;&gt;"",AD225,AE225)))</f>
        <v/>
      </c>
      <c r="AG225" s="16">
        <f>IF(OR(AF225="",AF225="İMKÂNSIZ"),"",AF225*(1-IF(AF225&gt;='Komisyon Tarifeleri'!I225,IF($AM$1=2,'Komisyon Tarifeleri'!U225,'Komisyon Tarifeleri'!P225),IF(AF225&gt;='Komisyon Tarifeleri'!K225,IF($AM$1=2,'Komisyon Tarifeleri'!V225,'Komisyon Tarifeleri'!Q225),IF(AF225&gt;='Komisyon Tarifeleri'!M225,IF($AM$1=2,'Komisyon Tarifeleri'!W225,'Komisyon Tarifeleri'!R225),IF($AM$1=2,'Komisyon Tarifeleri'!X225,'Komisyon Tarifeleri'!S225))))/100)-$D225-IF(AF225&lt;=199.99,Kargo!$E$2,IF(AF225&lt;=399.99,Kargo!$E$3,$F225)))</f>
        <v/>
      </c>
      <c r="AH225" s="17">
        <f>IF(AG225="","",AG225/AF225)</f>
        <v/>
      </c>
      <c r="AI225" s="18">
        <f>IF($D225="","",IF(Y225="","BUYBOX YOK → hedef kârla min fiyat",IF(AC225&gt;=W225,"✓ BUYBOX ALTINA GİR","BUYBOX ALTI KÂRSIZ → min kârlı fiyat")))</f>
        <v/>
      </c>
      <c r="AJ225" s="10">
        <f>IF($B225="","",IFERROR(VLOOKUP($B225,Maliyetler!$A:$G,6,FALSE),""))</f>
        <v/>
      </c>
      <c r="AK225">
        <f>IF($B225="","",IFERROR(VLOOKUP($B225,Maliyetler!$A:$G,7,FALSE),""))</f>
        <v/>
      </c>
      <c r="AO225" s="21">
        <f>IF($B225="","",IFERROR(VLOOKUP($B225&amp;"",'Plus Tarifeleri'!$C:$Q,11,FALSE),""))</f>
        <v/>
      </c>
      <c r="AP225" s="22">
        <f>IF(AO225="","",IFERROR(IF($AM$1=2,VLOOKUP($B225&amp;"",'Plus Tarifeleri'!$C:$Q,15,FALSE),VLOOKUP($B225&amp;"",'Plus Tarifeleri'!$C:$Q,13,FALSE)),""))</f>
        <v/>
      </c>
      <c r="AQ225" s="21">
        <f>IF(OR(AO225="",AP225="",$D225=""),"",AO225*(1-AP225/100)-$D225-IF(AO225&lt;=199.99,Kargo!$E$2,IF(AO225&lt;=399.99,Kargo!$E$3,$F225)))</f>
        <v/>
      </c>
      <c r="AR225" s="23">
        <f>IF(AQ225="","",AQ225/AO225)</f>
        <v/>
      </c>
      <c r="AS225" s="24">
        <f>IF(OR(AQ225="",AG225=""),"",AQ225-AG225)</f>
        <v/>
      </c>
    </row>
    <row r="226">
      <c r="A226">
        <f>IF('Komisyon Tarifeleri'!A226="","",'Komisyon Tarifeleri'!A226)</f>
        <v/>
      </c>
      <c r="B226">
        <f>IF('Komisyon Tarifeleri'!B226="","",'Komisyon Tarifeleri'!B226&amp;"")</f>
        <v/>
      </c>
      <c r="C226">
        <f>IF($B226="","",'Komisyon Tarifeleri'!F226)</f>
        <v/>
      </c>
      <c r="D226" s="10">
        <f>IF($B226="","",IFERROR(VLOOKUP($B226,Maliyetler!$A:$E,3,FALSE),""))</f>
        <v/>
      </c>
      <c r="E226">
        <f>IF($B226="","",IFERROR(VLOOKUP($B226,Maliyetler!$A:$E,4,FALSE),1))</f>
        <v/>
      </c>
      <c r="F226" s="10">
        <f>IF($B226="","",IFERROR(VLOOKUP(MIN(20,MAX(1,ROUND($E226,0))),Kargo!$A:$B,2,FALSE),99.46))</f>
        <v/>
      </c>
      <c r="G226" s="10">
        <f>IF($B226="","",IF(IF(N('Komisyon Tarifeleri'!AA226)&gt;='Komisyon Tarifeleri'!I226,'Komisyon Tarifeleri'!AA226,'Komisyon Tarifeleri'!I226)="","",IF(N('Komisyon Tarifeleri'!AA226)&gt;='Komisyon Tarifeleri'!I226,'Komisyon Tarifeleri'!AA226,'Komisyon Tarifeleri'!I226)))</f>
        <v/>
      </c>
      <c r="H226" s="11">
        <f>IF(G226="","",IF($AM$1=2,'Komisyon Tarifeleri'!U226,'Komisyon Tarifeleri'!P226))</f>
        <v/>
      </c>
      <c r="I226" s="10">
        <f>IF(OR(G226="",$D226=""),"",G226*(1-H226/100)-$D226-IF(G226&lt;=199.99,Kargo!$E$2,IF(G226&lt;=399.99,Kargo!$E$3,$F226)))</f>
        <v/>
      </c>
      <c r="J226" s="12">
        <f>IF(I226="","",I226/G226)</f>
        <v/>
      </c>
      <c r="K226" s="10">
        <f>IF($B226="","",IF('Komisyon Tarifeleri'!J226="","",'Komisyon Tarifeleri'!J226))</f>
        <v/>
      </c>
      <c r="L226" s="11">
        <f>IF(K226="","",IF($AM$1=2,'Komisyon Tarifeleri'!V226,'Komisyon Tarifeleri'!Q226))</f>
        <v/>
      </c>
      <c r="M226" s="10">
        <f>IF(OR(K226="",$D226=""),"",K226*(1-L226/100)-$D226-IF(K226&lt;=199.99,Kargo!$E$2,IF(K226&lt;=399.99,Kargo!$E$3,$F226)))</f>
        <v/>
      </c>
      <c r="N226" s="12">
        <f>IF(M226="","",M226/K226)</f>
        <v/>
      </c>
      <c r="O226" s="10">
        <f>IF($B226="","",IF('Komisyon Tarifeleri'!L226="","",'Komisyon Tarifeleri'!L226))</f>
        <v/>
      </c>
      <c r="P226" s="11">
        <f>IF(O226="","",IF($AM$1=2,'Komisyon Tarifeleri'!W226,'Komisyon Tarifeleri'!R226))</f>
        <v/>
      </c>
      <c r="Q226" s="10">
        <f>IF(OR(O226="",$D226=""),"",O226*(1-P226/100)-$D226-IF(O226&lt;=199.99,Kargo!$E$2,IF(O226&lt;=399.99,Kargo!$E$3,$F226)))</f>
        <v/>
      </c>
      <c r="R226" s="12">
        <f>IF(Q226="","",Q226/O226)</f>
        <v/>
      </c>
      <c r="S226" s="10">
        <f>IF($B226="","",IF('Komisyon Tarifeleri'!N226="","",'Komisyon Tarifeleri'!N226))</f>
        <v/>
      </c>
      <c r="T226" s="11">
        <f>IF(S226="","",IF($AM$1=2,'Komisyon Tarifeleri'!X226,'Komisyon Tarifeleri'!S226))</f>
        <v/>
      </c>
      <c r="U226" s="10">
        <f>IF(OR(S226="",$D226=""),"",S226*(1-T226/100)-$D226-IF(S226&lt;=199.99,Kargo!$E$2,IF(S226&lt;=399.99,Kargo!$E$3,$F226)))</f>
        <v/>
      </c>
      <c r="V226" s="12">
        <f>IF(U226="","",U226/S226)</f>
        <v/>
      </c>
      <c r="W226" s="12">
        <f>IF($B226="","",IFERROR(VLOOKUP($C226,Hedefler!$A:$C,2,FALSE),0.04))</f>
        <v/>
      </c>
      <c r="X226" s="12">
        <f>IF($B226="","",IFERROR(VLOOKUP($C226,Hedefler!$A:$C,3,FALSE),0.1))</f>
        <v/>
      </c>
      <c r="Y226" s="13">
        <f>IF($B226="","",IFERROR(VLOOKUP($B226,Maliyetler!$A:$E,5,FALSE),""))</f>
        <v/>
      </c>
      <c r="Z226" s="13">
        <f>IF(OR(Y226="",Y226=0),"",Y226-1)</f>
        <v/>
      </c>
      <c r="AA226" s="14">
        <f>IF(Z226="","",IF(Z226&gt;='Komisyon Tarifeleri'!I226,IF($AM$1=2,'Komisyon Tarifeleri'!U226,'Komisyon Tarifeleri'!P226),IF(Z226&gt;='Komisyon Tarifeleri'!K226,IF($AM$1=2,'Komisyon Tarifeleri'!V226,'Komisyon Tarifeleri'!Q226),IF(Z226&gt;='Komisyon Tarifeleri'!M226,IF($AM$1=2,'Komisyon Tarifeleri'!W226,'Komisyon Tarifeleri'!R226),IF($AM$1=2,'Komisyon Tarifeleri'!X226,'Komisyon Tarifeleri'!S226)))))</f>
        <v/>
      </c>
      <c r="AB226" s="13">
        <f>IF(OR(AA226="",$D226=""),"",Z226*(1-AA226/100)-$D226-IF(Z226&lt;=199.99,Kargo!$E$2,IF(Z226&lt;=399.99,Kargo!$E$3,$F226)))</f>
        <v/>
      </c>
      <c r="AC226" s="15">
        <f>IF(AB226="","",AB226/Z226)</f>
        <v/>
      </c>
      <c r="AD226" s="10">
        <f>IF(OR($D226="",$B226=""),"",IF(AND((1-T226/100-W226)&gt;0,CEILING(($D226+$F226)/(1-T226/100-W226),1)&lt;='Komisyon Tarifeleri'!N226),CEILING(($D226+$F226)/(1-T226/100-W226),1),IF(AND((1-P226/100-W226)&gt;0,CEILING(MAX('Komisyon Tarifeleri'!M226,($D226+$F226)/(1-P226/100-W226)),1)&lt;='Komisyon Tarifeleri'!L226),CEILING(MAX('Komisyon Tarifeleri'!M226,($D226+$F226)/(1-P226/100-W226)),1),IF(AND((1-L226/100-W226)&gt;0,CEILING(MAX('Komisyon Tarifeleri'!K226,($D226+$F226)/(1-L226/100-W226)),1)&lt;='Komisyon Tarifeleri'!J226),CEILING(MAX('Komisyon Tarifeleri'!K226,($D226+$F226)/(1-L226/100-W226)),1),IF((1-H226/100-W226)&gt;0,CEILING(MAX('Komisyon Tarifeleri'!I226,($D226+$F226)/(1-H226/100-W226)),1),"İMKÂNSIZ")))))</f>
        <v/>
      </c>
      <c r="AE226" s="10">
        <f>IF(OR($D226="",$B226=""),"",IF(AND((1-T226/100-X226)&gt;0,CEILING(($D226+$F226)/(1-T226/100-X226),1)&lt;='Komisyon Tarifeleri'!N226),CEILING(($D226+$F226)/(1-T226/100-X226),1),IF(AND((1-P226/100-X226)&gt;0,CEILING(MAX('Komisyon Tarifeleri'!M226,($D226+$F226)/(1-P226/100-X226)),1)&lt;='Komisyon Tarifeleri'!L226),CEILING(MAX('Komisyon Tarifeleri'!M226,($D226+$F226)/(1-P226/100-X226)),1),IF(AND((1-L226/100-X226)&gt;0,CEILING(MAX('Komisyon Tarifeleri'!K226,($D226+$F226)/(1-L226/100-X226)),1)&lt;='Komisyon Tarifeleri'!J226),CEILING(MAX('Komisyon Tarifeleri'!K226,($D226+$F226)/(1-L226/100-X226)),1),IF((1-H226/100-X226)&gt;0,CEILING(MAX('Komisyon Tarifeleri'!I226,($D226+$F226)/(1-H226/100-X226)),1),"İMKÂNSIZ")))))</f>
        <v/>
      </c>
      <c r="AF226" s="16">
        <f>IF($D226="","",IF(AND(Y226&lt;&gt;"",AC226&lt;&gt;"",AC226&gt;=W226),Z226,IF(Y226&lt;&gt;"",AD226,AE226)))</f>
        <v/>
      </c>
      <c r="AG226" s="16">
        <f>IF(OR(AF226="",AF226="İMKÂNSIZ"),"",AF226*(1-IF(AF226&gt;='Komisyon Tarifeleri'!I226,IF($AM$1=2,'Komisyon Tarifeleri'!U226,'Komisyon Tarifeleri'!P226),IF(AF226&gt;='Komisyon Tarifeleri'!K226,IF($AM$1=2,'Komisyon Tarifeleri'!V226,'Komisyon Tarifeleri'!Q226),IF(AF226&gt;='Komisyon Tarifeleri'!M226,IF($AM$1=2,'Komisyon Tarifeleri'!W226,'Komisyon Tarifeleri'!R226),IF($AM$1=2,'Komisyon Tarifeleri'!X226,'Komisyon Tarifeleri'!S226))))/100)-$D226-IF(AF226&lt;=199.99,Kargo!$E$2,IF(AF226&lt;=399.99,Kargo!$E$3,$F226)))</f>
        <v/>
      </c>
      <c r="AH226" s="17">
        <f>IF(AG226="","",AG226/AF226)</f>
        <v/>
      </c>
      <c r="AI226" s="18">
        <f>IF($D226="","",IF(Y226="","BUYBOX YOK → hedef kârla min fiyat",IF(AC226&gt;=W226,"✓ BUYBOX ALTINA GİR","BUYBOX ALTI KÂRSIZ → min kârlı fiyat")))</f>
        <v/>
      </c>
      <c r="AJ226" s="10">
        <f>IF($B226="","",IFERROR(VLOOKUP($B226,Maliyetler!$A:$G,6,FALSE),""))</f>
        <v/>
      </c>
      <c r="AK226">
        <f>IF($B226="","",IFERROR(VLOOKUP($B226,Maliyetler!$A:$G,7,FALSE),""))</f>
        <v/>
      </c>
      <c r="AO226" s="21">
        <f>IF($B226="","",IFERROR(VLOOKUP($B226&amp;"",'Plus Tarifeleri'!$C:$Q,11,FALSE),""))</f>
        <v/>
      </c>
      <c r="AP226" s="22">
        <f>IF(AO226="","",IFERROR(IF($AM$1=2,VLOOKUP($B226&amp;"",'Plus Tarifeleri'!$C:$Q,15,FALSE),VLOOKUP($B226&amp;"",'Plus Tarifeleri'!$C:$Q,13,FALSE)),""))</f>
        <v/>
      </c>
      <c r="AQ226" s="21">
        <f>IF(OR(AO226="",AP226="",$D226=""),"",AO226*(1-AP226/100)-$D226-IF(AO226&lt;=199.99,Kargo!$E$2,IF(AO226&lt;=399.99,Kargo!$E$3,$F226)))</f>
        <v/>
      </c>
      <c r="AR226" s="23">
        <f>IF(AQ226="","",AQ226/AO226)</f>
        <v/>
      </c>
      <c r="AS226" s="24">
        <f>IF(OR(AQ226="",AG226=""),"",AQ226-AG226)</f>
        <v/>
      </c>
    </row>
    <row r="227">
      <c r="A227">
        <f>IF('Komisyon Tarifeleri'!A227="","",'Komisyon Tarifeleri'!A227)</f>
        <v/>
      </c>
      <c r="B227">
        <f>IF('Komisyon Tarifeleri'!B227="","",'Komisyon Tarifeleri'!B227&amp;"")</f>
        <v/>
      </c>
      <c r="C227">
        <f>IF($B227="","",'Komisyon Tarifeleri'!F227)</f>
        <v/>
      </c>
      <c r="D227" s="10">
        <f>IF($B227="","",IFERROR(VLOOKUP($B227,Maliyetler!$A:$E,3,FALSE),""))</f>
        <v/>
      </c>
      <c r="E227">
        <f>IF($B227="","",IFERROR(VLOOKUP($B227,Maliyetler!$A:$E,4,FALSE),1))</f>
        <v/>
      </c>
      <c r="F227" s="10">
        <f>IF($B227="","",IFERROR(VLOOKUP(MIN(20,MAX(1,ROUND($E227,0))),Kargo!$A:$B,2,FALSE),99.46))</f>
        <v/>
      </c>
      <c r="G227" s="10">
        <f>IF($B227="","",IF(IF(N('Komisyon Tarifeleri'!AA227)&gt;='Komisyon Tarifeleri'!I227,'Komisyon Tarifeleri'!AA227,'Komisyon Tarifeleri'!I227)="","",IF(N('Komisyon Tarifeleri'!AA227)&gt;='Komisyon Tarifeleri'!I227,'Komisyon Tarifeleri'!AA227,'Komisyon Tarifeleri'!I227)))</f>
        <v/>
      </c>
      <c r="H227" s="11">
        <f>IF(G227="","",IF($AM$1=2,'Komisyon Tarifeleri'!U227,'Komisyon Tarifeleri'!P227))</f>
        <v/>
      </c>
      <c r="I227" s="10">
        <f>IF(OR(G227="",$D227=""),"",G227*(1-H227/100)-$D227-IF(G227&lt;=199.99,Kargo!$E$2,IF(G227&lt;=399.99,Kargo!$E$3,$F227)))</f>
        <v/>
      </c>
      <c r="J227" s="12">
        <f>IF(I227="","",I227/G227)</f>
        <v/>
      </c>
      <c r="K227" s="10">
        <f>IF($B227="","",IF('Komisyon Tarifeleri'!J227="","",'Komisyon Tarifeleri'!J227))</f>
        <v/>
      </c>
      <c r="L227" s="11">
        <f>IF(K227="","",IF($AM$1=2,'Komisyon Tarifeleri'!V227,'Komisyon Tarifeleri'!Q227))</f>
        <v/>
      </c>
      <c r="M227" s="10">
        <f>IF(OR(K227="",$D227=""),"",K227*(1-L227/100)-$D227-IF(K227&lt;=199.99,Kargo!$E$2,IF(K227&lt;=399.99,Kargo!$E$3,$F227)))</f>
        <v/>
      </c>
      <c r="N227" s="12">
        <f>IF(M227="","",M227/K227)</f>
        <v/>
      </c>
      <c r="O227" s="10">
        <f>IF($B227="","",IF('Komisyon Tarifeleri'!L227="","",'Komisyon Tarifeleri'!L227))</f>
        <v/>
      </c>
      <c r="P227" s="11">
        <f>IF(O227="","",IF($AM$1=2,'Komisyon Tarifeleri'!W227,'Komisyon Tarifeleri'!R227))</f>
        <v/>
      </c>
      <c r="Q227" s="10">
        <f>IF(OR(O227="",$D227=""),"",O227*(1-P227/100)-$D227-IF(O227&lt;=199.99,Kargo!$E$2,IF(O227&lt;=399.99,Kargo!$E$3,$F227)))</f>
        <v/>
      </c>
      <c r="R227" s="12">
        <f>IF(Q227="","",Q227/O227)</f>
        <v/>
      </c>
      <c r="S227" s="10">
        <f>IF($B227="","",IF('Komisyon Tarifeleri'!N227="","",'Komisyon Tarifeleri'!N227))</f>
        <v/>
      </c>
      <c r="T227" s="11">
        <f>IF(S227="","",IF($AM$1=2,'Komisyon Tarifeleri'!X227,'Komisyon Tarifeleri'!S227))</f>
        <v/>
      </c>
      <c r="U227" s="10">
        <f>IF(OR(S227="",$D227=""),"",S227*(1-T227/100)-$D227-IF(S227&lt;=199.99,Kargo!$E$2,IF(S227&lt;=399.99,Kargo!$E$3,$F227)))</f>
        <v/>
      </c>
      <c r="V227" s="12">
        <f>IF(U227="","",U227/S227)</f>
        <v/>
      </c>
      <c r="W227" s="12">
        <f>IF($B227="","",IFERROR(VLOOKUP($C227,Hedefler!$A:$C,2,FALSE),0.04))</f>
        <v/>
      </c>
      <c r="X227" s="12">
        <f>IF($B227="","",IFERROR(VLOOKUP($C227,Hedefler!$A:$C,3,FALSE),0.1))</f>
        <v/>
      </c>
      <c r="Y227" s="13">
        <f>IF($B227="","",IFERROR(VLOOKUP($B227,Maliyetler!$A:$E,5,FALSE),""))</f>
        <v/>
      </c>
      <c r="Z227" s="13">
        <f>IF(OR(Y227="",Y227=0),"",Y227-1)</f>
        <v/>
      </c>
      <c r="AA227" s="14">
        <f>IF(Z227="","",IF(Z227&gt;='Komisyon Tarifeleri'!I227,IF($AM$1=2,'Komisyon Tarifeleri'!U227,'Komisyon Tarifeleri'!P227),IF(Z227&gt;='Komisyon Tarifeleri'!K227,IF($AM$1=2,'Komisyon Tarifeleri'!V227,'Komisyon Tarifeleri'!Q227),IF(Z227&gt;='Komisyon Tarifeleri'!M227,IF($AM$1=2,'Komisyon Tarifeleri'!W227,'Komisyon Tarifeleri'!R227),IF($AM$1=2,'Komisyon Tarifeleri'!X227,'Komisyon Tarifeleri'!S227)))))</f>
        <v/>
      </c>
      <c r="AB227" s="13">
        <f>IF(OR(AA227="",$D227=""),"",Z227*(1-AA227/100)-$D227-IF(Z227&lt;=199.99,Kargo!$E$2,IF(Z227&lt;=399.99,Kargo!$E$3,$F227)))</f>
        <v/>
      </c>
      <c r="AC227" s="15">
        <f>IF(AB227="","",AB227/Z227)</f>
        <v/>
      </c>
      <c r="AD227" s="10">
        <f>IF(OR($D227="",$B227=""),"",IF(AND((1-T227/100-W227)&gt;0,CEILING(($D227+$F227)/(1-T227/100-W227),1)&lt;='Komisyon Tarifeleri'!N227),CEILING(($D227+$F227)/(1-T227/100-W227),1),IF(AND((1-P227/100-W227)&gt;0,CEILING(MAX('Komisyon Tarifeleri'!M227,($D227+$F227)/(1-P227/100-W227)),1)&lt;='Komisyon Tarifeleri'!L227),CEILING(MAX('Komisyon Tarifeleri'!M227,($D227+$F227)/(1-P227/100-W227)),1),IF(AND((1-L227/100-W227)&gt;0,CEILING(MAX('Komisyon Tarifeleri'!K227,($D227+$F227)/(1-L227/100-W227)),1)&lt;='Komisyon Tarifeleri'!J227),CEILING(MAX('Komisyon Tarifeleri'!K227,($D227+$F227)/(1-L227/100-W227)),1),IF((1-H227/100-W227)&gt;0,CEILING(MAX('Komisyon Tarifeleri'!I227,($D227+$F227)/(1-H227/100-W227)),1),"İMKÂNSIZ")))))</f>
        <v/>
      </c>
      <c r="AE227" s="10">
        <f>IF(OR($D227="",$B227=""),"",IF(AND((1-T227/100-X227)&gt;0,CEILING(($D227+$F227)/(1-T227/100-X227),1)&lt;='Komisyon Tarifeleri'!N227),CEILING(($D227+$F227)/(1-T227/100-X227),1),IF(AND((1-P227/100-X227)&gt;0,CEILING(MAX('Komisyon Tarifeleri'!M227,($D227+$F227)/(1-P227/100-X227)),1)&lt;='Komisyon Tarifeleri'!L227),CEILING(MAX('Komisyon Tarifeleri'!M227,($D227+$F227)/(1-P227/100-X227)),1),IF(AND((1-L227/100-X227)&gt;0,CEILING(MAX('Komisyon Tarifeleri'!K227,($D227+$F227)/(1-L227/100-X227)),1)&lt;='Komisyon Tarifeleri'!J227),CEILING(MAX('Komisyon Tarifeleri'!K227,($D227+$F227)/(1-L227/100-X227)),1),IF((1-H227/100-X227)&gt;0,CEILING(MAX('Komisyon Tarifeleri'!I227,($D227+$F227)/(1-H227/100-X227)),1),"İMKÂNSIZ")))))</f>
        <v/>
      </c>
      <c r="AF227" s="16">
        <f>IF($D227="","",IF(AND(Y227&lt;&gt;"",AC227&lt;&gt;"",AC227&gt;=W227),Z227,IF(Y227&lt;&gt;"",AD227,AE227)))</f>
        <v/>
      </c>
      <c r="AG227" s="16">
        <f>IF(OR(AF227="",AF227="İMKÂNSIZ"),"",AF227*(1-IF(AF227&gt;='Komisyon Tarifeleri'!I227,IF($AM$1=2,'Komisyon Tarifeleri'!U227,'Komisyon Tarifeleri'!P227),IF(AF227&gt;='Komisyon Tarifeleri'!K227,IF($AM$1=2,'Komisyon Tarifeleri'!V227,'Komisyon Tarifeleri'!Q227),IF(AF227&gt;='Komisyon Tarifeleri'!M227,IF($AM$1=2,'Komisyon Tarifeleri'!W227,'Komisyon Tarifeleri'!R227),IF($AM$1=2,'Komisyon Tarifeleri'!X227,'Komisyon Tarifeleri'!S227))))/100)-$D227-IF(AF227&lt;=199.99,Kargo!$E$2,IF(AF227&lt;=399.99,Kargo!$E$3,$F227)))</f>
        <v/>
      </c>
      <c r="AH227" s="17">
        <f>IF(AG227="","",AG227/AF227)</f>
        <v/>
      </c>
      <c r="AI227" s="18">
        <f>IF($D227="","",IF(Y227="","BUYBOX YOK → hedef kârla min fiyat",IF(AC227&gt;=W227,"✓ BUYBOX ALTINA GİR","BUYBOX ALTI KÂRSIZ → min kârlı fiyat")))</f>
        <v/>
      </c>
      <c r="AJ227" s="10">
        <f>IF($B227="","",IFERROR(VLOOKUP($B227,Maliyetler!$A:$G,6,FALSE),""))</f>
        <v/>
      </c>
      <c r="AK227">
        <f>IF($B227="","",IFERROR(VLOOKUP($B227,Maliyetler!$A:$G,7,FALSE),""))</f>
        <v/>
      </c>
      <c r="AO227" s="21">
        <f>IF($B227="","",IFERROR(VLOOKUP($B227&amp;"",'Plus Tarifeleri'!$C:$Q,11,FALSE),""))</f>
        <v/>
      </c>
      <c r="AP227" s="22">
        <f>IF(AO227="","",IFERROR(IF($AM$1=2,VLOOKUP($B227&amp;"",'Plus Tarifeleri'!$C:$Q,15,FALSE),VLOOKUP($B227&amp;"",'Plus Tarifeleri'!$C:$Q,13,FALSE)),""))</f>
        <v/>
      </c>
      <c r="AQ227" s="21">
        <f>IF(OR(AO227="",AP227="",$D227=""),"",AO227*(1-AP227/100)-$D227-IF(AO227&lt;=199.99,Kargo!$E$2,IF(AO227&lt;=399.99,Kargo!$E$3,$F227)))</f>
        <v/>
      </c>
      <c r="AR227" s="23">
        <f>IF(AQ227="","",AQ227/AO227)</f>
        <v/>
      </c>
      <c r="AS227" s="24">
        <f>IF(OR(AQ227="",AG227=""),"",AQ227-AG227)</f>
        <v/>
      </c>
    </row>
    <row r="228">
      <c r="A228">
        <f>IF('Komisyon Tarifeleri'!A228="","",'Komisyon Tarifeleri'!A228)</f>
        <v/>
      </c>
      <c r="B228">
        <f>IF('Komisyon Tarifeleri'!B228="","",'Komisyon Tarifeleri'!B228&amp;"")</f>
        <v/>
      </c>
      <c r="C228">
        <f>IF($B228="","",'Komisyon Tarifeleri'!F228)</f>
        <v/>
      </c>
      <c r="D228" s="10">
        <f>IF($B228="","",IFERROR(VLOOKUP($B228,Maliyetler!$A:$E,3,FALSE),""))</f>
        <v/>
      </c>
      <c r="E228">
        <f>IF($B228="","",IFERROR(VLOOKUP($B228,Maliyetler!$A:$E,4,FALSE),1))</f>
        <v/>
      </c>
      <c r="F228" s="10">
        <f>IF($B228="","",IFERROR(VLOOKUP(MIN(20,MAX(1,ROUND($E228,0))),Kargo!$A:$B,2,FALSE),99.46))</f>
        <v/>
      </c>
      <c r="G228" s="10">
        <f>IF($B228="","",IF(IF(N('Komisyon Tarifeleri'!AA228)&gt;='Komisyon Tarifeleri'!I228,'Komisyon Tarifeleri'!AA228,'Komisyon Tarifeleri'!I228)="","",IF(N('Komisyon Tarifeleri'!AA228)&gt;='Komisyon Tarifeleri'!I228,'Komisyon Tarifeleri'!AA228,'Komisyon Tarifeleri'!I228)))</f>
        <v/>
      </c>
      <c r="H228" s="11">
        <f>IF(G228="","",IF($AM$1=2,'Komisyon Tarifeleri'!U228,'Komisyon Tarifeleri'!P228))</f>
        <v/>
      </c>
      <c r="I228" s="10">
        <f>IF(OR(G228="",$D228=""),"",G228*(1-H228/100)-$D228-IF(G228&lt;=199.99,Kargo!$E$2,IF(G228&lt;=399.99,Kargo!$E$3,$F228)))</f>
        <v/>
      </c>
      <c r="J228" s="12">
        <f>IF(I228="","",I228/G228)</f>
        <v/>
      </c>
      <c r="K228" s="10">
        <f>IF($B228="","",IF('Komisyon Tarifeleri'!J228="","",'Komisyon Tarifeleri'!J228))</f>
        <v/>
      </c>
      <c r="L228" s="11">
        <f>IF(K228="","",IF($AM$1=2,'Komisyon Tarifeleri'!V228,'Komisyon Tarifeleri'!Q228))</f>
        <v/>
      </c>
      <c r="M228" s="10">
        <f>IF(OR(K228="",$D228=""),"",K228*(1-L228/100)-$D228-IF(K228&lt;=199.99,Kargo!$E$2,IF(K228&lt;=399.99,Kargo!$E$3,$F228)))</f>
        <v/>
      </c>
      <c r="N228" s="12">
        <f>IF(M228="","",M228/K228)</f>
        <v/>
      </c>
      <c r="O228" s="10">
        <f>IF($B228="","",IF('Komisyon Tarifeleri'!L228="","",'Komisyon Tarifeleri'!L228))</f>
        <v/>
      </c>
      <c r="P228" s="11">
        <f>IF(O228="","",IF($AM$1=2,'Komisyon Tarifeleri'!W228,'Komisyon Tarifeleri'!R228))</f>
        <v/>
      </c>
      <c r="Q228" s="10">
        <f>IF(OR(O228="",$D228=""),"",O228*(1-P228/100)-$D228-IF(O228&lt;=199.99,Kargo!$E$2,IF(O228&lt;=399.99,Kargo!$E$3,$F228)))</f>
        <v/>
      </c>
      <c r="R228" s="12">
        <f>IF(Q228="","",Q228/O228)</f>
        <v/>
      </c>
      <c r="S228" s="10">
        <f>IF($B228="","",IF('Komisyon Tarifeleri'!N228="","",'Komisyon Tarifeleri'!N228))</f>
        <v/>
      </c>
      <c r="T228" s="11">
        <f>IF(S228="","",IF($AM$1=2,'Komisyon Tarifeleri'!X228,'Komisyon Tarifeleri'!S228))</f>
        <v/>
      </c>
      <c r="U228" s="10">
        <f>IF(OR(S228="",$D228=""),"",S228*(1-T228/100)-$D228-IF(S228&lt;=199.99,Kargo!$E$2,IF(S228&lt;=399.99,Kargo!$E$3,$F228)))</f>
        <v/>
      </c>
      <c r="V228" s="12">
        <f>IF(U228="","",U228/S228)</f>
        <v/>
      </c>
      <c r="W228" s="12">
        <f>IF($B228="","",IFERROR(VLOOKUP($C228,Hedefler!$A:$C,2,FALSE),0.04))</f>
        <v/>
      </c>
      <c r="X228" s="12">
        <f>IF($B228="","",IFERROR(VLOOKUP($C228,Hedefler!$A:$C,3,FALSE),0.1))</f>
        <v/>
      </c>
      <c r="Y228" s="13">
        <f>IF($B228="","",IFERROR(VLOOKUP($B228,Maliyetler!$A:$E,5,FALSE),""))</f>
        <v/>
      </c>
      <c r="Z228" s="13">
        <f>IF(OR(Y228="",Y228=0),"",Y228-1)</f>
        <v/>
      </c>
      <c r="AA228" s="14">
        <f>IF(Z228="","",IF(Z228&gt;='Komisyon Tarifeleri'!I228,IF($AM$1=2,'Komisyon Tarifeleri'!U228,'Komisyon Tarifeleri'!P228),IF(Z228&gt;='Komisyon Tarifeleri'!K228,IF($AM$1=2,'Komisyon Tarifeleri'!V228,'Komisyon Tarifeleri'!Q228),IF(Z228&gt;='Komisyon Tarifeleri'!M228,IF($AM$1=2,'Komisyon Tarifeleri'!W228,'Komisyon Tarifeleri'!R228),IF($AM$1=2,'Komisyon Tarifeleri'!X228,'Komisyon Tarifeleri'!S228)))))</f>
        <v/>
      </c>
      <c r="AB228" s="13">
        <f>IF(OR(AA228="",$D228=""),"",Z228*(1-AA228/100)-$D228-IF(Z228&lt;=199.99,Kargo!$E$2,IF(Z228&lt;=399.99,Kargo!$E$3,$F228)))</f>
        <v/>
      </c>
      <c r="AC228" s="15">
        <f>IF(AB228="","",AB228/Z228)</f>
        <v/>
      </c>
      <c r="AD228" s="10">
        <f>IF(OR($D228="",$B228=""),"",IF(AND((1-T228/100-W228)&gt;0,CEILING(($D228+$F228)/(1-T228/100-W228),1)&lt;='Komisyon Tarifeleri'!N228),CEILING(($D228+$F228)/(1-T228/100-W228),1),IF(AND((1-P228/100-W228)&gt;0,CEILING(MAX('Komisyon Tarifeleri'!M228,($D228+$F228)/(1-P228/100-W228)),1)&lt;='Komisyon Tarifeleri'!L228),CEILING(MAX('Komisyon Tarifeleri'!M228,($D228+$F228)/(1-P228/100-W228)),1),IF(AND((1-L228/100-W228)&gt;0,CEILING(MAX('Komisyon Tarifeleri'!K228,($D228+$F228)/(1-L228/100-W228)),1)&lt;='Komisyon Tarifeleri'!J228),CEILING(MAX('Komisyon Tarifeleri'!K228,($D228+$F228)/(1-L228/100-W228)),1),IF((1-H228/100-W228)&gt;0,CEILING(MAX('Komisyon Tarifeleri'!I228,($D228+$F228)/(1-H228/100-W228)),1),"İMKÂNSIZ")))))</f>
        <v/>
      </c>
      <c r="AE228" s="10">
        <f>IF(OR($D228="",$B228=""),"",IF(AND((1-T228/100-X228)&gt;0,CEILING(($D228+$F228)/(1-T228/100-X228),1)&lt;='Komisyon Tarifeleri'!N228),CEILING(($D228+$F228)/(1-T228/100-X228),1),IF(AND((1-P228/100-X228)&gt;0,CEILING(MAX('Komisyon Tarifeleri'!M228,($D228+$F228)/(1-P228/100-X228)),1)&lt;='Komisyon Tarifeleri'!L228),CEILING(MAX('Komisyon Tarifeleri'!M228,($D228+$F228)/(1-P228/100-X228)),1),IF(AND((1-L228/100-X228)&gt;0,CEILING(MAX('Komisyon Tarifeleri'!K228,($D228+$F228)/(1-L228/100-X228)),1)&lt;='Komisyon Tarifeleri'!J228),CEILING(MAX('Komisyon Tarifeleri'!K228,($D228+$F228)/(1-L228/100-X228)),1),IF((1-H228/100-X228)&gt;0,CEILING(MAX('Komisyon Tarifeleri'!I228,($D228+$F228)/(1-H228/100-X228)),1),"İMKÂNSIZ")))))</f>
        <v/>
      </c>
      <c r="AF228" s="16">
        <f>IF($D228="","",IF(AND(Y228&lt;&gt;"",AC228&lt;&gt;"",AC228&gt;=W228),Z228,IF(Y228&lt;&gt;"",AD228,AE228)))</f>
        <v/>
      </c>
      <c r="AG228" s="16">
        <f>IF(OR(AF228="",AF228="İMKÂNSIZ"),"",AF228*(1-IF(AF228&gt;='Komisyon Tarifeleri'!I228,IF($AM$1=2,'Komisyon Tarifeleri'!U228,'Komisyon Tarifeleri'!P228),IF(AF228&gt;='Komisyon Tarifeleri'!K228,IF($AM$1=2,'Komisyon Tarifeleri'!V228,'Komisyon Tarifeleri'!Q228),IF(AF228&gt;='Komisyon Tarifeleri'!M228,IF($AM$1=2,'Komisyon Tarifeleri'!W228,'Komisyon Tarifeleri'!R228),IF($AM$1=2,'Komisyon Tarifeleri'!X228,'Komisyon Tarifeleri'!S228))))/100)-$D228-IF(AF228&lt;=199.99,Kargo!$E$2,IF(AF228&lt;=399.99,Kargo!$E$3,$F228)))</f>
        <v/>
      </c>
      <c r="AH228" s="17">
        <f>IF(AG228="","",AG228/AF228)</f>
        <v/>
      </c>
      <c r="AI228" s="18">
        <f>IF($D228="","",IF(Y228="","BUYBOX YOK → hedef kârla min fiyat",IF(AC228&gt;=W228,"✓ BUYBOX ALTINA GİR","BUYBOX ALTI KÂRSIZ → min kârlı fiyat")))</f>
        <v/>
      </c>
      <c r="AJ228" s="10">
        <f>IF($B228="","",IFERROR(VLOOKUP($B228,Maliyetler!$A:$G,6,FALSE),""))</f>
        <v/>
      </c>
      <c r="AK228">
        <f>IF($B228="","",IFERROR(VLOOKUP($B228,Maliyetler!$A:$G,7,FALSE),""))</f>
        <v/>
      </c>
      <c r="AO228" s="21">
        <f>IF($B228="","",IFERROR(VLOOKUP($B228&amp;"",'Plus Tarifeleri'!$C:$Q,11,FALSE),""))</f>
        <v/>
      </c>
      <c r="AP228" s="22">
        <f>IF(AO228="","",IFERROR(IF($AM$1=2,VLOOKUP($B228&amp;"",'Plus Tarifeleri'!$C:$Q,15,FALSE),VLOOKUP($B228&amp;"",'Plus Tarifeleri'!$C:$Q,13,FALSE)),""))</f>
        <v/>
      </c>
      <c r="AQ228" s="21">
        <f>IF(OR(AO228="",AP228="",$D228=""),"",AO228*(1-AP228/100)-$D228-IF(AO228&lt;=199.99,Kargo!$E$2,IF(AO228&lt;=399.99,Kargo!$E$3,$F228)))</f>
        <v/>
      </c>
      <c r="AR228" s="23">
        <f>IF(AQ228="","",AQ228/AO228)</f>
        <v/>
      </c>
      <c r="AS228" s="24">
        <f>IF(OR(AQ228="",AG228=""),"",AQ228-AG228)</f>
        <v/>
      </c>
    </row>
    <row r="229">
      <c r="A229">
        <f>IF('Komisyon Tarifeleri'!A229="","",'Komisyon Tarifeleri'!A229)</f>
        <v/>
      </c>
      <c r="B229">
        <f>IF('Komisyon Tarifeleri'!B229="","",'Komisyon Tarifeleri'!B229&amp;"")</f>
        <v/>
      </c>
      <c r="C229">
        <f>IF($B229="","",'Komisyon Tarifeleri'!F229)</f>
        <v/>
      </c>
      <c r="D229" s="10">
        <f>IF($B229="","",IFERROR(VLOOKUP($B229,Maliyetler!$A:$E,3,FALSE),""))</f>
        <v/>
      </c>
      <c r="E229">
        <f>IF($B229="","",IFERROR(VLOOKUP($B229,Maliyetler!$A:$E,4,FALSE),1))</f>
        <v/>
      </c>
      <c r="F229" s="10">
        <f>IF($B229="","",IFERROR(VLOOKUP(MIN(20,MAX(1,ROUND($E229,0))),Kargo!$A:$B,2,FALSE),99.46))</f>
        <v/>
      </c>
      <c r="G229" s="10">
        <f>IF($B229="","",IF(IF(N('Komisyon Tarifeleri'!AA229)&gt;='Komisyon Tarifeleri'!I229,'Komisyon Tarifeleri'!AA229,'Komisyon Tarifeleri'!I229)="","",IF(N('Komisyon Tarifeleri'!AA229)&gt;='Komisyon Tarifeleri'!I229,'Komisyon Tarifeleri'!AA229,'Komisyon Tarifeleri'!I229)))</f>
        <v/>
      </c>
      <c r="H229" s="11">
        <f>IF(G229="","",IF($AM$1=2,'Komisyon Tarifeleri'!U229,'Komisyon Tarifeleri'!P229))</f>
        <v/>
      </c>
      <c r="I229" s="10">
        <f>IF(OR(G229="",$D229=""),"",G229*(1-H229/100)-$D229-IF(G229&lt;=199.99,Kargo!$E$2,IF(G229&lt;=399.99,Kargo!$E$3,$F229)))</f>
        <v/>
      </c>
      <c r="J229" s="12">
        <f>IF(I229="","",I229/G229)</f>
        <v/>
      </c>
      <c r="K229" s="10">
        <f>IF($B229="","",IF('Komisyon Tarifeleri'!J229="","",'Komisyon Tarifeleri'!J229))</f>
        <v/>
      </c>
      <c r="L229" s="11">
        <f>IF(K229="","",IF($AM$1=2,'Komisyon Tarifeleri'!V229,'Komisyon Tarifeleri'!Q229))</f>
        <v/>
      </c>
      <c r="M229" s="10">
        <f>IF(OR(K229="",$D229=""),"",K229*(1-L229/100)-$D229-IF(K229&lt;=199.99,Kargo!$E$2,IF(K229&lt;=399.99,Kargo!$E$3,$F229)))</f>
        <v/>
      </c>
      <c r="N229" s="12">
        <f>IF(M229="","",M229/K229)</f>
        <v/>
      </c>
      <c r="O229" s="10">
        <f>IF($B229="","",IF('Komisyon Tarifeleri'!L229="","",'Komisyon Tarifeleri'!L229))</f>
        <v/>
      </c>
      <c r="P229" s="11">
        <f>IF(O229="","",IF($AM$1=2,'Komisyon Tarifeleri'!W229,'Komisyon Tarifeleri'!R229))</f>
        <v/>
      </c>
      <c r="Q229" s="10">
        <f>IF(OR(O229="",$D229=""),"",O229*(1-P229/100)-$D229-IF(O229&lt;=199.99,Kargo!$E$2,IF(O229&lt;=399.99,Kargo!$E$3,$F229)))</f>
        <v/>
      </c>
      <c r="R229" s="12">
        <f>IF(Q229="","",Q229/O229)</f>
        <v/>
      </c>
      <c r="S229" s="10">
        <f>IF($B229="","",IF('Komisyon Tarifeleri'!N229="","",'Komisyon Tarifeleri'!N229))</f>
        <v/>
      </c>
      <c r="T229" s="11">
        <f>IF(S229="","",IF($AM$1=2,'Komisyon Tarifeleri'!X229,'Komisyon Tarifeleri'!S229))</f>
        <v/>
      </c>
      <c r="U229" s="10">
        <f>IF(OR(S229="",$D229=""),"",S229*(1-T229/100)-$D229-IF(S229&lt;=199.99,Kargo!$E$2,IF(S229&lt;=399.99,Kargo!$E$3,$F229)))</f>
        <v/>
      </c>
      <c r="V229" s="12">
        <f>IF(U229="","",U229/S229)</f>
        <v/>
      </c>
      <c r="W229" s="12">
        <f>IF($B229="","",IFERROR(VLOOKUP($C229,Hedefler!$A:$C,2,FALSE),0.04))</f>
        <v/>
      </c>
      <c r="X229" s="12">
        <f>IF($B229="","",IFERROR(VLOOKUP($C229,Hedefler!$A:$C,3,FALSE),0.1))</f>
        <v/>
      </c>
      <c r="Y229" s="13">
        <f>IF($B229="","",IFERROR(VLOOKUP($B229,Maliyetler!$A:$E,5,FALSE),""))</f>
        <v/>
      </c>
      <c r="Z229" s="13">
        <f>IF(OR(Y229="",Y229=0),"",Y229-1)</f>
        <v/>
      </c>
      <c r="AA229" s="14">
        <f>IF(Z229="","",IF(Z229&gt;='Komisyon Tarifeleri'!I229,IF($AM$1=2,'Komisyon Tarifeleri'!U229,'Komisyon Tarifeleri'!P229),IF(Z229&gt;='Komisyon Tarifeleri'!K229,IF($AM$1=2,'Komisyon Tarifeleri'!V229,'Komisyon Tarifeleri'!Q229),IF(Z229&gt;='Komisyon Tarifeleri'!M229,IF($AM$1=2,'Komisyon Tarifeleri'!W229,'Komisyon Tarifeleri'!R229),IF($AM$1=2,'Komisyon Tarifeleri'!X229,'Komisyon Tarifeleri'!S229)))))</f>
        <v/>
      </c>
      <c r="AB229" s="13">
        <f>IF(OR(AA229="",$D229=""),"",Z229*(1-AA229/100)-$D229-IF(Z229&lt;=199.99,Kargo!$E$2,IF(Z229&lt;=399.99,Kargo!$E$3,$F229)))</f>
        <v/>
      </c>
      <c r="AC229" s="15">
        <f>IF(AB229="","",AB229/Z229)</f>
        <v/>
      </c>
      <c r="AD229" s="10">
        <f>IF(OR($D229="",$B229=""),"",IF(AND((1-T229/100-W229)&gt;0,CEILING(($D229+$F229)/(1-T229/100-W229),1)&lt;='Komisyon Tarifeleri'!N229),CEILING(($D229+$F229)/(1-T229/100-W229),1),IF(AND((1-P229/100-W229)&gt;0,CEILING(MAX('Komisyon Tarifeleri'!M229,($D229+$F229)/(1-P229/100-W229)),1)&lt;='Komisyon Tarifeleri'!L229),CEILING(MAX('Komisyon Tarifeleri'!M229,($D229+$F229)/(1-P229/100-W229)),1),IF(AND((1-L229/100-W229)&gt;0,CEILING(MAX('Komisyon Tarifeleri'!K229,($D229+$F229)/(1-L229/100-W229)),1)&lt;='Komisyon Tarifeleri'!J229),CEILING(MAX('Komisyon Tarifeleri'!K229,($D229+$F229)/(1-L229/100-W229)),1),IF((1-H229/100-W229)&gt;0,CEILING(MAX('Komisyon Tarifeleri'!I229,($D229+$F229)/(1-H229/100-W229)),1),"İMKÂNSIZ")))))</f>
        <v/>
      </c>
      <c r="AE229" s="10">
        <f>IF(OR($D229="",$B229=""),"",IF(AND((1-T229/100-X229)&gt;0,CEILING(($D229+$F229)/(1-T229/100-X229),1)&lt;='Komisyon Tarifeleri'!N229),CEILING(($D229+$F229)/(1-T229/100-X229),1),IF(AND((1-P229/100-X229)&gt;0,CEILING(MAX('Komisyon Tarifeleri'!M229,($D229+$F229)/(1-P229/100-X229)),1)&lt;='Komisyon Tarifeleri'!L229),CEILING(MAX('Komisyon Tarifeleri'!M229,($D229+$F229)/(1-P229/100-X229)),1),IF(AND((1-L229/100-X229)&gt;0,CEILING(MAX('Komisyon Tarifeleri'!K229,($D229+$F229)/(1-L229/100-X229)),1)&lt;='Komisyon Tarifeleri'!J229),CEILING(MAX('Komisyon Tarifeleri'!K229,($D229+$F229)/(1-L229/100-X229)),1),IF((1-H229/100-X229)&gt;0,CEILING(MAX('Komisyon Tarifeleri'!I229,($D229+$F229)/(1-H229/100-X229)),1),"İMKÂNSIZ")))))</f>
        <v/>
      </c>
      <c r="AF229" s="16">
        <f>IF($D229="","",IF(AND(Y229&lt;&gt;"",AC229&lt;&gt;"",AC229&gt;=W229),Z229,IF(Y229&lt;&gt;"",AD229,AE229)))</f>
        <v/>
      </c>
      <c r="AG229" s="16">
        <f>IF(OR(AF229="",AF229="İMKÂNSIZ"),"",AF229*(1-IF(AF229&gt;='Komisyon Tarifeleri'!I229,IF($AM$1=2,'Komisyon Tarifeleri'!U229,'Komisyon Tarifeleri'!P229),IF(AF229&gt;='Komisyon Tarifeleri'!K229,IF($AM$1=2,'Komisyon Tarifeleri'!V229,'Komisyon Tarifeleri'!Q229),IF(AF229&gt;='Komisyon Tarifeleri'!M229,IF($AM$1=2,'Komisyon Tarifeleri'!W229,'Komisyon Tarifeleri'!R229),IF($AM$1=2,'Komisyon Tarifeleri'!X229,'Komisyon Tarifeleri'!S229))))/100)-$D229-IF(AF229&lt;=199.99,Kargo!$E$2,IF(AF229&lt;=399.99,Kargo!$E$3,$F229)))</f>
        <v/>
      </c>
      <c r="AH229" s="17">
        <f>IF(AG229="","",AG229/AF229)</f>
        <v/>
      </c>
      <c r="AI229" s="18">
        <f>IF($D229="","",IF(Y229="","BUYBOX YOK → hedef kârla min fiyat",IF(AC229&gt;=W229,"✓ BUYBOX ALTINA GİR","BUYBOX ALTI KÂRSIZ → min kârlı fiyat")))</f>
        <v/>
      </c>
      <c r="AJ229" s="10">
        <f>IF($B229="","",IFERROR(VLOOKUP($B229,Maliyetler!$A:$G,6,FALSE),""))</f>
        <v/>
      </c>
      <c r="AK229">
        <f>IF($B229="","",IFERROR(VLOOKUP($B229,Maliyetler!$A:$G,7,FALSE),""))</f>
        <v/>
      </c>
      <c r="AO229" s="21">
        <f>IF($B229="","",IFERROR(VLOOKUP($B229&amp;"",'Plus Tarifeleri'!$C:$Q,11,FALSE),""))</f>
        <v/>
      </c>
      <c r="AP229" s="22">
        <f>IF(AO229="","",IFERROR(IF($AM$1=2,VLOOKUP($B229&amp;"",'Plus Tarifeleri'!$C:$Q,15,FALSE),VLOOKUP($B229&amp;"",'Plus Tarifeleri'!$C:$Q,13,FALSE)),""))</f>
        <v/>
      </c>
      <c r="AQ229" s="21">
        <f>IF(OR(AO229="",AP229="",$D229=""),"",AO229*(1-AP229/100)-$D229-IF(AO229&lt;=199.99,Kargo!$E$2,IF(AO229&lt;=399.99,Kargo!$E$3,$F229)))</f>
        <v/>
      </c>
      <c r="AR229" s="23">
        <f>IF(AQ229="","",AQ229/AO229)</f>
        <v/>
      </c>
      <c r="AS229" s="24">
        <f>IF(OR(AQ229="",AG229=""),"",AQ229-AG229)</f>
        <v/>
      </c>
    </row>
    <row r="230">
      <c r="A230">
        <f>IF('Komisyon Tarifeleri'!A230="","",'Komisyon Tarifeleri'!A230)</f>
        <v/>
      </c>
      <c r="B230">
        <f>IF('Komisyon Tarifeleri'!B230="","",'Komisyon Tarifeleri'!B230&amp;"")</f>
        <v/>
      </c>
      <c r="C230">
        <f>IF($B230="","",'Komisyon Tarifeleri'!F230)</f>
        <v/>
      </c>
      <c r="D230" s="10">
        <f>IF($B230="","",IFERROR(VLOOKUP($B230,Maliyetler!$A:$E,3,FALSE),""))</f>
        <v/>
      </c>
      <c r="E230">
        <f>IF($B230="","",IFERROR(VLOOKUP($B230,Maliyetler!$A:$E,4,FALSE),1))</f>
        <v/>
      </c>
      <c r="F230" s="10">
        <f>IF($B230="","",IFERROR(VLOOKUP(MIN(20,MAX(1,ROUND($E230,0))),Kargo!$A:$B,2,FALSE),99.46))</f>
        <v/>
      </c>
      <c r="G230" s="10">
        <f>IF($B230="","",IF(IF(N('Komisyon Tarifeleri'!AA230)&gt;='Komisyon Tarifeleri'!I230,'Komisyon Tarifeleri'!AA230,'Komisyon Tarifeleri'!I230)="","",IF(N('Komisyon Tarifeleri'!AA230)&gt;='Komisyon Tarifeleri'!I230,'Komisyon Tarifeleri'!AA230,'Komisyon Tarifeleri'!I230)))</f>
        <v/>
      </c>
      <c r="H230" s="11">
        <f>IF(G230="","",IF($AM$1=2,'Komisyon Tarifeleri'!U230,'Komisyon Tarifeleri'!P230))</f>
        <v/>
      </c>
      <c r="I230" s="10">
        <f>IF(OR(G230="",$D230=""),"",G230*(1-H230/100)-$D230-IF(G230&lt;=199.99,Kargo!$E$2,IF(G230&lt;=399.99,Kargo!$E$3,$F230)))</f>
        <v/>
      </c>
      <c r="J230" s="12">
        <f>IF(I230="","",I230/G230)</f>
        <v/>
      </c>
      <c r="K230" s="10">
        <f>IF($B230="","",IF('Komisyon Tarifeleri'!J230="","",'Komisyon Tarifeleri'!J230))</f>
        <v/>
      </c>
      <c r="L230" s="11">
        <f>IF(K230="","",IF($AM$1=2,'Komisyon Tarifeleri'!V230,'Komisyon Tarifeleri'!Q230))</f>
        <v/>
      </c>
      <c r="M230" s="10">
        <f>IF(OR(K230="",$D230=""),"",K230*(1-L230/100)-$D230-IF(K230&lt;=199.99,Kargo!$E$2,IF(K230&lt;=399.99,Kargo!$E$3,$F230)))</f>
        <v/>
      </c>
      <c r="N230" s="12">
        <f>IF(M230="","",M230/K230)</f>
        <v/>
      </c>
      <c r="O230" s="10">
        <f>IF($B230="","",IF('Komisyon Tarifeleri'!L230="","",'Komisyon Tarifeleri'!L230))</f>
        <v/>
      </c>
      <c r="P230" s="11">
        <f>IF(O230="","",IF($AM$1=2,'Komisyon Tarifeleri'!W230,'Komisyon Tarifeleri'!R230))</f>
        <v/>
      </c>
      <c r="Q230" s="10">
        <f>IF(OR(O230="",$D230=""),"",O230*(1-P230/100)-$D230-IF(O230&lt;=199.99,Kargo!$E$2,IF(O230&lt;=399.99,Kargo!$E$3,$F230)))</f>
        <v/>
      </c>
      <c r="R230" s="12">
        <f>IF(Q230="","",Q230/O230)</f>
        <v/>
      </c>
      <c r="S230" s="10">
        <f>IF($B230="","",IF('Komisyon Tarifeleri'!N230="","",'Komisyon Tarifeleri'!N230))</f>
        <v/>
      </c>
      <c r="T230" s="11">
        <f>IF(S230="","",IF($AM$1=2,'Komisyon Tarifeleri'!X230,'Komisyon Tarifeleri'!S230))</f>
        <v/>
      </c>
      <c r="U230" s="10">
        <f>IF(OR(S230="",$D230=""),"",S230*(1-T230/100)-$D230-IF(S230&lt;=199.99,Kargo!$E$2,IF(S230&lt;=399.99,Kargo!$E$3,$F230)))</f>
        <v/>
      </c>
      <c r="V230" s="12">
        <f>IF(U230="","",U230/S230)</f>
        <v/>
      </c>
      <c r="W230" s="12">
        <f>IF($B230="","",IFERROR(VLOOKUP($C230,Hedefler!$A:$C,2,FALSE),0.04))</f>
        <v/>
      </c>
      <c r="X230" s="12">
        <f>IF($B230="","",IFERROR(VLOOKUP($C230,Hedefler!$A:$C,3,FALSE),0.1))</f>
        <v/>
      </c>
      <c r="Y230" s="13">
        <f>IF($B230="","",IFERROR(VLOOKUP($B230,Maliyetler!$A:$E,5,FALSE),""))</f>
        <v/>
      </c>
      <c r="Z230" s="13">
        <f>IF(OR(Y230="",Y230=0),"",Y230-1)</f>
        <v/>
      </c>
      <c r="AA230" s="14">
        <f>IF(Z230="","",IF(Z230&gt;='Komisyon Tarifeleri'!I230,IF($AM$1=2,'Komisyon Tarifeleri'!U230,'Komisyon Tarifeleri'!P230),IF(Z230&gt;='Komisyon Tarifeleri'!K230,IF($AM$1=2,'Komisyon Tarifeleri'!V230,'Komisyon Tarifeleri'!Q230),IF(Z230&gt;='Komisyon Tarifeleri'!M230,IF($AM$1=2,'Komisyon Tarifeleri'!W230,'Komisyon Tarifeleri'!R230),IF($AM$1=2,'Komisyon Tarifeleri'!X230,'Komisyon Tarifeleri'!S230)))))</f>
        <v/>
      </c>
      <c r="AB230" s="13">
        <f>IF(OR(AA230="",$D230=""),"",Z230*(1-AA230/100)-$D230-IF(Z230&lt;=199.99,Kargo!$E$2,IF(Z230&lt;=399.99,Kargo!$E$3,$F230)))</f>
        <v/>
      </c>
      <c r="AC230" s="15">
        <f>IF(AB230="","",AB230/Z230)</f>
        <v/>
      </c>
      <c r="AD230" s="10">
        <f>IF(OR($D230="",$B230=""),"",IF(AND((1-T230/100-W230)&gt;0,CEILING(($D230+$F230)/(1-T230/100-W230),1)&lt;='Komisyon Tarifeleri'!N230),CEILING(($D230+$F230)/(1-T230/100-W230),1),IF(AND((1-P230/100-W230)&gt;0,CEILING(MAX('Komisyon Tarifeleri'!M230,($D230+$F230)/(1-P230/100-W230)),1)&lt;='Komisyon Tarifeleri'!L230),CEILING(MAX('Komisyon Tarifeleri'!M230,($D230+$F230)/(1-P230/100-W230)),1),IF(AND((1-L230/100-W230)&gt;0,CEILING(MAX('Komisyon Tarifeleri'!K230,($D230+$F230)/(1-L230/100-W230)),1)&lt;='Komisyon Tarifeleri'!J230),CEILING(MAX('Komisyon Tarifeleri'!K230,($D230+$F230)/(1-L230/100-W230)),1),IF((1-H230/100-W230)&gt;0,CEILING(MAX('Komisyon Tarifeleri'!I230,($D230+$F230)/(1-H230/100-W230)),1),"İMKÂNSIZ")))))</f>
        <v/>
      </c>
      <c r="AE230" s="10">
        <f>IF(OR($D230="",$B230=""),"",IF(AND((1-T230/100-X230)&gt;0,CEILING(($D230+$F230)/(1-T230/100-X230),1)&lt;='Komisyon Tarifeleri'!N230),CEILING(($D230+$F230)/(1-T230/100-X230),1),IF(AND((1-P230/100-X230)&gt;0,CEILING(MAX('Komisyon Tarifeleri'!M230,($D230+$F230)/(1-P230/100-X230)),1)&lt;='Komisyon Tarifeleri'!L230),CEILING(MAX('Komisyon Tarifeleri'!M230,($D230+$F230)/(1-P230/100-X230)),1),IF(AND((1-L230/100-X230)&gt;0,CEILING(MAX('Komisyon Tarifeleri'!K230,($D230+$F230)/(1-L230/100-X230)),1)&lt;='Komisyon Tarifeleri'!J230),CEILING(MAX('Komisyon Tarifeleri'!K230,($D230+$F230)/(1-L230/100-X230)),1),IF((1-H230/100-X230)&gt;0,CEILING(MAX('Komisyon Tarifeleri'!I230,($D230+$F230)/(1-H230/100-X230)),1),"İMKÂNSIZ")))))</f>
        <v/>
      </c>
      <c r="AF230" s="16">
        <f>IF($D230="","",IF(AND(Y230&lt;&gt;"",AC230&lt;&gt;"",AC230&gt;=W230),Z230,IF(Y230&lt;&gt;"",AD230,AE230)))</f>
        <v/>
      </c>
      <c r="AG230" s="16">
        <f>IF(OR(AF230="",AF230="İMKÂNSIZ"),"",AF230*(1-IF(AF230&gt;='Komisyon Tarifeleri'!I230,IF($AM$1=2,'Komisyon Tarifeleri'!U230,'Komisyon Tarifeleri'!P230),IF(AF230&gt;='Komisyon Tarifeleri'!K230,IF($AM$1=2,'Komisyon Tarifeleri'!V230,'Komisyon Tarifeleri'!Q230),IF(AF230&gt;='Komisyon Tarifeleri'!M230,IF($AM$1=2,'Komisyon Tarifeleri'!W230,'Komisyon Tarifeleri'!R230),IF($AM$1=2,'Komisyon Tarifeleri'!X230,'Komisyon Tarifeleri'!S230))))/100)-$D230-IF(AF230&lt;=199.99,Kargo!$E$2,IF(AF230&lt;=399.99,Kargo!$E$3,$F230)))</f>
        <v/>
      </c>
      <c r="AH230" s="17">
        <f>IF(AG230="","",AG230/AF230)</f>
        <v/>
      </c>
      <c r="AI230" s="18">
        <f>IF($D230="","",IF(Y230="","BUYBOX YOK → hedef kârla min fiyat",IF(AC230&gt;=W230,"✓ BUYBOX ALTINA GİR","BUYBOX ALTI KÂRSIZ → min kârlı fiyat")))</f>
        <v/>
      </c>
      <c r="AJ230" s="10">
        <f>IF($B230="","",IFERROR(VLOOKUP($B230,Maliyetler!$A:$G,6,FALSE),""))</f>
        <v/>
      </c>
      <c r="AK230">
        <f>IF($B230="","",IFERROR(VLOOKUP($B230,Maliyetler!$A:$G,7,FALSE),""))</f>
        <v/>
      </c>
      <c r="AO230" s="21">
        <f>IF($B230="","",IFERROR(VLOOKUP($B230&amp;"",'Plus Tarifeleri'!$C:$Q,11,FALSE),""))</f>
        <v/>
      </c>
      <c r="AP230" s="22">
        <f>IF(AO230="","",IFERROR(IF($AM$1=2,VLOOKUP($B230&amp;"",'Plus Tarifeleri'!$C:$Q,15,FALSE),VLOOKUP($B230&amp;"",'Plus Tarifeleri'!$C:$Q,13,FALSE)),""))</f>
        <v/>
      </c>
      <c r="AQ230" s="21">
        <f>IF(OR(AO230="",AP230="",$D230=""),"",AO230*(1-AP230/100)-$D230-IF(AO230&lt;=199.99,Kargo!$E$2,IF(AO230&lt;=399.99,Kargo!$E$3,$F230)))</f>
        <v/>
      </c>
      <c r="AR230" s="23">
        <f>IF(AQ230="","",AQ230/AO230)</f>
        <v/>
      </c>
      <c r="AS230" s="24">
        <f>IF(OR(AQ230="",AG230=""),"",AQ230-AG230)</f>
        <v/>
      </c>
    </row>
    <row r="231">
      <c r="A231">
        <f>IF('Komisyon Tarifeleri'!A231="","",'Komisyon Tarifeleri'!A231)</f>
        <v/>
      </c>
      <c r="B231">
        <f>IF('Komisyon Tarifeleri'!B231="","",'Komisyon Tarifeleri'!B231&amp;"")</f>
        <v/>
      </c>
      <c r="C231">
        <f>IF($B231="","",'Komisyon Tarifeleri'!F231)</f>
        <v/>
      </c>
      <c r="D231" s="10">
        <f>IF($B231="","",IFERROR(VLOOKUP($B231,Maliyetler!$A:$E,3,FALSE),""))</f>
        <v/>
      </c>
      <c r="E231">
        <f>IF($B231="","",IFERROR(VLOOKUP($B231,Maliyetler!$A:$E,4,FALSE),1))</f>
        <v/>
      </c>
      <c r="F231" s="10">
        <f>IF($B231="","",IFERROR(VLOOKUP(MIN(20,MAX(1,ROUND($E231,0))),Kargo!$A:$B,2,FALSE),99.46))</f>
        <v/>
      </c>
      <c r="G231" s="10">
        <f>IF($B231="","",IF(IF(N('Komisyon Tarifeleri'!AA231)&gt;='Komisyon Tarifeleri'!I231,'Komisyon Tarifeleri'!AA231,'Komisyon Tarifeleri'!I231)="","",IF(N('Komisyon Tarifeleri'!AA231)&gt;='Komisyon Tarifeleri'!I231,'Komisyon Tarifeleri'!AA231,'Komisyon Tarifeleri'!I231)))</f>
        <v/>
      </c>
      <c r="H231" s="11">
        <f>IF(G231="","",IF($AM$1=2,'Komisyon Tarifeleri'!U231,'Komisyon Tarifeleri'!P231))</f>
        <v/>
      </c>
      <c r="I231" s="10">
        <f>IF(OR(G231="",$D231=""),"",G231*(1-H231/100)-$D231-IF(G231&lt;=199.99,Kargo!$E$2,IF(G231&lt;=399.99,Kargo!$E$3,$F231)))</f>
        <v/>
      </c>
      <c r="J231" s="12">
        <f>IF(I231="","",I231/G231)</f>
        <v/>
      </c>
      <c r="K231" s="10">
        <f>IF($B231="","",IF('Komisyon Tarifeleri'!J231="","",'Komisyon Tarifeleri'!J231))</f>
        <v/>
      </c>
      <c r="L231" s="11">
        <f>IF(K231="","",IF($AM$1=2,'Komisyon Tarifeleri'!V231,'Komisyon Tarifeleri'!Q231))</f>
        <v/>
      </c>
      <c r="M231" s="10">
        <f>IF(OR(K231="",$D231=""),"",K231*(1-L231/100)-$D231-IF(K231&lt;=199.99,Kargo!$E$2,IF(K231&lt;=399.99,Kargo!$E$3,$F231)))</f>
        <v/>
      </c>
      <c r="N231" s="12">
        <f>IF(M231="","",M231/K231)</f>
        <v/>
      </c>
      <c r="O231" s="10">
        <f>IF($B231="","",IF('Komisyon Tarifeleri'!L231="","",'Komisyon Tarifeleri'!L231))</f>
        <v/>
      </c>
      <c r="P231" s="11">
        <f>IF(O231="","",IF($AM$1=2,'Komisyon Tarifeleri'!W231,'Komisyon Tarifeleri'!R231))</f>
        <v/>
      </c>
      <c r="Q231" s="10">
        <f>IF(OR(O231="",$D231=""),"",O231*(1-P231/100)-$D231-IF(O231&lt;=199.99,Kargo!$E$2,IF(O231&lt;=399.99,Kargo!$E$3,$F231)))</f>
        <v/>
      </c>
      <c r="R231" s="12">
        <f>IF(Q231="","",Q231/O231)</f>
        <v/>
      </c>
      <c r="S231" s="10">
        <f>IF($B231="","",IF('Komisyon Tarifeleri'!N231="","",'Komisyon Tarifeleri'!N231))</f>
        <v/>
      </c>
      <c r="T231" s="11">
        <f>IF(S231="","",IF($AM$1=2,'Komisyon Tarifeleri'!X231,'Komisyon Tarifeleri'!S231))</f>
        <v/>
      </c>
      <c r="U231" s="10">
        <f>IF(OR(S231="",$D231=""),"",S231*(1-T231/100)-$D231-IF(S231&lt;=199.99,Kargo!$E$2,IF(S231&lt;=399.99,Kargo!$E$3,$F231)))</f>
        <v/>
      </c>
      <c r="V231" s="12">
        <f>IF(U231="","",U231/S231)</f>
        <v/>
      </c>
      <c r="W231" s="12">
        <f>IF($B231="","",IFERROR(VLOOKUP($C231,Hedefler!$A:$C,2,FALSE),0.04))</f>
        <v/>
      </c>
      <c r="X231" s="12">
        <f>IF($B231="","",IFERROR(VLOOKUP($C231,Hedefler!$A:$C,3,FALSE),0.1))</f>
        <v/>
      </c>
      <c r="Y231" s="13">
        <f>IF($B231="","",IFERROR(VLOOKUP($B231,Maliyetler!$A:$E,5,FALSE),""))</f>
        <v/>
      </c>
      <c r="Z231" s="13">
        <f>IF(OR(Y231="",Y231=0),"",Y231-1)</f>
        <v/>
      </c>
      <c r="AA231" s="14">
        <f>IF(Z231="","",IF(Z231&gt;='Komisyon Tarifeleri'!I231,IF($AM$1=2,'Komisyon Tarifeleri'!U231,'Komisyon Tarifeleri'!P231),IF(Z231&gt;='Komisyon Tarifeleri'!K231,IF($AM$1=2,'Komisyon Tarifeleri'!V231,'Komisyon Tarifeleri'!Q231),IF(Z231&gt;='Komisyon Tarifeleri'!M231,IF($AM$1=2,'Komisyon Tarifeleri'!W231,'Komisyon Tarifeleri'!R231),IF($AM$1=2,'Komisyon Tarifeleri'!X231,'Komisyon Tarifeleri'!S231)))))</f>
        <v/>
      </c>
      <c r="AB231" s="13">
        <f>IF(OR(AA231="",$D231=""),"",Z231*(1-AA231/100)-$D231-IF(Z231&lt;=199.99,Kargo!$E$2,IF(Z231&lt;=399.99,Kargo!$E$3,$F231)))</f>
        <v/>
      </c>
      <c r="AC231" s="15">
        <f>IF(AB231="","",AB231/Z231)</f>
        <v/>
      </c>
      <c r="AD231" s="10">
        <f>IF(OR($D231="",$B231=""),"",IF(AND((1-T231/100-W231)&gt;0,CEILING(($D231+$F231)/(1-T231/100-W231),1)&lt;='Komisyon Tarifeleri'!N231),CEILING(($D231+$F231)/(1-T231/100-W231),1),IF(AND((1-P231/100-W231)&gt;0,CEILING(MAX('Komisyon Tarifeleri'!M231,($D231+$F231)/(1-P231/100-W231)),1)&lt;='Komisyon Tarifeleri'!L231),CEILING(MAX('Komisyon Tarifeleri'!M231,($D231+$F231)/(1-P231/100-W231)),1),IF(AND((1-L231/100-W231)&gt;0,CEILING(MAX('Komisyon Tarifeleri'!K231,($D231+$F231)/(1-L231/100-W231)),1)&lt;='Komisyon Tarifeleri'!J231),CEILING(MAX('Komisyon Tarifeleri'!K231,($D231+$F231)/(1-L231/100-W231)),1),IF((1-H231/100-W231)&gt;0,CEILING(MAX('Komisyon Tarifeleri'!I231,($D231+$F231)/(1-H231/100-W231)),1),"İMKÂNSIZ")))))</f>
        <v/>
      </c>
      <c r="AE231" s="10">
        <f>IF(OR($D231="",$B231=""),"",IF(AND((1-T231/100-X231)&gt;0,CEILING(($D231+$F231)/(1-T231/100-X231),1)&lt;='Komisyon Tarifeleri'!N231),CEILING(($D231+$F231)/(1-T231/100-X231),1),IF(AND((1-P231/100-X231)&gt;0,CEILING(MAX('Komisyon Tarifeleri'!M231,($D231+$F231)/(1-P231/100-X231)),1)&lt;='Komisyon Tarifeleri'!L231),CEILING(MAX('Komisyon Tarifeleri'!M231,($D231+$F231)/(1-P231/100-X231)),1),IF(AND((1-L231/100-X231)&gt;0,CEILING(MAX('Komisyon Tarifeleri'!K231,($D231+$F231)/(1-L231/100-X231)),1)&lt;='Komisyon Tarifeleri'!J231),CEILING(MAX('Komisyon Tarifeleri'!K231,($D231+$F231)/(1-L231/100-X231)),1),IF((1-H231/100-X231)&gt;0,CEILING(MAX('Komisyon Tarifeleri'!I231,($D231+$F231)/(1-H231/100-X231)),1),"İMKÂNSIZ")))))</f>
        <v/>
      </c>
      <c r="AF231" s="16">
        <f>IF($D231="","",IF(AND(Y231&lt;&gt;"",AC231&lt;&gt;"",AC231&gt;=W231),Z231,IF(Y231&lt;&gt;"",AD231,AE231)))</f>
        <v/>
      </c>
      <c r="AG231" s="16">
        <f>IF(OR(AF231="",AF231="İMKÂNSIZ"),"",AF231*(1-IF(AF231&gt;='Komisyon Tarifeleri'!I231,IF($AM$1=2,'Komisyon Tarifeleri'!U231,'Komisyon Tarifeleri'!P231),IF(AF231&gt;='Komisyon Tarifeleri'!K231,IF($AM$1=2,'Komisyon Tarifeleri'!V231,'Komisyon Tarifeleri'!Q231),IF(AF231&gt;='Komisyon Tarifeleri'!M231,IF($AM$1=2,'Komisyon Tarifeleri'!W231,'Komisyon Tarifeleri'!R231),IF($AM$1=2,'Komisyon Tarifeleri'!X231,'Komisyon Tarifeleri'!S231))))/100)-$D231-IF(AF231&lt;=199.99,Kargo!$E$2,IF(AF231&lt;=399.99,Kargo!$E$3,$F231)))</f>
        <v/>
      </c>
      <c r="AH231" s="17">
        <f>IF(AG231="","",AG231/AF231)</f>
        <v/>
      </c>
      <c r="AI231" s="18">
        <f>IF($D231="","",IF(Y231="","BUYBOX YOK → hedef kârla min fiyat",IF(AC231&gt;=W231,"✓ BUYBOX ALTINA GİR","BUYBOX ALTI KÂRSIZ → min kârlı fiyat")))</f>
        <v/>
      </c>
      <c r="AJ231" s="10">
        <f>IF($B231="","",IFERROR(VLOOKUP($B231,Maliyetler!$A:$G,6,FALSE),""))</f>
        <v/>
      </c>
      <c r="AK231">
        <f>IF($B231="","",IFERROR(VLOOKUP($B231,Maliyetler!$A:$G,7,FALSE),""))</f>
        <v/>
      </c>
      <c r="AO231" s="21">
        <f>IF($B231="","",IFERROR(VLOOKUP($B231&amp;"",'Plus Tarifeleri'!$C:$Q,11,FALSE),""))</f>
        <v/>
      </c>
      <c r="AP231" s="22">
        <f>IF(AO231="","",IFERROR(IF($AM$1=2,VLOOKUP($B231&amp;"",'Plus Tarifeleri'!$C:$Q,15,FALSE),VLOOKUP($B231&amp;"",'Plus Tarifeleri'!$C:$Q,13,FALSE)),""))</f>
        <v/>
      </c>
      <c r="AQ231" s="21">
        <f>IF(OR(AO231="",AP231="",$D231=""),"",AO231*(1-AP231/100)-$D231-IF(AO231&lt;=199.99,Kargo!$E$2,IF(AO231&lt;=399.99,Kargo!$E$3,$F231)))</f>
        <v/>
      </c>
      <c r="AR231" s="23">
        <f>IF(AQ231="","",AQ231/AO231)</f>
        <v/>
      </c>
      <c r="AS231" s="24">
        <f>IF(OR(AQ231="",AG231=""),"",AQ231-AG231)</f>
        <v/>
      </c>
    </row>
    <row r="232">
      <c r="A232">
        <f>IF('Komisyon Tarifeleri'!A232="","",'Komisyon Tarifeleri'!A232)</f>
        <v/>
      </c>
      <c r="B232">
        <f>IF('Komisyon Tarifeleri'!B232="","",'Komisyon Tarifeleri'!B232&amp;"")</f>
        <v/>
      </c>
      <c r="C232">
        <f>IF($B232="","",'Komisyon Tarifeleri'!F232)</f>
        <v/>
      </c>
      <c r="D232" s="10">
        <f>IF($B232="","",IFERROR(VLOOKUP($B232,Maliyetler!$A:$E,3,FALSE),""))</f>
        <v/>
      </c>
      <c r="E232">
        <f>IF($B232="","",IFERROR(VLOOKUP($B232,Maliyetler!$A:$E,4,FALSE),1))</f>
        <v/>
      </c>
      <c r="F232" s="10">
        <f>IF($B232="","",IFERROR(VLOOKUP(MIN(20,MAX(1,ROUND($E232,0))),Kargo!$A:$B,2,FALSE),99.46))</f>
        <v/>
      </c>
      <c r="G232" s="10">
        <f>IF($B232="","",IF(IF(N('Komisyon Tarifeleri'!AA232)&gt;='Komisyon Tarifeleri'!I232,'Komisyon Tarifeleri'!AA232,'Komisyon Tarifeleri'!I232)="","",IF(N('Komisyon Tarifeleri'!AA232)&gt;='Komisyon Tarifeleri'!I232,'Komisyon Tarifeleri'!AA232,'Komisyon Tarifeleri'!I232)))</f>
        <v/>
      </c>
      <c r="H232" s="11">
        <f>IF(G232="","",IF($AM$1=2,'Komisyon Tarifeleri'!U232,'Komisyon Tarifeleri'!P232))</f>
        <v/>
      </c>
      <c r="I232" s="10">
        <f>IF(OR(G232="",$D232=""),"",G232*(1-H232/100)-$D232-IF(G232&lt;=199.99,Kargo!$E$2,IF(G232&lt;=399.99,Kargo!$E$3,$F232)))</f>
        <v/>
      </c>
      <c r="J232" s="12">
        <f>IF(I232="","",I232/G232)</f>
        <v/>
      </c>
      <c r="K232" s="10">
        <f>IF($B232="","",IF('Komisyon Tarifeleri'!J232="","",'Komisyon Tarifeleri'!J232))</f>
        <v/>
      </c>
      <c r="L232" s="11">
        <f>IF(K232="","",IF($AM$1=2,'Komisyon Tarifeleri'!V232,'Komisyon Tarifeleri'!Q232))</f>
        <v/>
      </c>
      <c r="M232" s="10">
        <f>IF(OR(K232="",$D232=""),"",K232*(1-L232/100)-$D232-IF(K232&lt;=199.99,Kargo!$E$2,IF(K232&lt;=399.99,Kargo!$E$3,$F232)))</f>
        <v/>
      </c>
      <c r="N232" s="12">
        <f>IF(M232="","",M232/K232)</f>
        <v/>
      </c>
      <c r="O232" s="10">
        <f>IF($B232="","",IF('Komisyon Tarifeleri'!L232="","",'Komisyon Tarifeleri'!L232))</f>
        <v/>
      </c>
      <c r="P232" s="11">
        <f>IF(O232="","",IF($AM$1=2,'Komisyon Tarifeleri'!W232,'Komisyon Tarifeleri'!R232))</f>
        <v/>
      </c>
      <c r="Q232" s="10">
        <f>IF(OR(O232="",$D232=""),"",O232*(1-P232/100)-$D232-IF(O232&lt;=199.99,Kargo!$E$2,IF(O232&lt;=399.99,Kargo!$E$3,$F232)))</f>
        <v/>
      </c>
      <c r="R232" s="12">
        <f>IF(Q232="","",Q232/O232)</f>
        <v/>
      </c>
      <c r="S232" s="10">
        <f>IF($B232="","",IF('Komisyon Tarifeleri'!N232="","",'Komisyon Tarifeleri'!N232))</f>
        <v/>
      </c>
      <c r="T232" s="11">
        <f>IF(S232="","",IF($AM$1=2,'Komisyon Tarifeleri'!X232,'Komisyon Tarifeleri'!S232))</f>
        <v/>
      </c>
      <c r="U232" s="10">
        <f>IF(OR(S232="",$D232=""),"",S232*(1-T232/100)-$D232-IF(S232&lt;=199.99,Kargo!$E$2,IF(S232&lt;=399.99,Kargo!$E$3,$F232)))</f>
        <v/>
      </c>
      <c r="V232" s="12">
        <f>IF(U232="","",U232/S232)</f>
        <v/>
      </c>
      <c r="W232" s="12">
        <f>IF($B232="","",IFERROR(VLOOKUP($C232,Hedefler!$A:$C,2,FALSE),0.04))</f>
        <v/>
      </c>
      <c r="X232" s="12">
        <f>IF($B232="","",IFERROR(VLOOKUP($C232,Hedefler!$A:$C,3,FALSE),0.1))</f>
        <v/>
      </c>
      <c r="Y232" s="13">
        <f>IF($B232="","",IFERROR(VLOOKUP($B232,Maliyetler!$A:$E,5,FALSE),""))</f>
        <v/>
      </c>
      <c r="Z232" s="13">
        <f>IF(OR(Y232="",Y232=0),"",Y232-1)</f>
        <v/>
      </c>
      <c r="AA232" s="14">
        <f>IF(Z232="","",IF(Z232&gt;='Komisyon Tarifeleri'!I232,IF($AM$1=2,'Komisyon Tarifeleri'!U232,'Komisyon Tarifeleri'!P232),IF(Z232&gt;='Komisyon Tarifeleri'!K232,IF($AM$1=2,'Komisyon Tarifeleri'!V232,'Komisyon Tarifeleri'!Q232),IF(Z232&gt;='Komisyon Tarifeleri'!M232,IF($AM$1=2,'Komisyon Tarifeleri'!W232,'Komisyon Tarifeleri'!R232),IF($AM$1=2,'Komisyon Tarifeleri'!X232,'Komisyon Tarifeleri'!S232)))))</f>
        <v/>
      </c>
      <c r="AB232" s="13">
        <f>IF(OR(AA232="",$D232=""),"",Z232*(1-AA232/100)-$D232-IF(Z232&lt;=199.99,Kargo!$E$2,IF(Z232&lt;=399.99,Kargo!$E$3,$F232)))</f>
        <v/>
      </c>
      <c r="AC232" s="15">
        <f>IF(AB232="","",AB232/Z232)</f>
        <v/>
      </c>
      <c r="AD232" s="10">
        <f>IF(OR($D232="",$B232=""),"",IF(AND((1-T232/100-W232)&gt;0,CEILING(($D232+$F232)/(1-T232/100-W232),1)&lt;='Komisyon Tarifeleri'!N232),CEILING(($D232+$F232)/(1-T232/100-W232),1),IF(AND((1-P232/100-W232)&gt;0,CEILING(MAX('Komisyon Tarifeleri'!M232,($D232+$F232)/(1-P232/100-W232)),1)&lt;='Komisyon Tarifeleri'!L232),CEILING(MAX('Komisyon Tarifeleri'!M232,($D232+$F232)/(1-P232/100-W232)),1),IF(AND((1-L232/100-W232)&gt;0,CEILING(MAX('Komisyon Tarifeleri'!K232,($D232+$F232)/(1-L232/100-W232)),1)&lt;='Komisyon Tarifeleri'!J232),CEILING(MAX('Komisyon Tarifeleri'!K232,($D232+$F232)/(1-L232/100-W232)),1),IF((1-H232/100-W232)&gt;0,CEILING(MAX('Komisyon Tarifeleri'!I232,($D232+$F232)/(1-H232/100-W232)),1),"İMKÂNSIZ")))))</f>
        <v/>
      </c>
      <c r="AE232" s="10">
        <f>IF(OR($D232="",$B232=""),"",IF(AND((1-T232/100-X232)&gt;0,CEILING(($D232+$F232)/(1-T232/100-X232),1)&lt;='Komisyon Tarifeleri'!N232),CEILING(($D232+$F232)/(1-T232/100-X232),1),IF(AND((1-P232/100-X232)&gt;0,CEILING(MAX('Komisyon Tarifeleri'!M232,($D232+$F232)/(1-P232/100-X232)),1)&lt;='Komisyon Tarifeleri'!L232),CEILING(MAX('Komisyon Tarifeleri'!M232,($D232+$F232)/(1-P232/100-X232)),1),IF(AND((1-L232/100-X232)&gt;0,CEILING(MAX('Komisyon Tarifeleri'!K232,($D232+$F232)/(1-L232/100-X232)),1)&lt;='Komisyon Tarifeleri'!J232),CEILING(MAX('Komisyon Tarifeleri'!K232,($D232+$F232)/(1-L232/100-X232)),1),IF((1-H232/100-X232)&gt;0,CEILING(MAX('Komisyon Tarifeleri'!I232,($D232+$F232)/(1-H232/100-X232)),1),"İMKÂNSIZ")))))</f>
        <v/>
      </c>
      <c r="AF232" s="16">
        <f>IF($D232="","",IF(AND(Y232&lt;&gt;"",AC232&lt;&gt;"",AC232&gt;=W232),Z232,IF(Y232&lt;&gt;"",AD232,AE232)))</f>
        <v/>
      </c>
      <c r="AG232" s="16">
        <f>IF(OR(AF232="",AF232="İMKÂNSIZ"),"",AF232*(1-IF(AF232&gt;='Komisyon Tarifeleri'!I232,IF($AM$1=2,'Komisyon Tarifeleri'!U232,'Komisyon Tarifeleri'!P232),IF(AF232&gt;='Komisyon Tarifeleri'!K232,IF($AM$1=2,'Komisyon Tarifeleri'!V232,'Komisyon Tarifeleri'!Q232),IF(AF232&gt;='Komisyon Tarifeleri'!M232,IF($AM$1=2,'Komisyon Tarifeleri'!W232,'Komisyon Tarifeleri'!R232),IF($AM$1=2,'Komisyon Tarifeleri'!X232,'Komisyon Tarifeleri'!S232))))/100)-$D232-IF(AF232&lt;=199.99,Kargo!$E$2,IF(AF232&lt;=399.99,Kargo!$E$3,$F232)))</f>
        <v/>
      </c>
      <c r="AH232" s="17">
        <f>IF(AG232="","",AG232/AF232)</f>
        <v/>
      </c>
      <c r="AI232" s="18">
        <f>IF($D232="","",IF(Y232="","BUYBOX YOK → hedef kârla min fiyat",IF(AC232&gt;=W232,"✓ BUYBOX ALTINA GİR","BUYBOX ALTI KÂRSIZ → min kârlı fiyat")))</f>
        <v/>
      </c>
      <c r="AJ232" s="10">
        <f>IF($B232="","",IFERROR(VLOOKUP($B232,Maliyetler!$A:$G,6,FALSE),""))</f>
        <v/>
      </c>
      <c r="AK232">
        <f>IF($B232="","",IFERROR(VLOOKUP($B232,Maliyetler!$A:$G,7,FALSE),""))</f>
        <v/>
      </c>
      <c r="AO232" s="21">
        <f>IF($B232="","",IFERROR(VLOOKUP($B232&amp;"",'Plus Tarifeleri'!$C:$Q,11,FALSE),""))</f>
        <v/>
      </c>
      <c r="AP232" s="22">
        <f>IF(AO232="","",IFERROR(IF($AM$1=2,VLOOKUP($B232&amp;"",'Plus Tarifeleri'!$C:$Q,15,FALSE),VLOOKUP($B232&amp;"",'Plus Tarifeleri'!$C:$Q,13,FALSE)),""))</f>
        <v/>
      </c>
      <c r="AQ232" s="21">
        <f>IF(OR(AO232="",AP232="",$D232=""),"",AO232*(1-AP232/100)-$D232-IF(AO232&lt;=199.99,Kargo!$E$2,IF(AO232&lt;=399.99,Kargo!$E$3,$F232)))</f>
        <v/>
      </c>
      <c r="AR232" s="23">
        <f>IF(AQ232="","",AQ232/AO232)</f>
        <v/>
      </c>
      <c r="AS232" s="24">
        <f>IF(OR(AQ232="",AG232=""),"",AQ232-AG232)</f>
        <v/>
      </c>
    </row>
    <row r="233">
      <c r="A233">
        <f>IF('Komisyon Tarifeleri'!A233="","",'Komisyon Tarifeleri'!A233)</f>
        <v/>
      </c>
      <c r="B233">
        <f>IF('Komisyon Tarifeleri'!B233="","",'Komisyon Tarifeleri'!B233&amp;"")</f>
        <v/>
      </c>
      <c r="C233">
        <f>IF($B233="","",'Komisyon Tarifeleri'!F233)</f>
        <v/>
      </c>
      <c r="D233" s="10">
        <f>IF($B233="","",IFERROR(VLOOKUP($B233,Maliyetler!$A:$E,3,FALSE),""))</f>
        <v/>
      </c>
      <c r="E233">
        <f>IF($B233="","",IFERROR(VLOOKUP($B233,Maliyetler!$A:$E,4,FALSE),1))</f>
        <v/>
      </c>
      <c r="F233" s="10">
        <f>IF($B233="","",IFERROR(VLOOKUP(MIN(20,MAX(1,ROUND($E233,0))),Kargo!$A:$B,2,FALSE),99.46))</f>
        <v/>
      </c>
      <c r="G233" s="10">
        <f>IF($B233="","",IF(IF(N('Komisyon Tarifeleri'!AA233)&gt;='Komisyon Tarifeleri'!I233,'Komisyon Tarifeleri'!AA233,'Komisyon Tarifeleri'!I233)="","",IF(N('Komisyon Tarifeleri'!AA233)&gt;='Komisyon Tarifeleri'!I233,'Komisyon Tarifeleri'!AA233,'Komisyon Tarifeleri'!I233)))</f>
        <v/>
      </c>
      <c r="H233" s="11">
        <f>IF(G233="","",IF($AM$1=2,'Komisyon Tarifeleri'!U233,'Komisyon Tarifeleri'!P233))</f>
        <v/>
      </c>
      <c r="I233" s="10">
        <f>IF(OR(G233="",$D233=""),"",G233*(1-H233/100)-$D233-IF(G233&lt;=199.99,Kargo!$E$2,IF(G233&lt;=399.99,Kargo!$E$3,$F233)))</f>
        <v/>
      </c>
      <c r="J233" s="12">
        <f>IF(I233="","",I233/G233)</f>
        <v/>
      </c>
      <c r="K233" s="10">
        <f>IF($B233="","",IF('Komisyon Tarifeleri'!J233="","",'Komisyon Tarifeleri'!J233))</f>
        <v/>
      </c>
      <c r="L233" s="11">
        <f>IF(K233="","",IF($AM$1=2,'Komisyon Tarifeleri'!V233,'Komisyon Tarifeleri'!Q233))</f>
        <v/>
      </c>
      <c r="M233" s="10">
        <f>IF(OR(K233="",$D233=""),"",K233*(1-L233/100)-$D233-IF(K233&lt;=199.99,Kargo!$E$2,IF(K233&lt;=399.99,Kargo!$E$3,$F233)))</f>
        <v/>
      </c>
      <c r="N233" s="12">
        <f>IF(M233="","",M233/K233)</f>
        <v/>
      </c>
      <c r="O233" s="10">
        <f>IF($B233="","",IF('Komisyon Tarifeleri'!L233="","",'Komisyon Tarifeleri'!L233))</f>
        <v/>
      </c>
      <c r="P233" s="11">
        <f>IF(O233="","",IF($AM$1=2,'Komisyon Tarifeleri'!W233,'Komisyon Tarifeleri'!R233))</f>
        <v/>
      </c>
      <c r="Q233" s="10">
        <f>IF(OR(O233="",$D233=""),"",O233*(1-P233/100)-$D233-IF(O233&lt;=199.99,Kargo!$E$2,IF(O233&lt;=399.99,Kargo!$E$3,$F233)))</f>
        <v/>
      </c>
      <c r="R233" s="12">
        <f>IF(Q233="","",Q233/O233)</f>
        <v/>
      </c>
      <c r="S233" s="10">
        <f>IF($B233="","",IF('Komisyon Tarifeleri'!N233="","",'Komisyon Tarifeleri'!N233))</f>
        <v/>
      </c>
      <c r="T233" s="11">
        <f>IF(S233="","",IF($AM$1=2,'Komisyon Tarifeleri'!X233,'Komisyon Tarifeleri'!S233))</f>
        <v/>
      </c>
      <c r="U233" s="10">
        <f>IF(OR(S233="",$D233=""),"",S233*(1-T233/100)-$D233-IF(S233&lt;=199.99,Kargo!$E$2,IF(S233&lt;=399.99,Kargo!$E$3,$F233)))</f>
        <v/>
      </c>
      <c r="V233" s="12">
        <f>IF(U233="","",U233/S233)</f>
        <v/>
      </c>
      <c r="W233" s="12">
        <f>IF($B233="","",IFERROR(VLOOKUP($C233,Hedefler!$A:$C,2,FALSE),0.04))</f>
        <v/>
      </c>
      <c r="X233" s="12">
        <f>IF($B233="","",IFERROR(VLOOKUP($C233,Hedefler!$A:$C,3,FALSE),0.1))</f>
        <v/>
      </c>
      <c r="Y233" s="13">
        <f>IF($B233="","",IFERROR(VLOOKUP($B233,Maliyetler!$A:$E,5,FALSE),""))</f>
        <v/>
      </c>
      <c r="Z233" s="13">
        <f>IF(OR(Y233="",Y233=0),"",Y233-1)</f>
        <v/>
      </c>
      <c r="AA233" s="14">
        <f>IF(Z233="","",IF(Z233&gt;='Komisyon Tarifeleri'!I233,IF($AM$1=2,'Komisyon Tarifeleri'!U233,'Komisyon Tarifeleri'!P233),IF(Z233&gt;='Komisyon Tarifeleri'!K233,IF($AM$1=2,'Komisyon Tarifeleri'!V233,'Komisyon Tarifeleri'!Q233),IF(Z233&gt;='Komisyon Tarifeleri'!M233,IF($AM$1=2,'Komisyon Tarifeleri'!W233,'Komisyon Tarifeleri'!R233),IF($AM$1=2,'Komisyon Tarifeleri'!X233,'Komisyon Tarifeleri'!S233)))))</f>
        <v/>
      </c>
      <c r="AB233" s="13">
        <f>IF(OR(AA233="",$D233=""),"",Z233*(1-AA233/100)-$D233-IF(Z233&lt;=199.99,Kargo!$E$2,IF(Z233&lt;=399.99,Kargo!$E$3,$F233)))</f>
        <v/>
      </c>
      <c r="AC233" s="15">
        <f>IF(AB233="","",AB233/Z233)</f>
        <v/>
      </c>
      <c r="AD233" s="10">
        <f>IF(OR($D233="",$B233=""),"",IF(AND((1-T233/100-W233)&gt;0,CEILING(($D233+$F233)/(1-T233/100-W233),1)&lt;='Komisyon Tarifeleri'!N233),CEILING(($D233+$F233)/(1-T233/100-W233),1),IF(AND((1-P233/100-W233)&gt;0,CEILING(MAX('Komisyon Tarifeleri'!M233,($D233+$F233)/(1-P233/100-W233)),1)&lt;='Komisyon Tarifeleri'!L233),CEILING(MAX('Komisyon Tarifeleri'!M233,($D233+$F233)/(1-P233/100-W233)),1),IF(AND((1-L233/100-W233)&gt;0,CEILING(MAX('Komisyon Tarifeleri'!K233,($D233+$F233)/(1-L233/100-W233)),1)&lt;='Komisyon Tarifeleri'!J233),CEILING(MAX('Komisyon Tarifeleri'!K233,($D233+$F233)/(1-L233/100-W233)),1),IF((1-H233/100-W233)&gt;0,CEILING(MAX('Komisyon Tarifeleri'!I233,($D233+$F233)/(1-H233/100-W233)),1),"İMKÂNSIZ")))))</f>
        <v/>
      </c>
      <c r="AE233" s="10">
        <f>IF(OR($D233="",$B233=""),"",IF(AND((1-T233/100-X233)&gt;0,CEILING(($D233+$F233)/(1-T233/100-X233),1)&lt;='Komisyon Tarifeleri'!N233),CEILING(($D233+$F233)/(1-T233/100-X233),1),IF(AND((1-P233/100-X233)&gt;0,CEILING(MAX('Komisyon Tarifeleri'!M233,($D233+$F233)/(1-P233/100-X233)),1)&lt;='Komisyon Tarifeleri'!L233),CEILING(MAX('Komisyon Tarifeleri'!M233,($D233+$F233)/(1-P233/100-X233)),1),IF(AND((1-L233/100-X233)&gt;0,CEILING(MAX('Komisyon Tarifeleri'!K233,($D233+$F233)/(1-L233/100-X233)),1)&lt;='Komisyon Tarifeleri'!J233),CEILING(MAX('Komisyon Tarifeleri'!K233,($D233+$F233)/(1-L233/100-X233)),1),IF((1-H233/100-X233)&gt;0,CEILING(MAX('Komisyon Tarifeleri'!I233,($D233+$F233)/(1-H233/100-X233)),1),"İMKÂNSIZ")))))</f>
        <v/>
      </c>
      <c r="AF233" s="16">
        <f>IF($D233="","",IF(AND(Y233&lt;&gt;"",AC233&lt;&gt;"",AC233&gt;=W233),Z233,IF(Y233&lt;&gt;"",AD233,AE233)))</f>
        <v/>
      </c>
      <c r="AG233" s="16">
        <f>IF(OR(AF233="",AF233="İMKÂNSIZ"),"",AF233*(1-IF(AF233&gt;='Komisyon Tarifeleri'!I233,IF($AM$1=2,'Komisyon Tarifeleri'!U233,'Komisyon Tarifeleri'!P233),IF(AF233&gt;='Komisyon Tarifeleri'!K233,IF($AM$1=2,'Komisyon Tarifeleri'!V233,'Komisyon Tarifeleri'!Q233),IF(AF233&gt;='Komisyon Tarifeleri'!M233,IF($AM$1=2,'Komisyon Tarifeleri'!W233,'Komisyon Tarifeleri'!R233),IF($AM$1=2,'Komisyon Tarifeleri'!X233,'Komisyon Tarifeleri'!S233))))/100)-$D233-IF(AF233&lt;=199.99,Kargo!$E$2,IF(AF233&lt;=399.99,Kargo!$E$3,$F233)))</f>
        <v/>
      </c>
      <c r="AH233" s="17">
        <f>IF(AG233="","",AG233/AF233)</f>
        <v/>
      </c>
      <c r="AI233" s="18">
        <f>IF($D233="","",IF(Y233="","BUYBOX YOK → hedef kârla min fiyat",IF(AC233&gt;=W233,"✓ BUYBOX ALTINA GİR","BUYBOX ALTI KÂRSIZ → min kârlı fiyat")))</f>
        <v/>
      </c>
      <c r="AJ233" s="10">
        <f>IF($B233="","",IFERROR(VLOOKUP($B233,Maliyetler!$A:$G,6,FALSE),""))</f>
        <v/>
      </c>
      <c r="AK233">
        <f>IF($B233="","",IFERROR(VLOOKUP($B233,Maliyetler!$A:$G,7,FALSE),""))</f>
        <v/>
      </c>
      <c r="AO233" s="21">
        <f>IF($B233="","",IFERROR(VLOOKUP($B233&amp;"",'Plus Tarifeleri'!$C:$Q,11,FALSE),""))</f>
        <v/>
      </c>
      <c r="AP233" s="22">
        <f>IF(AO233="","",IFERROR(IF($AM$1=2,VLOOKUP($B233&amp;"",'Plus Tarifeleri'!$C:$Q,15,FALSE),VLOOKUP($B233&amp;"",'Plus Tarifeleri'!$C:$Q,13,FALSE)),""))</f>
        <v/>
      </c>
      <c r="AQ233" s="21">
        <f>IF(OR(AO233="",AP233="",$D233=""),"",AO233*(1-AP233/100)-$D233-IF(AO233&lt;=199.99,Kargo!$E$2,IF(AO233&lt;=399.99,Kargo!$E$3,$F233)))</f>
        <v/>
      </c>
      <c r="AR233" s="23">
        <f>IF(AQ233="","",AQ233/AO233)</f>
        <v/>
      </c>
      <c r="AS233" s="24">
        <f>IF(OR(AQ233="",AG233=""),"",AQ233-AG233)</f>
        <v/>
      </c>
    </row>
    <row r="234">
      <c r="A234">
        <f>IF('Komisyon Tarifeleri'!A234="","",'Komisyon Tarifeleri'!A234)</f>
        <v/>
      </c>
      <c r="B234">
        <f>IF('Komisyon Tarifeleri'!B234="","",'Komisyon Tarifeleri'!B234&amp;"")</f>
        <v/>
      </c>
      <c r="C234">
        <f>IF($B234="","",'Komisyon Tarifeleri'!F234)</f>
        <v/>
      </c>
      <c r="D234" s="10">
        <f>IF($B234="","",IFERROR(VLOOKUP($B234,Maliyetler!$A:$E,3,FALSE),""))</f>
        <v/>
      </c>
      <c r="E234">
        <f>IF($B234="","",IFERROR(VLOOKUP($B234,Maliyetler!$A:$E,4,FALSE),1))</f>
        <v/>
      </c>
      <c r="F234" s="10">
        <f>IF($B234="","",IFERROR(VLOOKUP(MIN(20,MAX(1,ROUND($E234,0))),Kargo!$A:$B,2,FALSE),99.46))</f>
        <v/>
      </c>
      <c r="G234" s="10">
        <f>IF($B234="","",IF(IF(N('Komisyon Tarifeleri'!AA234)&gt;='Komisyon Tarifeleri'!I234,'Komisyon Tarifeleri'!AA234,'Komisyon Tarifeleri'!I234)="","",IF(N('Komisyon Tarifeleri'!AA234)&gt;='Komisyon Tarifeleri'!I234,'Komisyon Tarifeleri'!AA234,'Komisyon Tarifeleri'!I234)))</f>
        <v/>
      </c>
      <c r="H234" s="11">
        <f>IF(G234="","",IF($AM$1=2,'Komisyon Tarifeleri'!U234,'Komisyon Tarifeleri'!P234))</f>
        <v/>
      </c>
      <c r="I234" s="10">
        <f>IF(OR(G234="",$D234=""),"",G234*(1-H234/100)-$D234-IF(G234&lt;=199.99,Kargo!$E$2,IF(G234&lt;=399.99,Kargo!$E$3,$F234)))</f>
        <v/>
      </c>
      <c r="J234" s="12">
        <f>IF(I234="","",I234/G234)</f>
        <v/>
      </c>
      <c r="K234" s="10">
        <f>IF($B234="","",IF('Komisyon Tarifeleri'!J234="","",'Komisyon Tarifeleri'!J234))</f>
        <v/>
      </c>
      <c r="L234" s="11">
        <f>IF(K234="","",IF($AM$1=2,'Komisyon Tarifeleri'!V234,'Komisyon Tarifeleri'!Q234))</f>
        <v/>
      </c>
      <c r="M234" s="10">
        <f>IF(OR(K234="",$D234=""),"",K234*(1-L234/100)-$D234-IF(K234&lt;=199.99,Kargo!$E$2,IF(K234&lt;=399.99,Kargo!$E$3,$F234)))</f>
        <v/>
      </c>
      <c r="N234" s="12">
        <f>IF(M234="","",M234/K234)</f>
        <v/>
      </c>
      <c r="O234" s="10">
        <f>IF($B234="","",IF('Komisyon Tarifeleri'!L234="","",'Komisyon Tarifeleri'!L234))</f>
        <v/>
      </c>
      <c r="P234" s="11">
        <f>IF(O234="","",IF($AM$1=2,'Komisyon Tarifeleri'!W234,'Komisyon Tarifeleri'!R234))</f>
        <v/>
      </c>
      <c r="Q234" s="10">
        <f>IF(OR(O234="",$D234=""),"",O234*(1-P234/100)-$D234-IF(O234&lt;=199.99,Kargo!$E$2,IF(O234&lt;=399.99,Kargo!$E$3,$F234)))</f>
        <v/>
      </c>
      <c r="R234" s="12">
        <f>IF(Q234="","",Q234/O234)</f>
        <v/>
      </c>
      <c r="S234" s="10">
        <f>IF($B234="","",IF('Komisyon Tarifeleri'!N234="","",'Komisyon Tarifeleri'!N234))</f>
        <v/>
      </c>
      <c r="T234" s="11">
        <f>IF(S234="","",IF($AM$1=2,'Komisyon Tarifeleri'!X234,'Komisyon Tarifeleri'!S234))</f>
        <v/>
      </c>
      <c r="U234" s="10">
        <f>IF(OR(S234="",$D234=""),"",S234*(1-T234/100)-$D234-IF(S234&lt;=199.99,Kargo!$E$2,IF(S234&lt;=399.99,Kargo!$E$3,$F234)))</f>
        <v/>
      </c>
      <c r="V234" s="12">
        <f>IF(U234="","",U234/S234)</f>
        <v/>
      </c>
      <c r="W234" s="12">
        <f>IF($B234="","",IFERROR(VLOOKUP($C234,Hedefler!$A:$C,2,FALSE),0.04))</f>
        <v/>
      </c>
      <c r="X234" s="12">
        <f>IF($B234="","",IFERROR(VLOOKUP($C234,Hedefler!$A:$C,3,FALSE),0.1))</f>
        <v/>
      </c>
      <c r="Y234" s="13">
        <f>IF($B234="","",IFERROR(VLOOKUP($B234,Maliyetler!$A:$E,5,FALSE),""))</f>
        <v/>
      </c>
      <c r="Z234" s="13">
        <f>IF(OR(Y234="",Y234=0),"",Y234-1)</f>
        <v/>
      </c>
      <c r="AA234" s="14">
        <f>IF(Z234="","",IF(Z234&gt;='Komisyon Tarifeleri'!I234,IF($AM$1=2,'Komisyon Tarifeleri'!U234,'Komisyon Tarifeleri'!P234),IF(Z234&gt;='Komisyon Tarifeleri'!K234,IF($AM$1=2,'Komisyon Tarifeleri'!V234,'Komisyon Tarifeleri'!Q234),IF(Z234&gt;='Komisyon Tarifeleri'!M234,IF($AM$1=2,'Komisyon Tarifeleri'!W234,'Komisyon Tarifeleri'!R234),IF($AM$1=2,'Komisyon Tarifeleri'!X234,'Komisyon Tarifeleri'!S234)))))</f>
        <v/>
      </c>
      <c r="AB234" s="13">
        <f>IF(OR(AA234="",$D234=""),"",Z234*(1-AA234/100)-$D234-IF(Z234&lt;=199.99,Kargo!$E$2,IF(Z234&lt;=399.99,Kargo!$E$3,$F234)))</f>
        <v/>
      </c>
      <c r="AC234" s="15">
        <f>IF(AB234="","",AB234/Z234)</f>
        <v/>
      </c>
      <c r="AD234" s="10">
        <f>IF(OR($D234="",$B234=""),"",IF(AND((1-T234/100-W234)&gt;0,CEILING(($D234+$F234)/(1-T234/100-W234),1)&lt;='Komisyon Tarifeleri'!N234),CEILING(($D234+$F234)/(1-T234/100-W234),1),IF(AND((1-P234/100-W234)&gt;0,CEILING(MAX('Komisyon Tarifeleri'!M234,($D234+$F234)/(1-P234/100-W234)),1)&lt;='Komisyon Tarifeleri'!L234),CEILING(MAX('Komisyon Tarifeleri'!M234,($D234+$F234)/(1-P234/100-W234)),1),IF(AND((1-L234/100-W234)&gt;0,CEILING(MAX('Komisyon Tarifeleri'!K234,($D234+$F234)/(1-L234/100-W234)),1)&lt;='Komisyon Tarifeleri'!J234),CEILING(MAX('Komisyon Tarifeleri'!K234,($D234+$F234)/(1-L234/100-W234)),1),IF((1-H234/100-W234)&gt;0,CEILING(MAX('Komisyon Tarifeleri'!I234,($D234+$F234)/(1-H234/100-W234)),1),"İMKÂNSIZ")))))</f>
        <v/>
      </c>
      <c r="AE234" s="10">
        <f>IF(OR($D234="",$B234=""),"",IF(AND((1-T234/100-X234)&gt;0,CEILING(($D234+$F234)/(1-T234/100-X234),1)&lt;='Komisyon Tarifeleri'!N234),CEILING(($D234+$F234)/(1-T234/100-X234),1),IF(AND((1-P234/100-X234)&gt;0,CEILING(MAX('Komisyon Tarifeleri'!M234,($D234+$F234)/(1-P234/100-X234)),1)&lt;='Komisyon Tarifeleri'!L234),CEILING(MAX('Komisyon Tarifeleri'!M234,($D234+$F234)/(1-P234/100-X234)),1),IF(AND((1-L234/100-X234)&gt;0,CEILING(MAX('Komisyon Tarifeleri'!K234,($D234+$F234)/(1-L234/100-X234)),1)&lt;='Komisyon Tarifeleri'!J234),CEILING(MAX('Komisyon Tarifeleri'!K234,($D234+$F234)/(1-L234/100-X234)),1),IF((1-H234/100-X234)&gt;0,CEILING(MAX('Komisyon Tarifeleri'!I234,($D234+$F234)/(1-H234/100-X234)),1),"İMKÂNSIZ")))))</f>
        <v/>
      </c>
      <c r="AF234" s="16">
        <f>IF($D234="","",IF(AND(Y234&lt;&gt;"",AC234&lt;&gt;"",AC234&gt;=W234),Z234,IF(Y234&lt;&gt;"",AD234,AE234)))</f>
        <v/>
      </c>
      <c r="AG234" s="16">
        <f>IF(OR(AF234="",AF234="İMKÂNSIZ"),"",AF234*(1-IF(AF234&gt;='Komisyon Tarifeleri'!I234,IF($AM$1=2,'Komisyon Tarifeleri'!U234,'Komisyon Tarifeleri'!P234),IF(AF234&gt;='Komisyon Tarifeleri'!K234,IF($AM$1=2,'Komisyon Tarifeleri'!V234,'Komisyon Tarifeleri'!Q234),IF(AF234&gt;='Komisyon Tarifeleri'!M234,IF($AM$1=2,'Komisyon Tarifeleri'!W234,'Komisyon Tarifeleri'!R234),IF($AM$1=2,'Komisyon Tarifeleri'!X234,'Komisyon Tarifeleri'!S234))))/100)-$D234-IF(AF234&lt;=199.99,Kargo!$E$2,IF(AF234&lt;=399.99,Kargo!$E$3,$F234)))</f>
        <v/>
      </c>
      <c r="AH234" s="17">
        <f>IF(AG234="","",AG234/AF234)</f>
        <v/>
      </c>
      <c r="AI234" s="18">
        <f>IF($D234="","",IF(Y234="","BUYBOX YOK → hedef kârla min fiyat",IF(AC234&gt;=W234,"✓ BUYBOX ALTINA GİR","BUYBOX ALTI KÂRSIZ → min kârlı fiyat")))</f>
        <v/>
      </c>
      <c r="AJ234" s="10">
        <f>IF($B234="","",IFERROR(VLOOKUP($B234,Maliyetler!$A:$G,6,FALSE),""))</f>
        <v/>
      </c>
      <c r="AK234">
        <f>IF($B234="","",IFERROR(VLOOKUP($B234,Maliyetler!$A:$G,7,FALSE),""))</f>
        <v/>
      </c>
      <c r="AO234" s="21">
        <f>IF($B234="","",IFERROR(VLOOKUP($B234&amp;"",'Plus Tarifeleri'!$C:$Q,11,FALSE),""))</f>
        <v/>
      </c>
      <c r="AP234" s="22">
        <f>IF(AO234="","",IFERROR(IF($AM$1=2,VLOOKUP($B234&amp;"",'Plus Tarifeleri'!$C:$Q,15,FALSE),VLOOKUP($B234&amp;"",'Plus Tarifeleri'!$C:$Q,13,FALSE)),""))</f>
        <v/>
      </c>
      <c r="AQ234" s="21">
        <f>IF(OR(AO234="",AP234="",$D234=""),"",AO234*(1-AP234/100)-$D234-IF(AO234&lt;=199.99,Kargo!$E$2,IF(AO234&lt;=399.99,Kargo!$E$3,$F234)))</f>
        <v/>
      </c>
      <c r="AR234" s="23">
        <f>IF(AQ234="","",AQ234/AO234)</f>
        <v/>
      </c>
      <c r="AS234" s="24">
        <f>IF(OR(AQ234="",AG234=""),"",AQ234-AG234)</f>
        <v/>
      </c>
    </row>
    <row r="235">
      <c r="A235">
        <f>IF('Komisyon Tarifeleri'!A235="","",'Komisyon Tarifeleri'!A235)</f>
        <v/>
      </c>
      <c r="B235">
        <f>IF('Komisyon Tarifeleri'!B235="","",'Komisyon Tarifeleri'!B235&amp;"")</f>
        <v/>
      </c>
      <c r="C235">
        <f>IF($B235="","",'Komisyon Tarifeleri'!F235)</f>
        <v/>
      </c>
      <c r="D235" s="10">
        <f>IF($B235="","",IFERROR(VLOOKUP($B235,Maliyetler!$A:$E,3,FALSE),""))</f>
        <v/>
      </c>
      <c r="E235">
        <f>IF($B235="","",IFERROR(VLOOKUP($B235,Maliyetler!$A:$E,4,FALSE),1))</f>
        <v/>
      </c>
      <c r="F235" s="10">
        <f>IF($B235="","",IFERROR(VLOOKUP(MIN(20,MAX(1,ROUND($E235,0))),Kargo!$A:$B,2,FALSE),99.46))</f>
        <v/>
      </c>
      <c r="G235" s="10">
        <f>IF($B235="","",IF(IF(N('Komisyon Tarifeleri'!AA235)&gt;='Komisyon Tarifeleri'!I235,'Komisyon Tarifeleri'!AA235,'Komisyon Tarifeleri'!I235)="","",IF(N('Komisyon Tarifeleri'!AA235)&gt;='Komisyon Tarifeleri'!I235,'Komisyon Tarifeleri'!AA235,'Komisyon Tarifeleri'!I235)))</f>
        <v/>
      </c>
      <c r="H235" s="11">
        <f>IF(G235="","",IF($AM$1=2,'Komisyon Tarifeleri'!U235,'Komisyon Tarifeleri'!P235))</f>
        <v/>
      </c>
      <c r="I235" s="10">
        <f>IF(OR(G235="",$D235=""),"",G235*(1-H235/100)-$D235-IF(G235&lt;=199.99,Kargo!$E$2,IF(G235&lt;=399.99,Kargo!$E$3,$F235)))</f>
        <v/>
      </c>
      <c r="J235" s="12">
        <f>IF(I235="","",I235/G235)</f>
        <v/>
      </c>
      <c r="K235" s="10">
        <f>IF($B235="","",IF('Komisyon Tarifeleri'!J235="","",'Komisyon Tarifeleri'!J235))</f>
        <v/>
      </c>
      <c r="L235" s="11">
        <f>IF(K235="","",IF($AM$1=2,'Komisyon Tarifeleri'!V235,'Komisyon Tarifeleri'!Q235))</f>
        <v/>
      </c>
      <c r="M235" s="10">
        <f>IF(OR(K235="",$D235=""),"",K235*(1-L235/100)-$D235-IF(K235&lt;=199.99,Kargo!$E$2,IF(K235&lt;=399.99,Kargo!$E$3,$F235)))</f>
        <v/>
      </c>
      <c r="N235" s="12">
        <f>IF(M235="","",M235/K235)</f>
        <v/>
      </c>
      <c r="O235" s="10">
        <f>IF($B235="","",IF('Komisyon Tarifeleri'!L235="","",'Komisyon Tarifeleri'!L235))</f>
        <v/>
      </c>
      <c r="P235" s="11">
        <f>IF(O235="","",IF($AM$1=2,'Komisyon Tarifeleri'!W235,'Komisyon Tarifeleri'!R235))</f>
        <v/>
      </c>
      <c r="Q235" s="10">
        <f>IF(OR(O235="",$D235=""),"",O235*(1-P235/100)-$D235-IF(O235&lt;=199.99,Kargo!$E$2,IF(O235&lt;=399.99,Kargo!$E$3,$F235)))</f>
        <v/>
      </c>
      <c r="R235" s="12">
        <f>IF(Q235="","",Q235/O235)</f>
        <v/>
      </c>
      <c r="S235" s="10">
        <f>IF($B235="","",IF('Komisyon Tarifeleri'!N235="","",'Komisyon Tarifeleri'!N235))</f>
        <v/>
      </c>
      <c r="T235" s="11">
        <f>IF(S235="","",IF($AM$1=2,'Komisyon Tarifeleri'!X235,'Komisyon Tarifeleri'!S235))</f>
        <v/>
      </c>
      <c r="U235" s="10">
        <f>IF(OR(S235="",$D235=""),"",S235*(1-T235/100)-$D235-IF(S235&lt;=199.99,Kargo!$E$2,IF(S235&lt;=399.99,Kargo!$E$3,$F235)))</f>
        <v/>
      </c>
      <c r="V235" s="12">
        <f>IF(U235="","",U235/S235)</f>
        <v/>
      </c>
      <c r="W235" s="12">
        <f>IF($B235="","",IFERROR(VLOOKUP($C235,Hedefler!$A:$C,2,FALSE),0.04))</f>
        <v/>
      </c>
      <c r="X235" s="12">
        <f>IF($B235="","",IFERROR(VLOOKUP($C235,Hedefler!$A:$C,3,FALSE),0.1))</f>
        <v/>
      </c>
      <c r="Y235" s="13">
        <f>IF($B235="","",IFERROR(VLOOKUP($B235,Maliyetler!$A:$E,5,FALSE),""))</f>
        <v/>
      </c>
      <c r="Z235" s="13">
        <f>IF(OR(Y235="",Y235=0),"",Y235-1)</f>
        <v/>
      </c>
      <c r="AA235" s="14">
        <f>IF(Z235="","",IF(Z235&gt;='Komisyon Tarifeleri'!I235,IF($AM$1=2,'Komisyon Tarifeleri'!U235,'Komisyon Tarifeleri'!P235),IF(Z235&gt;='Komisyon Tarifeleri'!K235,IF($AM$1=2,'Komisyon Tarifeleri'!V235,'Komisyon Tarifeleri'!Q235),IF(Z235&gt;='Komisyon Tarifeleri'!M235,IF($AM$1=2,'Komisyon Tarifeleri'!W235,'Komisyon Tarifeleri'!R235),IF($AM$1=2,'Komisyon Tarifeleri'!X235,'Komisyon Tarifeleri'!S235)))))</f>
        <v/>
      </c>
      <c r="AB235" s="13">
        <f>IF(OR(AA235="",$D235=""),"",Z235*(1-AA235/100)-$D235-IF(Z235&lt;=199.99,Kargo!$E$2,IF(Z235&lt;=399.99,Kargo!$E$3,$F235)))</f>
        <v/>
      </c>
      <c r="AC235" s="15">
        <f>IF(AB235="","",AB235/Z235)</f>
        <v/>
      </c>
      <c r="AD235" s="10">
        <f>IF(OR($D235="",$B235=""),"",IF(AND((1-T235/100-W235)&gt;0,CEILING(($D235+$F235)/(1-T235/100-W235),1)&lt;='Komisyon Tarifeleri'!N235),CEILING(($D235+$F235)/(1-T235/100-W235),1),IF(AND((1-P235/100-W235)&gt;0,CEILING(MAX('Komisyon Tarifeleri'!M235,($D235+$F235)/(1-P235/100-W235)),1)&lt;='Komisyon Tarifeleri'!L235),CEILING(MAX('Komisyon Tarifeleri'!M235,($D235+$F235)/(1-P235/100-W235)),1),IF(AND((1-L235/100-W235)&gt;0,CEILING(MAX('Komisyon Tarifeleri'!K235,($D235+$F235)/(1-L235/100-W235)),1)&lt;='Komisyon Tarifeleri'!J235),CEILING(MAX('Komisyon Tarifeleri'!K235,($D235+$F235)/(1-L235/100-W235)),1),IF((1-H235/100-W235)&gt;0,CEILING(MAX('Komisyon Tarifeleri'!I235,($D235+$F235)/(1-H235/100-W235)),1),"İMKÂNSIZ")))))</f>
        <v/>
      </c>
      <c r="AE235" s="10">
        <f>IF(OR($D235="",$B235=""),"",IF(AND((1-T235/100-X235)&gt;0,CEILING(($D235+$F235)/(1-T235/100-X235),1)&lt;='Komisyon Tarifeleri'!N235),CEILING(($D235+$F235)/(1-T235/100-X235),1),IF(AND((1-P235/100-X235)&gt;0,CEILING(MAX('Komisyon Tarifeleri'!M235,($D235+$F235)/(1-P235/100-X235)),1)&lt;='Komisyon Tarifeleri'!L235),CEILING(MAX('Komisyon Tarifeleri'!M235,($D235+$F235)/(1-P235/100-X235)),1),IF(AND((1-L235/100-X235)&gt;0,CEILING(MAX('Komisyon Tarifeleri'!K235,($D235+$F235)/(1-L235/100-X235)),1)&lt;='Komisyon Tarifeleri'!J235),CEILING(MAX('Komisyon Tarifeleri'!K235,($D235+$F235)/(1-L235/100-X235)),1),IF((1-H235/100-X235)&gt;0,CEILING(MAX('Komisyon Tarifeleri'!I235,($D235+$F235)/(1-H235/100-X235)),1),"İMKÂNSIZ")))))</f>
        <v/>
      </c>
      <c r="AF235" s="16">
        <f>IF($D235="","",IF(AND(Y235&lt;&gt;"",AC235&lt;&gt;"",AC235&gt;=W235),Z235,IF(Y235&lt;&gt;"",AD235,AE235)))</f>
        <v/>
      </c>
      <c r="AG235" s="16">
        <f>IF(OR(AF235="",AF235="İMKÂNSIZ"),"",AF235*(1-IF(AF235&gt;='Komisyon Tarifeleri'!I235,IF($AM$1=2,'Komisyon Tarifeleri'!U235,'Komisyon Tarifeleri'!P235),IF(AF235&gt;='Komisyon Tarifeleri'!K235,IF($AM$1=2,'Komisyon Tarifeleri'!V235,'Komisyon Tarifeleri'!Q235),IF(AF235&gt;='Komisyon Tarifeleri'!M235,IF($AM$1=2,'Komisyon Tarifeleri'!W235,'Komisyon Tarifeleri'!R235),IF($AM$1=2,'Komisyon Tarifeleri'!X235,'Komisyon Tarifeleri'!S235))))/100)-$D235-IF(AF235&lt;=199.99,Kargo!$E$2,IF(AF235&lt;=399.99,Kargo!$E$3,$F235)))</f>
        <v/>
      </c>
      <c r="AH235" s="17">
        <f>IF(AG235="","",AG235/AF235)</f>
        <v/>
      </c>
      <c r="AI235" s="18">
        <f>IF($D235="","",IF(Y235="","BUYBOX YOK → hedef kârla min fiyat",IF(AC235&gt;=W235,"✓ BUYBOX ALTINA GİR","BUYBOX ALTI KÂRSIZ → min kârlı fiyat")))</f>
        <v/>
      </c>
      <c r="AJ235" s="10">
        <f>IF($B235="","",IFERROR(VLOOKUP($B235,Maliyetler!$A:$G,6,FALSE),""))</f>
        <v/>
      </c>
      <c r="AK235">
        <f>IF($B235="","",IFERROR(VLOOKUP($B235,Maliyetler!$A:$G,7,FALSE),""))</f>
        <v/>
      </c>
      <c r="AO235" s="21">
        <f>IF($B235="","",IFERROR(VLOOKUP($B235&amp;"",'Plus Tarifeleri'!$C:$Q,11,FALSE),""))</f>
        <v/>
      </c>
      <c r="AP235" s="22">
        <f>IF(AO235="","",IFERROR(IF($AM$1=2,VLOOKUP($B235&amp;"",'Plus Tarifeleri'!$C:$Q,15,FALSE),VLOOKUP($B235&amp;"",'Plus Tarifeleri'!$C:$Q,13,FALSE)),""))</f>
        <v/>
      </c>
      <c r="AQ235" s="21">
        <f>IF(OR(AO235="",AP235="",$D235=""),"",AO235*(1-AP235/100)-$D235-IF(AO235&lt;=199.99,Kargo!$E$2,IF(AO235&lt;=399.99,Kargo!$E$3,$F235)))</f>
        <v/>
      </c>
      <c r="AR235" s="23">
        <f>IF(AQ235="","",AQ235/AO235)</f>
        <v/>
      </c>
      <c r="AS235" s="24">
        <f>IF(OR(AQ235="",AG235=""),"",AQ235-AG235)</f>
        <v/>
      </c>
    </row>
    <row r="236">
      <c r="A236">
        <f>IF('Komisyon Tarifeleri'!A236="","",'Komisyon Tarifeleri'!A236)</f>
        <v/>
      </c>
      <c r="B236">
        <f>IF('Komisyon Tarifeleri'!B236="","",'Komisyon Tarifeleri'!B236&amp;"")</f>
        <v/>
      </c>
      <c r="C236">
        <f>IF($B236="","",'Komisyon Tarifeleri'!F236)</f>
        <v/>
      </c>
      <c r="D236" s="10">
        <f>IF($B236="","",IFERROR(VLOOKUP($B236,Maliyetler!$A:$E,3,FALSE),""))</f>
        <v/>
      </c>
      <c r="E236">
        <f>IF($B236="","",IFERROR(VLOOKUP($B236,Maliyetler!$A:$E,4,FALSE),1))</f>
        <v/>
      </c>
      <c r="F236" s="10">
        <f>IF($B236="","",IFERROR(VLOOKUP(MIN(20,MAX(1,ROUND($E236,0))),Kargo!$A:$B,2,FALSE),99.46))</f>
        <v/>
      </c>
      <c r="G236" s="10">
        <f>IF($B236="","",IF(IF(N('Komisyon Tarifeleri'!AA236)&gt;='Komisyon Tarifeleri'!I236,'Komisyon Tarifeleri'!AA236,'Komisyon Tarifeleri'!I236)="","",IF(N('Komisyon Tarifeleri'!AA236)&gt;='Komisyon Tarifeleri'!I236,'Komisyon Tarifeleri'!AA236,'Komisyon Tarifeleri'!I236)))</f>
        <v/>
      </c>
      <c r="H236" s="11">
        <f>IF(G236="","",IF($AM$1=2,'Komisyon Tarifeleri'!U236,'Komisyon Tarifeleri'!P236))</f>
        <v/>
      </c>
      <c r="I236" s="10">
        <f>IF(OR(G236="",$D236=""),"",G236*(1-H236/100)-$D236-IF(G236&lt;=199.99,Kargo!$E$2,IF(G236&lt;=399.99,Kargo!$E$3,$F236)))</f>
        <v/>
      </c>
      <c r="J236" s="12">
        <f>IF(I236="","",I236/G236)</f>
        <v/>
      </c>
      <c r="K236" s="10">
        <f>IF($B236="","",IF('Komisyon Tarifeleri'!J236="","",'Komisyon Tarifeleri'!J236))</f>
        <v/>
      </c>
      <c r="L236" s="11">
        <f>IF(K236="","",IF($AM$1=2,'Komisyon Tarifeleri'!V236,'Komisyon Tarifeleri'!Q236))</f>
        <v/>
      </c>
      <c r="M236" s="10">
        <f>IF(OR(K236="",$D236=""),"",K236*(1-L236/100)-$D236-IF(K236&lt;=199.99,Kargo!$E$2,IF(K236&lt;=399.99,Kargo!$E$3,$F236)))</f>
        <v/>
      </c>
      <c r="N236" s="12">
        <f>IF(M236="","",M236/K236)</f>
        <v/>
      </c>
      <c r="O236" s="10">
        <f>IF($B236="","",IF('Komisyon Tarifeleri'!L236="","",'Komisyon Tarifeleri'!L236))</f>
        <v/>
      </c>
      <c r="P236" s="11">
        <f>IF(O236="","",IF($AM$1=2,'Komisyon Tarifeleri'!W236,'Komisyon Tarifeleri'!R236))</f>
        <v/>
      </c>
      <c r="Q236" s="10">
        <f>IF(OR(O236="",$D236=""),"",O236*(1-P236/100)-$D236-IF(O236&lt;=199.99,Kargo!$E$2,IF(O236&lt;=399.99,Kargo!$E$3,$F236)))</f>
        <v/>
      </c>
      <c r="R236" s="12">
        <f>IF(Q236="","",Q236/O236)</f>
        <v/>
      </c>
      <c r="S236" s="10">
        <f>IF($B236="","",IF('Komisyon Tarifeleri'!N236="","",'Komisyon Tarifeleri'!N236))</f>
        <v/>
      </c>
      <c r="T236" s="11">
        <f>IF(S236="","",IF($AM$1=2,'Komisyon Tarifeleri'!X236,'Komisyon Tarifeleri'!S236))</f>
        <v/>
      </c>
      <c r="U236" s="10">
        <f>IF(OR(S236="",$D236=""),"",S236*(1-T236/100)-$D236-IF(S236&lt;=199.99,Kargo!$E$2,IF(S236&lt;=399.99,Kargo!$E$3,$F236)))</f>
        <v/>
      </c>
      <c r="V236" s="12">
        <f>IF(U236="","",U236/S236)</f>
        <v/>
      </c>
      <c r="W236" s="12">
        <f>IF($B236="","",IFERROR(VLOOKUP($C236,Hedefler!$A:$C,2,FALSE),0.04))</f>
        <v/>
      </c>
      <c r="X236" s="12">
        <f>IF($B236="","",IFERROR(VLOOKUP($C236,Hedefler!$A:$C,3,FALSE),0.1))</f>
        <v/>
      </c>
      <c r="Y236" s="13">
        <f>IF($B236="","",IFERROR(VLOOKUP($B236,Maliyetler!$A:$E,5,FALSE),""))</f>
        <v/>
      </c>
      <c r="Z236" s="13">
        <f>IF(OR(Y236="",Y236=0),"",Y236-1)</f>
        <v/>
      </c>
      <c r="AA236" s="14">
        <f>IF(Z236="","",IF(Z236&gt;='Komisyon Tarifeleri'!I236,IF($AM$1=2,'Komisyon Tarifeleri'!U236,'Komisyon Tarifeleri'!P236),IF(Z236&gt;='Komisyon Tarifeleri'!K236,IF($AM$1=2,'Komisyon Tarifeleri'!V236,'Komisyon Tarifeleri'!Q236),IF(Z236&gt;='Komisyon Tarifeleri'!M236,IF($AM$1=2,'Komisyon Tarifeleri'!W236,'Komisyon Tarifeleri'!R236),IF($AM$1=2,'Komisyon Tarifeleri'!X236,'Komisyon Tarifeleri'!S236)))))</f>
        <v/>
      </c>
      <c r="AB236" s="13">
        <f>IF(OR(AA236="",$D236=""),"",Z236*(1-AA236/100)-$D236-IF(Z236&lt;=199.99,Kargo!$E$2,IF(Z236&lt;=399.99,Kargo!$E$3,$F236)))</f>
        <v/>
      </c>
      <c r="AC236" s="15">
        <f>IF(AB236="","",AB236/Z236)</f>
        <v/>
      </c>
      <c r="AD236" s="10">
        <f>IF(OR($D236="",$B236=""),"",IF(AND((1-T236/100-W236)&gt;0,CEILING(($D236+$F236)/(1-T236/100-W236),1)&lt;='Komisyon Tarifeleri'!N236),CEILING(($D236+$F236)/(1-T236/100-W236),1),IF(AND((1-P236/100-W236)&gt;0,CEILING(MAX('Komisyon Tarifeleri'!M236,($D236+$F236)/(1-P236/100-W236)),1)&lt;='Komisyon Tarifeleri'!L236),CEILING(MAX('Komisyon Tarifeleri'!M236,($D236+$F236)/(1-P236/100-W236)),1),IF(AND((1-L236/100-W236)&gt;0,CEILING(MAX('Komisyon Tarifeleri'!K236,($D236+$F236)/(1-L236/100-W236)),1)&lt;='Komisyon Tarifeleri'!J236),CEILING(MAX('Komisyon Tarifeleri'!K236,($D236+$F236)/(1-L236/100-W236)),1),IF((1-H236/100-W236)&gt;0,CEILING(MAX('Komisyon Tarifeleri'!I236,($D236+$F236)/(1-H236/100-W236)),1),"İMKÂNSIZ")))))</f>
        <v/>
      </c>
      <c r="AE236" s="10">
        <f>IF(OR($D236="",$B236=""),"",IF(AND((1-T236/100-X236)&gt;0,CEILING(($D236+$F236)/(1-T236/100-X236),1)&lt;='Komisyon Tarifeleri'!N236),CEILING(($D236+$F236)/(1-T236/100-X236),1),IF(AND((1-P236/100-X236)&gt;0,CEILING(MAX('Komisyon Tarifeleri'!M236,($D236+$F236)/(1-P236/100-X236)),1)&lt;='Komisyon Tarifeleri'!L236),CEILING(MAX('Komisyon Tarifeleri'!M236,($D236+$F236)/(1-P236/100-X236)),1),IF(AND((1-L236/100-X236)&gt;0,CEILING(MAX('Komisyon Tarifeleri'!K236,($D236+$F236)/(1-L236/100-X236)),1)&lt;='Komisyon Tarifeleri'!J236),CEILING(MAX('Komisyon Tarifeleri'!K236,($D236+$F236)/(1-L236/100-X236)),1),IF((1-H236/100-X236)&gt;0,CEILING(MAX('Komisyon Tarifeleri'!I236,($D236+$F236)/(1-H236/100-X236)),1),"İMKÂNSIZ")))))</f>
        <v/>
      </c>
      <c r="AF236" s="16">
        <f>IF($D236="","",IF(AND(Y236&lt;&gt;"",AC236&lt;&gt;"",AC236&gt;=W236),Z236,IF(Y236&lt;&gt;"",AD236,AE236)))</f>
        <v/>
      </c>
      <c r="AG236" s="16">
        <f>IF(OR(AF236="",AF236="İMKÂNSIZ"),"",AF236*(1-IF(AF236&gt;='Komisyon Tarifeleri'!I236,IF($AM$1=2,'Komisyon Tarifeleri'!U236,'Komisyon Tarifeleri'!P236),IF(AF236&gt;='Komisyon Tarifeleri'!K236,IF($AM$1=2,'Komisyon Tarifeleri'!V236,'Komisyon Tarifeleri'!Q236),IF(AF236&gt;='Komisyon Tarifeleri'!M236,IF($AM$1=2,'Komisyon Tarifeleri'!W236,'Komisyon Tarifeleri'!R236),IF($AM$1=2,'Komisyon Tarifeleri'!X236,'Komisyon Tarifeleri'!S236))))/100)-$D236-IF(AF236&lt;=199.99,Kargo!$E$2,IF(AF236&lt;=399.99,Kargo!$E$3,$F236)))</f>
        <v/>
      </c>
      <c r="AH236" s="17">
        <f>IF(AG236="","",AG236/AF236)</f>
        <v/>
      </c>
      <c r="AI236" s="18">
        <f>IF($D236="","",IF(Y236="","BUYBOX YOK → hedef kârla min fiyat",IF(AC236&gt;=W236,"✓ BUYBOX ALTINA GİR","BUYBOX ALTI KÂRSIZ → min kârlı fiyat")))</f>
        <v/>
      </c>
      <c r="AJ236" s="10">
        <f>IF($B236="","",IFERROR(VLOOKUP($B236,Maliyetler!$A:$G,6,FALSE),""))</f>
        <v/>
      </c>
      <c r="AK236">
        <f>IF($B236="","",IFERROR(VLOOKUP($B236,Maliyetler!$A:$G,7,FALSE),""))</f>
        <v/>
      </c>
      <c r="AO236" s="21">
        <f>IF($B236="","",IFERROR(VLOOKUP($B236&amp;"",'Plus Tarifeleri'!$C:$Q,11,FALSE),""))</f>
        <v/>
      </c>
      <c r="AP236" s="22">
        <f>IF(AO236="","",IFERROR(IF($AM$1=2,VLOOKUP($B236&amp;"",'Plus Tarifeleri'!$C:$Q,15,FALSE),VLOOKUP($B236&amp;"",'Plus Tarifeleri'!$C:$Q,13,FALSE)),""))</f>
        <v/>
      </c>
      <c r="AQ236" s="21">
        <f>IF(OR(AO236="",AP236="",$D236=""),"",AO236*(1-AP236/100)-$D236-IF(AO236&lt;=199.99,Kargo!$E$2,IF(AO236&lt;=399.99,Kargo!$E$3,$F236)))</f>
        <v/>
      </c>
      <c r="AR236" s="23">
        <f>IF(AQ236="","",AQ236/AO236)</f>
        <v/>
      </c>
      <c r="AS236" s="24">
        <f>IF(OR(AQ236="",AG236=""),"",AQ236-AG236)</f>
        <v/>
      </c>
    </row>
    <row r="237">
      <c r="A237">
        <f>IF('Komisyon Tarifeleri'!A237="","",'Komisyon Tarifeleri'!A237)</f>
        <v/>
      </c>
      <c r="B237">
        <f>IF('Komisyon Tarifeleri'!B237="","",'Komisyon Tarifeleri'!B237&amp;"")</f>
        <v/>
      </c>
      <c r="C237">
        <f>IF($B237="","",'Komisyon Tarifeleri'!F237)</f>
        <v/>
      </c>
      <c r="D237" s="10">
        <f>IF($B237="","",IFERROR(VLOOKUP($B237,Maliyetler!$A:$E,3,FALSE),""))</f>
        <v/>
      </c>
      <c r="E237">
        <f>IF($B237="","",IFERROR(VLOOKUP($B237,Maliyetler!$A:$E,4,FALSE),1))</f>
        <v/>
      </c>
      <c r="F237" s="10">
        <f>IF($B237="","",IFERROR(VLOOKUP(MIN(20,MAX(1,ROUND($E237,0))),Kargo!$A:$B,2,FALSE),99.46))</f>
        <v/>
      </c>
      <c r="G237" s="10">
        <f>IF($B237="","",IF(IF(N('Komisyon Tarifeleri'!AA237)&gt;='Komisyon Tarifeleri'!I237,'Komisyon Tarifeleri'!AA237,'Komisyon Tarifeleri'!I237)="","",IF(N('Komisyon Tarifeleri'!AA237)&gt;='Komisyon Tarifeleri'!I237,'Komisyon Tarifeleri'!AA237,'Komisyon Tarifeleri'!I237)))</f>
        <v/>
      </c>
      <c r="H237" s="11">
        <f>IF(G237="","",IF($AM$1=2,'Komisyon Tarifeleri'!U237,'Komisyon Tarifeleri'!P237))</f>
        <v/>
      </c>
      <c r="I237" s="10">
        <f>IF(OR(G237="",$D237=""),"",G237*(1-H237/100)-$D237-IF(G237&lt;=199.99,Kargo!$E$2,IF(G237&lt;=399.99,Kargo!$E$3,$F237)))</f>
        <v/>
      </c>
      <c r="J237" s="12">
        <f>IF(I237="","",I237/G237)</f>
        <v/>
      </c>
      <c r="K237" s="10">
        <f>IF($B237="","",IF('Komisyon Tarifeleri'!J237="","",'Komisyon Tarifeleri'!J237))</f>
        <v/>
      </c>
      <c r="L237" s="11">
        <f>IF(K237="","",IF($AM$1=2,'Komisyon Tarifeleri'!V237,'Komisyon Tarifeleri'!Q237))</f>
        <v/>
      </c>
      <c r="M237" s="10">
        <f>IF(OR(K237="",$D237=""),"",K237*(1-L237/100)-$D237-IF(K237&lt;=199.99,Kargo!$E$2,IF(K237&lt;=399.99,Kargo!$E$3,$F237)))</f>
        <v/>
      </c>
      <c r="N237" s="12">
        <f>IF(M237="","",M237/K237)</f>
        <v/>
      </c>
      <c r="O237" s="10">
        <f>IF($B237="","",IF('Komisyon Tarifeleri'!L237="","",'Komisyon Tarifeleri'!L237))</f>
        <v/>
      </c>
      <c r="P237" s="11">
        <f>IF(O237="","",IF($AM$1=2,'Komisyon Tarifeleri'!W237,'Komisyon Tarifeleri'!R237))</f>
        <v/>
      </c>
      <c r="Q237" s="10">
        <f>IF(OR(O237="",$D237=""),"",O237*(1-P237/100)-$D237-IF(O237&lt;=199.99,Kargo!$E$2,IF(O237&lt;=399.99,Kargo!$E$3,$F237)))</f>
        <v/>
      </c>
      <c r="R237" s="12">
        <f>IF(Q237="","",Q237/O237)</f>
        <v/>
      </c>
      <c r="S237" s="10">
        <f>IF($B237="","",IF('Komisyon Tarifeleri'!N237="","",'Komisyon Tarifeleri'!N237))</f>
        <v/>
      </c>
      <c r="T237" s="11">
        <f>IF(S237="","",IF($AM$1=2,'Komisyon Tarifeleri'!X237,'Komisyon Tarifeleri'!S237))</f>
        <v/>
      </c>
      <c r="U237" s="10">
        <f>IF(OR(S237="",$D237=""),"",S237*(1-T237/100)-$D237-IF(S237&lt;=199.99,Kargo!$E$2,IF(S237&lt;=399.99,Kargo!$E$3,$F237)))</f>
        <v/>
      </c>
      <c r="V237" s="12">
        <f>IF(U237="","",U237/S237)</f>
        <v/>
      </c>
      <c r="W237" s="12">
        <f>IF($B237="","",IFERROR(VLOOKUP($C237,Hedefler!$A:$C,2,FALSE),0.04))</f>
        <v/>
      </c>
      <c r="X237" s="12">
        <f>IF($B237="","",IFERROR(VLOOKUP($C237,Hedefler!$A:$C,3,FALSE),0.1))</f>
        <v/>
      </c>
      <c r="Y237" s="13">
        <f>IF($B237="","",IFERROR(VLOOKUP($B237,Maliyetler!$A:$E,5,FALSE),""))</f>
        <v/>
      </c>
      <c r="Z237" s="13">
        <f>IF(OR(Y237="",Y237=0),"",Y237-1)</f>
        <v/>
      </c>
      <c r="AA237" s="14">
        <f>IF(Z237="","",IF(Z237&gt;='Komisyon Tarifeleri'!I237,IF($AM$1=2,'Komisyon Tarifeleri'!U237,'Komisyon Tarifeleri'!P237),IF(Z237&gt;='Komisyon Tarifeleri'!K237,IF($AM$1=2,'Komisyon Tarifeleri'!V237,'Komisyon Tarifeleri'!Q237),IF(Z237&gt;='Komisyon Tarifeleri'!M237,IF($AM$1=2,'Komisyon Tarifeleri'!W237,'Komisyon Tarifeleri'!R237),IF($AM$1=2,'Komisyon Tarifeleri'!X237,'Komisyon Tarifeleri'!S237)))))</f>
        <v/>
      </c>
      <c r="AB237" s="13">
        <f>IF(OR(AA237="",$D237=""),"",Z237*(1-AA237/100)-$D237-IF(Z237&lt;=199.99,Kargo!$E$2,IF(Z237&lt;=399.99,Kargo!$E$3,$F237)))</f>
        <v/>
      </c>
      <c r="AC237" s="15">
        <f>IF(AB237="","",AB237/Z237)</f>
        <v/>
      </c>
      <c r="AD237" s="10">
        <f>IF(OR($D237="",$B237=""),"",IF(AND((1-T237/100-W237)&gt;0,CEILING(($D237+$F237)/(1-T237/100-W237),1)&lt;='Komisyon Tarifeleri'!N237),CEILING(($D237+$F237)/(1-T237/100-W237),1),IF(AND((1-P237/100-W237)&gt;0,CEILING(MAX('Komisyon Tarifeleri'!M237,($D237+$F237)/(1-P237/100-W237)),1)&lt;='Komisyon Tarifeleri'!L237),CEILING(MAX('Komisyon Tarifeleri'!M237,($D237+$F237)/(1-P237/100-W237)),1),IF(AND((1-L237/100-W237)&gt;0,CEILING(MAX('Komisyon Tarifeleri'!K237,($D237+$F237)/(1-L237/100-W237)),1)&lt;='Komisyon Tarifeleri'!J237),CEILING(MAX('Komisyon Tarifeleri'!K237,($D237+$F237)/(1-L237/100-W237)),1),IF((1-H237/100-W237)&gt;0,CEILING(MAX('Komisyon Tarifeleri'!I237,($D237+$F237)/(1-H237/100-W237)),1),"İMKÂNSIZ")))))</f>
        <v/>
      </c>
      <c r="AE237" s="10">
        <f>IF(OR($D237="",$B237=""),"",IF(AND((1-T237/100-X237)&gt;0,CEILING(($D237+$F237)/(1-T237/100-X237),1)&lt;='Komisyon Tarifeleri'!N237),CEILING(($D237+$F237)/(1-T237/100-X237),1),IF(AND((1-P237/100-X237)&gt;0,CEILING(MAX('Komisyon Tarifeleri'!M237,($D237+$F237)/(1-P237/100-X237)),1)&lt;='Komisyon Tarifeleri'!L237),CEILING(MAX('Komisyon Tarifeleri'!M237,($D237+$F237)/(1-P237/100-X237)),1),IF(AND((1-L237/100-X237)&gt;0,CEILING(MAX('Komisyon Tarifeleri'!K237,($D237+$F237)/(1-L237/100-X237)),1)&lt;='Komisyon Tarifeleri'!J237),CEILING(MAX('Komisyon Tarifeleri'!K237,($D237+$F237)/(1-L237/100-X237)),1),IF((1-H237/100-X237)&gt;0,CEILING(MAX('Komisyon Tarifeleri'!I237,($D237+$F237)/(1-H237/100-X237)),1),"İMKÂNSIZ")))))</f>
        <v/>
      </c>
      <c r="AF237" s="16">
        <f>IF($D237="","",IF(AND(Y237&lt;&gt;"",AC237&lt;&gt;"",AC237&gt;=W237),Z237,IF(Y237&lt;&gt;"",AD237,AE237)))</f>
        <v/>
      </c>
      <c r="AG237" s="16">
        <f>IF(OR(AF237="",AF237="İMKÂNSIZ"),"",AF237*(1-IF(AF237&gt;='Komisyon Tarifeleri'!I237,IF($AM$1=2,'Komisyon Tarifeleri'!U237,'Komisyon Tarifeleri'!P237),IF(AF237&gt;='Komisyon Tarifeleri'!K237,IF($AM$1=2,'Komisyon Tarifeleri'!V237,'Komisyon Tarifeleri'!Q237),IF(AF237&gt;='Komisyon Tarifeleri'!M237,IF($AM$1=2,'Komisyon Tarifeleri'!W237,'Komisyon Tarifeleri'!R237),IF($AM$1=2,'Komisyon Tarifeleri'!X237,'Komisyon Tarifeleri'!S237))))/100)-$D237-IF(AF237&lt;=199.99,Kargo!$E$2,IF(AF237&lt;=399.99,Kargo!$E$3,$F237)))</f>
        <v/>
      </c>
      <c r="AH237" s="17">
        <f>IF(AG237="","",AG237/AF237)</f>
        <v/>
      </c>
      <c r="AI237" s="18">
        <f>IF($D237="","",IF(Y237="","BUYBOX YOK → hedef kârla min fiyat",IF(AC237&gt;=W237,"✓ BUYBOX ALTINA GİR","BUYBOX ALTI KÂRSIZ → min kârlı fiyat")))</f>
        <v/>
      </c>
      <c r="AJ237" s="10">
        <f>IF($B237="","",IFERROR(VLOOKUP($B237,Maliyetler!$A:$G,6,FALSE),""))</f>
        <v/>
      </c>
      <c r="AK237">
        <f>IF($B237="","",IFERROR(VLOOKUP($B237,Maliyetler!$A:$G,7,FALSE),""))</f>
        <v/>
      </c>
      <c r="AO237" s="21">
        <f>IF($B237="","",IFERROR(VLOOKUP($B237&amp;"",'Plus Tarifeleri'!$C:$Q,11,FALSE),""))</f>
        <v/>
      </c>
      <c r="AP237" s="22">
        <f>IF(AO237="","",IFERROR(IF($AM$1=2,VLOOKUP($B237&amp;"",'Plus Tarifeleri'!$C:$Q,15,FALSE),VLOOKUP($B237&amp;"",'Plus Tarifeleri'!$C:$Q,13,FALSE)),""))</f>
        <v/>
      </c>
      <c r="AQ237" s="21">
        <f>IF(OR(AO237="",AP237="",$D237=""),"",AO237*(1-AP237/100)-$D237-IF(AO237&lt;=199.99,Kargo!$E$2,IF(AO237&lt;=399.99,Kargo!$E$3,$F237)))</f>
        <v/>
      </c>
      <c r="AR237" s="23">
        <f>IF(AQ237="","",AQ237/AO237)</f>
        <v/>
      </c>
      <c r="AS237" s="24">
        <f>IF(OR(AQ237="",AG237=""),"",AQ237-AG237)</f>
        <v/>
      </c>
    </row>
    <row r="238">
      <c r="A238">
        <f>IF('Komisyon Tarifeleri'!A238="","",'Komisyon Tarifeleri'!A238)</f>
        <v/>
      </c>
      <c r="B238">
        <f>IF('Komisyon Tarifeleri'!B238="","",'Komisyon Tarifeleri'!B238&amp;"")</f>
        <v/>
      </c>
      <c r="C238">
        <f>IF($B238="","",'Komisyon Tarifeleri'!F238)</f>
        <v/>
      </c>
      <c r="D238" s="10">
        <f>IF($B238="","",IFERROR(VLOOKUP($B238,Maliyetler!$A:$E,3,FALSE),""))</f>
        <v/>
      </c>
      <c r="E238">
        <f>IF($B238="","",IFERROR(VLOOKUP($B238,Maliyetler!$A:$E,4,FALSE),1))</f>
        <v/>
      </c>
      <c r="F238" s="10">
        <f>IF($B238="","",IFERROR(VLOOKUP(MIN(20,MAX(1,ROUND($E238,0))),Kargo!$A:$B,2,FALSE),99.46))</f>
        <v/>
      </c>
      <c r="G238" s="10">
        <f>IF($B238="","",IF(IF(N('Komisyon Tarifeleri'!AA238)&gt;='Komisyon Tarifeleri'!I238,'Komisyon Tarifeleri'!AA238,'Komisyon Tarifeleri'!I238)="","",IF(N('Komisyon Tarifeleri'!AA238)&gt;='Komisyon Tarifeleri'!I238,'Komisyon Tarifeleri'!AA238,'Komisyon Tarifeleri'!I238)))</f>
        <v/>
      </c>
      <c r="H238" s="11">
        <f>IF(G238="","",IF($AM$1=2,'Komisyon Tarifeleri'!U238,'Komisyon Tarifeleri'!P238))</f>
        <v/>
      </c>
      <c r="I238" s="10">
        <f>IF(OR(G238="",$D238=""),"",G238*(1-H238/100)-$D238-IF(G238&lt;=199.99,Kargo!$E$2,IF(G238&lt;=399.99,Kargo!$E$3,$F238)))</f>
        <v/>
      </c>
      <c r="J238" s="12">
        <f>IF(I238="","",I238/G238)</f>
        <v/>
      </c>
      <c r="K238" s="10">
        <f>IF($B238="","",IF('Komisyon Tarifeleri'!J238="","",'Komisyon Tarifeleri'!J238))</f>
        <v/>
      </c>
      <c r="L238" s="11">
        <f>IF(K238="","",IF($AM$1=2,'Komisyon Tarifeleri'!V238,'Komisyon Tarifeleri'!Q238))</f>
        <v/>
      </c>
      <c r="M238" s="10">
        <f>IF(OR(K238="",$D238=""),"",K238*(1-L238/100)-$D238-IF(K238&lt;=199.99,Kargo!$E$2,IF(K238&lt;=399.99,Kargo!$E$3,$F238)))</f>
        <v/>
      </c>
      <c r="N238" s="12">
        <f>IF(M238="","",M238/K238)</f>
        <v/>
      </c>
      <c r="O238" s="10">
        <f>IF($B238="","",IF('Komisyon Tarifeleri'!L238="","",'Komisyon Tarifeleri'!L238))</f>
        <v/>
      </c>
      <c r="P238" s="11">
        <f>IF(O238="","",IF($AM$1=2,'Komisyon Tarifeleri'!W238,'Komisyon Tarifeleri'!R238))</f>
        <v/>
      </c>
      <c r="Q238" s="10">
        <f>IF(OR(O238="",$D238=""),"",O238*(1-P238/100)-$D238-IF(O238&lt;=199.99,Kargo!$E$2,IF(O238&lt;=399.99,Kargo!$E$3,$F238)))</f>
        <v/>
      </c>
      <c r="R238" s="12">
        <f>IF(Q238="","",Q238/O238)</f>
        <v/>
      </c>
      <c r="S238" s="10">
        <f>IF($B238="","",IF('Komisyon Tarifeleri'!N238="","",'Komisyon Tarifeleri'!N238))</f>
        <v/>
      </c>
      <c r="T238" s="11">
        <f>IF(S238="","",IF($AM$1=2,'Komisyon Tarifeleri'!X238,'Komisyon Tarifeleri'!S238))</f>
        <v/>
      </c>
      <c r="U238" s="10">
        <f>IF(OR(S238="",$D238=""),"",S238*(1-T238/100)-$D238-IF(S238&lt;=199.99,Kargo!$E$2,IF(S238&lt;=399.99,Kargo!$E$3,$F238)))</f>
        <v/>
      </c>
      <c r="V238" s="12">
        <f>IF(U238="","",U238/S238)</f>
        <v/>
      </c>
      <c r="W238" s="12">
        <f>IF($B238="","",IFERROR(VLOOKUP($C238,Hedefler!$A:$C,2,FALSE),0.04))</f>
        <v/>
      </c>
      <c r="X238" s="12">
        <f>IF($B238="","",IFERROR(VLOOKUP($C238,Hedefler!$A:$C,3,FALSE),0.1))</f>
        <v/>
      </c>
      <c r="Y238" s="13">
        <f>IF($B238="","",IFERROR(VLOOKUP($B238,Maliyetler!$A:$E,5,FALSE),""))</f>
        <v/>
      </c>
      <c r="Z238" s="13">
        <f>IF(OR(Y238="",Y238=0),"",Y238-1)</f>
        <v/>
      </c>
      <c r="AA238" s="14">
        <f>IF(Z238="","",IF(Z238&gt;='Komisyon Tarifeleri'!I238,IF($AM$1=2,'Komisyon Tarifeleri'!U238,'Komisyon Tarifeleri'!P238),IF(Z238&gt;='Komisyon Tarifeleri'!K238,IF($AM$1=2,'Komisyon Tarifeleri'!V238,'Komisyon Tarifeleri'!Q238),IF(Z238&gt;='Komisyon Tarifeleri'!M238,IF($AM$1=2,'Komisyon Tarifeleri'!W238,'Komisyon Tarifeleri'!R238),IF($AM$1=2,'Komisyon Tarifeleri'!X238,'Komisyon Tarifeleri'!S238)))))</f>
        <v/>
      </c>
      <c r="AB238" s="13">
        <f>IF(OR(AA238="",$D238=""),"",Z238*(1-AA238/100)-$D238-IF(Z238&lt;=199.99,Kargo!$E$2,IF(Z238&lt;=399.99,Kargo!$E$3,$F238)))</f>
        <v/>
      </c>
      <c r="AC238" s="15">
        <f>IF(AB238="","",AB238/Z238)</f>
        <v/>
      </c>
      <c r="AD238" s="10">
        <f>IF(OR($D238="",$B238=""),"",IF(AND((1-T238/100-W238)&gt;0,CEILING(($D238+$F238)/(1-T238/100-W238),1)&lt;='Komisyon Tarifeleri'!N238),CEILING(($D238+$F238)/(1-T238/100-W238),1),IF(AND((1-P238/100-W238)&gt;0,CEILING(MAX('Komisyon Tarifeleri'!M238,($D238+$F238)/(1-P238/100-W238)),1)&lt;='Komisyon Tarifeleri'!L238),CEILING(MAX('Komisyon Tarifeleri'!M238,($D238+$F238)/(1-P238/100-W238)),1),IF(AND((1-L238/100-W238)&gt;0,CEILING(MAX('Komisyon Tarifeleri'!K238,($D238+$F238)/(1-L238/100-W238)),1)&lt;='Komisyon Tarifeleri'!J238),CEILING(MAX('Komisyon Tarifeleri'!K238,($D238+$F238)/(1-L238/100-W238)),1),IF((1-H238/100-W238)&gt;0,CEILING(MAX('Komisyon Tarifeleri'!I238,($D238+$F238)/(1-H238/100-W238)),1),"İMKÂNSIZ")))))</f>
        <v/>
      </c>
      <c r="AE238" s="10">
        <f>IF(OR($D238="",$B238=""),"",IF(AND((1-T238/100-X238)&gt;0,CEILING(($D238+$F238)/(1-T238/100-X238),1)&lt;='Komisyon Tarifeleri'!N238),CEILING(($D238+$F238)/(1-T238/100-X238),1),IF(AND((1-P238/100-X238)&gt;0,CEILING(MAX('Komisyon Tarifeleri'!M238,($D238+$F238)/(1-P238/100-X238)),1)&lt;='Komisyon Tarifeleri'!L238),CEILING(MAX('Komisyon Tarifeleri'!M238,($D238+$F238)/(1-P238/100-X238)),1),IF(AND((1-L238/100-X238)&gt;0,CEILING(MAX('Komisyon Tarifeleri'!K238,($D238+$F238)/(1-L238/100-X238)),1)&lt;='Komisyon Tarifeleri'!J238),CEILING(MAX('Komisyon Tarifeleri'!K238,($D238+$F238)/(1-L238/100-X238)),1),IF((1-H238/100-X238)&gt;0,CEILING(MAX('Komisyon Tarifeleri'!I238,($D238+$F238)/(1-H238/100-X238)),1),"İMKÂNSIZ")))))</f>
        <v/>
      </c>
      <c r="AF238" s="16">
        <f>IF($D238="","",IF(AND(Y238&lt;&gt;"",AC238&lt;&gt;"",AC238&gt;=W238),Z238,IF(Y238&lt;&gt;"",AD238,AE238)))</f>
        <v/>
      </c>
      <c r="AG238" s="16">
        <f>IF(OR(AF238="",AF238="İMKÂNSIZ"),"",AF238*(1-IF(AF238&gt;='Komisyon Tarifeleri'!I238,IF($AM$1=2,'Komisyon Tarifeleri'!U238,'Komisyon Tarifeleri'!P238),IF(AF238&gt;='Komisyon Tarifeleri'!K238,IF($AM$1=2,'Komisyon Tarifeleri'!V238,'Komisyon Tarifeleri'!Q238),IF(AF238&gt;='Komisyon Tarifeleri'!M238,IF($AM$1=2,'Komisyon Tarifeleri'!W238,'Komisyon Tarifeleri'!R238),IF($AM$1=2,'Komisyon Tarifeleri'!X238,'Komisyon Tarifeleri'!S238))))/100)-$D238-IF(AF238&lt;=199.99,Kargo!$E$2,IF(AF238&lt;=399.99,Kargo!$E$3,$F238)))</f>
        <v/>
      </c>
      <c r="AH238" s="17">
        <f>IF(AG238="","",AG238/AF238)</f>
        <v/>
      </c>
      <c r="AI238" s="18">
        <f>IF($D238="","",IF(Y238="","BUYBOX YOK → hedef kârla min fiyat",IF(AC238&gt;=W238,"✓ BUYBOX ALTINA GİR","BUYBOX ALTI KÂRSIZ → min kârlı fiyat")))</f>
        <v/>
      </c>
      <c r="AJ238" s="10">
        <f>IF($B238="","",IFERROR(VLOOKUP($B238,Maliyetler!$A:$G,6,FALSE),""))</f>
        <v/>
      </c>
      <c r="AK238">
        <f>IF($B238="","",IFERROR(VLOOKUP($B238,Maliyetler!$A:$G,7,FALSE),""))</f>
        <v/>
      </c>
      <c r="AO238" s="21">
        <f>IF($B238="","",IFERROR(VLOOKUP($B238&amp;"",'Plus Tarifeleri'!$C:$Q,11,FALSE),""))</f>
        <v/>
      </c>
      <c r="AP238" s="22">
        <f>IF(AO238="","",IFERROR(IF($AM$1=2,VLOOKUP($B238&amp;"",'Plus Tarifeleri'!$C:$Q,15,FALSE),VLOOKUP($B238&amp;"",'Plus Tarifeleri'!$C:$Q,13,FALSE)),""))</f>
        <v/>
      </c>
      <c r="AQ238" s="21">
        <f>IF(OR(AO238="",AP238="",$D238=""),"",AO238*(1-AP238/100)-$D238-IF(AO238&lt;=199.99,Kargo!$E$2,IF(AO238&lt;=399.99,Kargo!$E$3,$F238)))</f>
        <v/>
      </c>
      <c r="AR238" s="23">
        <f>IF(AQ238="","",AQ238/AO238)</f>
        <v/>
      </c>
      <c r="AS238" s="24">
        <f>IF(OR(AQ238="",AG238=""),"",AQ238-AG238)</f>
        <v/>
      </c>
    </row>
    <row r="239">
      <c r="A239">
        <f>IF('Komisyon Tarifeleri'!A239="","",'Komisyon Tarifeleri'!A239)</f>
        <v/>
      </c>
      <c r="B239">
        <f>IF('Komisyon Tarifeleri'!B239="","",'Komisyon Tarifeleri'!B239&amp;"")</f>
        <v/>
      </c>
      <c r="C239">
        <f>IF($B239="","",'Komisyon Tarifeleri'!F239)</f>
        <v/>
      </c>
      <c r="D239" s="10">
        <f>IF($B239="","",IFERROR(VLOOKUP($B239,Maliyetler!$A:$E,3,FALSE),""))</f>
        <v/>
      </c>
      <c r="E239">
        <f>IF($B239="","",IFERROR(VLOOKUP($B239,Maliyetler!$A:$E,4,FALSE),1))</f>
        <v/>
      </c>
      <c r="F239" s="10">
        <f>IF($B239="","",IFERROR(VLOOKUP(MIN(20,MAX(1,ROUND($E239,0))),Kargo!$A:$B,2,FALSE),99.46))</f>
        <v/>
      </c>
      <c r="G239" s="10">
        <f>IF($B239="","",IF(IF(N('Komisyon Tarifeleri'!AA239)&gt;='Komisyon Tarifeleri'!I239,'Komisyon Tarifeleri'!AA239,'Komisyon Tarifeleri'!I239)="","",IF(N('Komisyon Tarifeleri'!AA239)&gt;='Komisyon Tarifeleri'!I239,'Komisyon Tarifeleri'!AA239,'Komisyon Tarifeleri'!I239)))</f>
        <v/>
      </c>
      <c r="H239" s="11">
        <f>IF(G239="","",IF($AM$1=2,'Komisyon Tarifeleri'!U239,'Komisyon Tarifeleri'!P239))</f>
        <v/>
      </c>
      <c r="I239" s="10">
        <f>IF(OR(G239="",$D239=""),"",G239*(1-H239/100)-$D239-IF(G239&lt;=199.99,Kargo!$E$2,IF(G239&lt;=399.99,Kargo!$E$3,$F239)))</f>
        <v/>
      </c>
      <c r="J239" s="12">
        <f>IF(I239="","",I239/G239)</f>
        <v/>
      </c>
      <c r="K239" s="10">
        <f>IF($B239="","",IF('Komisyon Tarifeleri'!J239="","",'Komisyon Tarifeleri'!J239))</f>
        <v/>
      </c>
      <c r="L239" s="11">
        <f>IF(K239="","",IF($AM$1=2,'Komisyon Tarifeleri'!V239,'Komisyon Tarifeleri'!Q239))</f>
        <v/>
      </c>
      <c r="M239" s="10">
        <f>IF(OR(K239="",$D239=""),"",K239*(1-L239/100)-$D239-IF(K239&lt;=199.99,Kargo!$E$2,IF(K239&lt;=399.99,Kargo!$E$3,$F239)))</f>
        <v/>
      </c>
      <c r="N239" s="12">
        <f>IF(M239="","",M239/K239)</f>
        <v/>
      </c>
      <c r="O239" s="10">
        <f>IF($B239="","",IF('Komisyon Tarifeleri'!L239="","",'Komisyon Tarifeleri'!L239))</f>
        <v/>
      </c>
      <c r="P239" s="11">
        <f>IF(O239="","",IF($AM$1=2,'Komisyon Tarifeleri'!W239,'Komisyon Tarifeleri'!R239))</f>
        <v/>
      </c>
      <c r="Q239" s="10">
        <f>IF(OR(O239="",$D239=""),"",O239*(1-P239/100)-$D239-IF(O239&lt;=199.99,Kargo!$E$2,IF(O239&lt;=399.99,Kargo!$E$3,$F239)))</f>
        <v/>
      </c>
      <c r="R239" s="12">
        <f>IF(Q239="","",Q239/O239)</f>
        <v/>
      </c>
      <c r="S239" s="10">
        <f>IF($B239="","",IF('Komisyon Tarifeleri'!N239="","",'Komisyon Tarifeleri'!N239))</f>
        <v/>
      </c>
      <c r="T239" s="11">
        <f>IF(S239="","",IF($AM$1=2,'Komisyon Tarifeleri'!X239,'Komisyon Tarifeleri'!S239))</f>
        <v/>
      </c>
      <c r="U239" s="10">
        <f>IF(OR(S239="",$D239=""),"",S239*(1-T239/100)-$D239-IF(S239&lt;=199.99,Kargo!$E$2,IF(S239&lt;=399.99,Kargo!$E$3,$F239)))</f>
        <v/>
      </c>
      <c r="V239" s="12">
        <f>IF(U239="","",U239/S239)</f>
        <v/>
      </c>
      <c r="W239" s="12">
        <f>IF($B239="","",IFERROR(VLOOKUP($C239,Hedefler!$A:$C,2,FALSE),0.04))</f>
        <v/>
      </c>
      <c r="X239" s="12">
        <f>IF($B239="","",IFERROR(VLOOKUP($C239,Hedefler!$A:$C,3,FALSE),0.1))</f>
        <v/>
      </c>
      <c r="Y239" s="13">
        <f>IF($B239="","",IFERROR(VLOOKUP($B239,Maliyetler!$A:$E,5,FALSE),""))</f>
        <v/>
      </c>
      <c r="Z239" s="13">
        <f>IF(OR(Y239="",Y239=0),"",Y239-1)</f>
        <v/>
      </c>
      <c r="AA239" s="14">
        <f>IF(Z239="","",IF(Z239&gt;='Komisyon Tarifeleri'!I239,IF($AM$1=2,'Komisyon Tarifeleri'!U239,'Komisyon Tarifeleri'!P239),IF(Z239&gt;='Komisyon Tarifeleri'!K239,IF($AM$1=2,'Komisyon Tarifeleri'!V239,'Komisyon Tarifeleri'!Q239),IF(Z239&gt;='Komisyon Tarifeleri'!M239,IF($AM$1=2,'Komisyon Tarifeleri'!W239,'Komisyon Tarifeleri'!R239),IF($AM$1=2,'Komisyon Tarifeleri'!X239,'Komisyon Tarifeleri'!S239)))))</f>
        <v/>
      </c>
      <c r="AB239" s="13">
        <f>IF(OR(AA239="",$D239=""),"",Z239*(1-AA239/100)-$D239-IF(Z239&lt;=199.99,Kargo!$E$2,IF(Z239&lt;=399.99,Kargo!$E$3,$F239)))</f>
        <v/>
      </c>
      <c r="AC239" s="15">
        <f>IF(AB239="","",AB239/Z239)</f>
        <v/>
      </c>
      <c r="AD239" s="10">
        <f>IF(OR($D239="",$B239=""),"",IF(AND((1-T239/100-W239)&gt;0,CEILING(($D239+$F239)/(1-T239/100-W239),1)&lt;='Komisyon Tarifeleri'!N239),CEILING(($D239+$F239)/(1-T239/100-W239),1),IF(AND((1-P239/100-W239)&gt;0,CEILING(MAX('Komisyon Tarifeleri'!M239,($D239+$F239)/(1-P239/100-W239)),1)&lt;='Komisyon Tarifeleri'!L239),CEILING(MAX('Komisyon Tarifeleri'!M239,($D239+$F239)/(1-P239/100-W239)),1),IF(AND((1-L239/100-W239)&gt;0,CEILING(MAX('Komisyon Tarifeleri'!K239,($D239+$F239)/(1-L239/100-W239)),1)&lt;='Komisyon Tarifeleri'!J239),CEILING(MAX('Komisyon Tarifeleri'!K239,($D239+$F239)/(1-L239/100-W239)),1),IF((1-H239/100-W239)&gt;0,CEILING(MAX('Komisyon Tarifeleri'!I239,($D239+$F239)/(1-H239/100-W239)),1),"İMKÂNSIZ")))))</f>
        <v/>
      </c>
      <c r="AE239" s="10">
        <f>IF(OR($D239="",$B239=""),"",IF(AND((1-T239/100-X239)&gt;0,CEILING(($D239+$F239)/(1-T239/100-X239),1)&lt;='Komisyon Tarifeleri'!N239),CEILING(($D239+$F239)/(1-T239/100-X239),1),IF(AND((1-P239/100-X239)&gt;0,CEILING(MAX('Komisyon Tarifeleri'!M239,($D239+$F239)/(1-P239/100-X239)),1)&lt;='Komisyon Tarifeleri'!L239),CEILING(MAX('Komisyon Tarifeleri'!M239,($D239+$F239)/(1-P239/100-X239)),1),IF(AND((1-L239/100-X239)&gt;0,CEILING(MAX('Komisyon Tarifeleri'!K239,($D239+$F239)/(1-L239/100-X239)),1)&lt;='Komisyon Tarifeleri'!J239),CEILING(MAX('Komisyon Tarifeleri'!K239,($D239+$F239)/(1-L239/100-X239)),1),IF((1-H239/100-X239)&gt;0,CEILING(MAX('Komisyon Tarifeleri'!I239,($D239+$F239)/(1-H239/100-X239)),1),"İMKÂNSIZ")))))</f>
        <v/>
      </c>
      <c r="AF239" s="16">
        <f>IF($D239="","",IF(AND(Y239&lt;&gt;"",AC239&lt;&gt;"",AC239&gt;=W239),Z239,IF(Y239&lt;&gt;"",AD239,AE239)))</f>
        <v/>
      </c>
      <c r="AG239" s="16">
        <f>IF(OR(AF239="",AF239="İMKÂNSIZ"),"",AF239*(1-IF(AF239&gt;='Komisyon Tarifeleri'!I239,IF($AM$1=2,'Komisyon Tarifeleri'!U239,'Komisyon Tarifeleri'!P239),IF(AF239&gt;='Komisyon Tarifeleri'!K239,IF($AM$1=2,'Komisyon Tarifeleri'!V239,'Komisyon Tarifeleri'!Q239),IF(AF239&gt;='Komisyon Tarifeleri'!M239,IF($AM$1=2,'Komisyon Tarifeleri'!W239,'Komisyon Tarifeleri'!R239),IF($AM$1=2,'Komisyon Tarifeleri'!X239,'Komisyon Tarifeleri'!S239))))/100)-$D239-IF(AF239&lt;=199.99,Kargo!$E$2,IF(AF239&lt;=399.99,Kargo!$E$3,$F239)))</f>
        <v/>
      </c>
      <c r="AH239" s="17">
        <f>IF(AG239="","",AG239/AF239)</f>
        <v/>
      </c>
      <c r="AI239" s="18">
        <f>IF($D239="","",IF(Y239="","BUYBOX YOK → hedef kârla min fiyat",IF(AC239&gt;=W239,"✓ BUYBOX ALTINA GİR","BUYBOX ALTI KÂRSIZ → min kârlı fiyat")))</f>
        <v/>
      </c>
      <c r="AJ239" s="10">
        <f>IF($B239="","",IFERROR(VLOOKUP($B239,Maliyetler!$A:$G,6,FALSE),""))</f>
        <v/>
      </c>
      <c r="AK239">
        <f>IF($B239="","",IFERROR(VLOOKUP($B239,Maliyetler!$A:$G,7,FALSE),""))</f>
        <v/>
      </c>
      <c r="AO239" s="21">
        <f>IF($B239="","",IFERROR(VLOOKUP($B239&amp;"",'Plus Tarifeleri'!$C:$Q,11,FALSE),""))</f>
        <v/>
      </c>
      <c r="AP239" s="22">
        <f>IF(AO239="","",IFERROR(IF($AM$1=2,VLOOKUP($B239&amp;"",'Plus Tarifeleri'!$C:$Q,15,FALSE),VLOOKUP($B239&amp;"",'Plus Tarifeleri'!$C:$Q,13,FALSE)),""))</f>
        <v/>
      </c>
      <c r="AQ239" s="21">
        <f>IF(OR(AO239="",AP239="",$D239=""),"",AO239*(1-AP239/100)-$D239-IF(AO239&lt;=199.99,Kargo!$E$2,IF(AO239&lt;=399.99,Kargo!$E$3,$F239)))</f>
        <v/>
      </c>
      <c r="AR239" s="23">
        <f>IF(AQ239="","",AQ239/AO239)</f>
        <v/>
      </c>
      <c r="AS239" s="24">
        <f>IF(OR(AQ239="",AG239=""),"",AQ239-AG239)</f>
        <v/>
      </c>
    </row>
    <row r="240">
      <c r="A240">
        <f>IF('Komisyon Tarifeleri'!A240="","",'Komisyon Tarifeleri'!A240)</f>
        <v/>
      </c>
      <c r="B240">
        <f>IF('Komisyon Tarifeleri'!B240="","",'Komisyon Tarifeleri'!B240&amp;"")</f>
        <v/>
      </c>
      <c r="C240">
        <f>IF($B240="","",'Komisyon Tarifeleri'!F240)</f>
        <v/>
      </c>
      <c r="D240" s="10">
        <f>IF($B240="","",IFERROR(VLOOKUP($B240,Maliyetler!$A:$E,3,FALSE),""))</f>
        <v/>
      </c>
      <c r="E240">
        <f>IF($B240="","",IFERROR(VLOOKUP($B240,Maliyetler!$A:$E,4,FALSE),1))</f>
        <v/>
      </c>
      <c r="F240" s="10">
        <f>IF($B240="","",IFERROR(VLOOKUP(MIN(20,MAX(1,ROUND($E240,0))),Kargo!$A:$B,2,FALSE),99.46))</f>
        <v/>
      </c>
      <c r="G240" s="10">
        <f>IF($B240="","",IF(IF(N('Komisyon Tarifeleri'!AA240)&gt;='Komisyon Tarifeleri'!I240,'Komisyon Tarifeleri'!AA240,'Komisyon Tarifeleri'!I240)="","",IF(N('Komisyon Tarifeleri'!AA240)&gt;='Komisyon Tarifeleri'!I240,'Komisyon Tarifeleri'!AA240,'Komisyon Tarifeleri'!I240)))</f>
        <v/>
      </c>
      <c r="H240" s="11">
        <f>IF(G240="","",IF($AM$1=2,'Komisyon Tarifeleri'!U240,'Komisyon Tarifeleri'!P240))</f>
        <v/>
      </c>
      <c r="I240" s="10">
        <f>IF(OR(G240="",$D240=""),"",G240*(1-H240/100)-$D240-IF(G240&lt;=199.99,Kargo!$E$2,IF(G240&lt;=399.99,Kargo!$E$3,$F240)))</f>
        <v/>
      </c>
      <c r="J240" s="12">
        <f>IF(I240="","",I240/G240)</f>
        <v/>
      </c>
      <c r="K240" s="10">
        <f>IF($B240="","",IF('Komisyon Tarifeleri'!J240="","",'Komisyon Tarifeleri'!J240))</f>
        <v/>
      </c>
      <c r="L240" s="11">
        <f>IF(K240="","",IF($AM$1=2,'Komisyon Tarifeleri'!V240,'Komisyon Tarifeleri'!Q240))</f>
        <v/>
      </c>
      <c r="M240" s="10">
        <f>IF(OR(K240="",$D240=""),"",K240*(1-L240/100)-$D240-IF(K240&lt;=199.99,Kargo!$E$2,IF(K240&lt;=399.99,Kargo!$E$3,$F240)))</f>
        <v/>
      </c>
      <c r="N240" s="12">
        <f>IF(M240="","",M240/K240)</f>
        <v/>
      </c>
      <c r="O240" s="10">
        <f>IF($B240="","",IF('Komisyon Tarifeleri'!L240="","",'Komisyon Tarifeleri'!L240))</f>
        <v/>
      </c>
      <c r="P240" s="11">
        <f>IF(O240="","",IF($AM$1=2,'Komisyon Tarifeleri'!W240,'Komisyon Tarifeleri'!R240))</f>
        <v/>
      </c>
      <c r="Q240" s="10">
        <f>IF(OR(O240="",$D240=""),"",O240*(1-P240/100)-$D240-IF(O240&lt;=199.99,Kargo!$E$2,IF(O240&lt;=399.99,Kargo!$E$3,$F240)))</f>
        <v/>
      </c>
      <c r="R240" s="12">
        <f>IF(Q240="","",Q240/O240)</f>
        <v/>
      </c>
      <c r="S240" s="10">
        <f>IF($B240="","",IF('Komisyon Tarifeleri'!N240="","",'Komisyon Tarifeleri'!N240))</f>
        <v/>
      </c>
      <c r="T240" s="11">
        <f>IF(S240="","",IF($AM$1=2,'Komisyon Tarifeleri'!X240,'Komisyon Tarifeleri'!S240))</f>
        <v/>
      </c>
      <c r="U240" s="10">
        <f>IF(OR(S240="",$D240=""),"",S240*(1-T240/100)-$D240-IF(S240&lt;=199.99,Kargo!$E$2,IF(S240&lt;=399.99,Kargo!$E$3,$F240)))</f>
        <v/>
      </c>
      <c r="V240" s="12">
        <f>IF(U240="","",U240/S240)</f>
        <v/>
      </c>
      <c r="W240" s="12">
        <f>IF($B240="","",IFERROR(VLOOKUP($C240,Hedefler!$A:$C,2,FALSE),0.04))</f>
        <v/>
      </c>
      <c r="X240" s="12">
        <f>IF($B240="","",IFERROR(VLOOKUP($C240,Hedefler!$A:$C,3,FALSE),0.1))</f>
        <v/>
      </c>
      <c r="Y240" s="13">
        <f>IF($B240="","",IFERROR(VLOOKUP($B240,Maliyetler!$A:$E,5,FALSE),""))</f>
        <v/>
      </c>
      <c r="Z240" s="13">
        <f>IF(OR(Y240="",Y240=0),"",Y240-1)</f>
        <v/>
      </c>
      <c r="AA240" s="14">
        <f>IF(Z240="","",IF(Z240&gt;='Komisyon Tarifeleri'!I240,IF($AM$1=2,'Komisyon Tarifeleri'!U240,'Komisyon Tarifeleri'!P240),IF(Z240&gt;='Komisyon Tarifeleri'!K240,IF($AM$1=2,'Komisyon Tarifeleri'!V240,'Komisyon Tarifeleri'!Q240),IF(Z240&gt;='Komisyon Tarifeleri'!M240,IF($AM$1=2,'Komisyon Tarifeleri'!W240,'Komisyon Tarifeleri'!R240),IF($AM$1=2,'Komisyon Tarifeleri'!X240,'Komisyon Tarifeleri'!S240)))))</f>
        <v/>
      </c>
      <c r="AB240" s="13">
        <f>IF(OR(AA240="",$D240=""),"",Z240*(1-AA240/100)-$D240-IF(Z240&lt;=199.99,Kargo!$E$2,IF(Z240&lt;=399.99,Kargo!$E$3,$F240)))</f>
        <v/>
      </c>
      <c r="AC240" s="15">
        <f>IF(AB240="","",AB240/Z240)</f>
        <v/>
      </c>
      <c r="AD240" s="10">
        <f>IF(OR($D240="",$B240=""),"",IF(AND((1-T240/100-W240)&gt;0,CEILING(($D240+$F240)/(1-T240/100-W240),1)&lt;='Komisyon Tarifeleri'!N240),CEILING(($D240+$F240)/(1-T240/100-W240),1),IF(AND((1-P240/100-W240)&gt;0,CEILING(MAX('Komisyon Tarifeleri'!M240,($D240+$F240)/(1-P240/100-W240)),1)&lt;='Komisyon Tarifeleri'!L240),CEILING(MAX('Komisyon Tarifeleri'!M240,($D240+$F240)/(1-P240/100-W240)),1),IF(AND((1-L240/100-W240)&gt;0,CEILING(MAX('Komisyon Tarifeleri'!K240,($D240+$F240)/(1-L240/100-W240)),1)&lt;='Komisyon Tarifeleri'!J240),CEILING(MAX('Komisyon Tarifeleri'!K240,($D240+$F240)/(1-L240/100-W240)),1),IF((1-H240/100-W240)&gt;0,CEILING(MAX('Komisyon Tarifeleri'!I240,($D240+$F240)/(1-H240/100-W240)),1),"İMKÂNSIZ")))))</f>
        <v/>
      </c>
      <c r="AE240" s="10">
        <f>IF(OR($D240="",$B240=""),"",IF(AND((1-T240/100-X240)&gt;0,CEILING(($D240+$F240)/(1-T240/100-X240),1)&lt;='Komisyon Tarifeleri'!N240),CEILING(($D240+$F240)/(1-T240/100-X240),1),IF(AND((1-P240/100-X240)&gt;0,CEILING(MAX('Komisyon Tarifeleri'!M240,($D240+$F240)/(1-P240/100-X240)),1)&lt;='Komisyon Tarifeleri'!L240),CEILING(MAX('Komisyon Tarifeleri'!M240,($D240+$F240)/(1-P240/100-X240)),1),IF(AND((1-L240/100-X240)&gt;0,CEILING(MAX('Komisyon Tarifeleri'!K240,($D240+$F240)/(1-L240/100-X240)),1)&lt;='Komisyon Tarifeleri'!J240),CEILING(MAX('Komisyon Tarifeleri'!K240,($D240+$F240)/(1-L240/100-X240)),1),IF((1-H240/100-X240)&gt;0,CEILING(MAX('Komisyon Tarifeleri'!I240,($D240+$F240)/(1-H240/100-X240)),1),"İMKÂNSIZ")))))</f>
        <v/>
      </c>
      <c r="AF240" s="16">
        <f>IF($D240="","",IF(AND(Y240&lt;&gt;"",AC240&lt;&gt;"",AC240&gt;=W240),Z240,IF(Y240&lt;&gt;"",AD240,AE240)))</f>
        <v/>
      </c>
      <c r="AG240" s="16">
        <f>IF(OR(AF240="",AF240="İMKÂNSIZ"),"",AF240*(1-IF(AF240&gt;='Komisyon Tarifeleri'!I240,IF($AM$1=2,'Komisyon Tarifeleri'!U240,'Komisyon Tarifeleri'!P240),IF(AF240&gt;='Komisyon Tarifeleri'!K240,IF($AM$1=2,'Komisyon Tarifeleri'!V240,'Komisyon Tarifeleri'!Q240),IF(AF240&gt;='Komisyon Tarifeleri'!M240,IF($AM$1=2,'Komisyon Tarifeleri'!W240,'Komisyon Tarifeleri'!R240),IF($AM$1=2,'Komisyon Tarifeleri'!X240,'Komisyon Tarifeleri'!S240))))/100)-$D240-IF(AF240&lt;=199.99,Kargo!$E$2,IF(AF240&lt;=399.99,Kargo!$E$3,$F240)))</f>
        <v/>
      </c>
      <c r="AH240" s="17">
        <f>IF(AG240="","",AG240/AF240)</f>
        <v/>
      </c>
      <c r="AI240" s="18">
        <f>IF($D240="","",IF(Y240="","BUYBOX YOK → hedef kârla min fiyat",IF(AC240&gt;=W240,"✓ BUYBOX ALTINA GİR","BUYBOX ALTI KÂRSIZ → min kârlı fiyat")))</f>
        <v/>
      </c>
      <c r="AJ240" s="10">
        <f>IF($B240="","",IFERROR(VLOOKUP($B240,Maliyetler!$A:$G,6,FALSE),""))</f>
        <v/>
      </c>
      <c r="AK240">
        <f>IF($B240="","",IFERROR(VLOOKUP($B240,Maliyetler!$A:$G,7,FALSE),""))</f>
        <v/>
      </c>
      <c r="AO240" s="21">
        <f>IF($B240="","",IFERROR(VLOOKUP($B240&amp;"",'Plus Tarifeleri'!$C:$Q,11,FALSE),""))</f>
        <v/>
      </c>
      <c r="AP240" s="22">
        <f>IF(AO240="","",IFERROR(IF($AM$1=2,VLOOKUP($B240&amp;"",'Plus Tarifeleri'!$C:$Q,15,FALSE),VLOOKUP($B240&amp;"",'Plus Tarifeleri'!$C:$Q,13,FALSE)),""))</f>
        <v/>
      </c>
      <c r="AQ240" s="21">
        <f>IF(OR(AO240="",AP240="",$D240=""),"",AO240*(1-AP240/100)-$D240-IF(AO240&lt;=199.99,Kargo!$E$2,IF(AO240&lt;=399.99,Kargo!$E$3,$F240)))</f>
        <v/>
      </c>
      <c r="AR240" s="23">
        <f>IF(AQ240="","",AQ240/AO240)</f>
        <v/>
      </c>
      <c r="AS240" s="24">
        <f>IF(OR(AQ240="",AG240=""),"",AQ240-AG240)</f>
        <v/>
      </c>
    </row>
    <row r="241">
      <c r="A241">
        <f>IF('Komisyon Tarifeleri'!A241="","",'Komisyon Tarifeleri'!A241)</f>
        <v/>
      </c>
      <c r="B241">
        <f>IF('Komisyon Tarifeleri'!B241="","",'Komisyon Tarifeleri'!B241&amp;"")</f>
        <v/>
      </c>
      <c r="C241">
        <f>IF($B241="","",'Komisyon Tarifeleri'!F241)</f>
        <v/>
      </c>
      <c r="D241" s="10">
        <f>IF($B241="","",IFERROR(VLOOKUP($B241,Maliyetler!$A:$E,3,FALSE),""))</f>
        <v/>
      </c>
      <c r="E241">
        <f>IF($B241="","",IFERROR(VLOOKUP($B241,Maliyetler!$A:$E,4,FALSE),1))</f>
        <v/>
      </c>
      <c r="F241" s="10">
        <f>IF($B241="","",IFERROR(VLOOKUP(MIN(20,MAX(1,ROUND($E241,0))),Kargo!$A:$B,2,FALSE),99.46))</f>
        <v/>
      </c>
      <c r="G241" s="10">
        <f>IF($B241="","",IF(IF(N('Komisyon Tarifeleri'!AA241)&gt;='Komisyon Tarifeleri'!I241,'Komisyon Tarifeleri'!AA241,'Komisyon Tarifeleri'!I241)="","",IF(N('Komisyon Tarifeleri'!AA241)&gt;='Komisyon Tarifeleri'!I241,'Komisyon Tarifeleri'!AA241,'Komisyon Tarifeleri'!I241)))</f>
        <v/>
      </c>
      <c r="H241" s="11">
        <f>IF(G241="","",IF($AM$1=2,'Komisyon Tarifeleri'!U241,'Komisyon Tarifeleri'!P241))</f>
        <v/>
      </c>
      <c r="I241" s="10">
        <f>IF(OR(G241="",$D241=""),"",G241*(1-H241/100)-$D241-IF(G241&lt;=199.99,Kargo!$E$2,IF(G241&lt;=399.99,Kargo!$E$3,$F241)))</f>
        <v/>
      </c>
      <c r="J241" s="12">
        <f>IF(I241="","",I241/G241)</f>
        <v/>
      </c>
      <c r="K241" s="10">
        <f>IF($B241="","",IF('Komisyon Tarifeleri'!J241="","",'Komisyon Tarifeleri'!J241))</f>
        <v/>
      </c>
      <c r="L241" s="11">
        <f>IF(K241="","",IF($AM$1=2,'Komisyon Tarifeleri'!V241,'Komisyon Tarifeleri'!Q241))</f>
        <v/>
      </c>
      <c r="M241" s="10">
        <f>IF(OR(K241="",$D241=""),"",K241*(1-L241/100)-$D241-IF(K241&lt;=199.99,Kargo!$E$2,IF(K241&lt;=399.99,Kargo!$E$3,$F241)))</f>
        <v/>
      </c>
      <c r="N241" s="12">
        <f>IF(M241="","",M241/K241)</f>
        <v/>
      </c>
      <c r="O241" s="10">
        <f>IF($B241="","",IF('Komisyon Tarifeleri'!L241="","",'Komisyon Tarifeleri'!L241))</f>
        <v/>
      </c>
      <c r="P241" s="11">
        <f>IF(O241="","",IF($AM$1=2,'Komisyon Tarifeleri'!W241,'Komisyon Tarifeleri'!R241))</f>
        <v/>
      </c>
      <c r="Q241" s="10">
        <f>IF(OR(O241="",$D241=""),"",O241*(1-P241/100)-$D241-IF(O241&lt;=199.99,Kargo!$E$2,IF(O241&lt;=399.99,Kargo!$E$3,$F241)))</f>
        <v/>
      </c>
      <c r="R241" s="12">
        <f>IF(Q241="","",Q241/O241)</f>
        <v/>
      </c>
      <c r="S241" s="10">
        <f>IF($B241="","",IF('Komisyon Tarifeleri'!N241="","",'Komisyon Tarifeleri'!N241))</f>
        <v/>
      </c>
      <c r="T241" s="11">
        <f>IF(S241="","",IF($AM$1=2,'Komisyon Tarifeleri'!X241,'Komisyon Tarifeleri'!S241))</f>
        <v/>
      </c>
      <c r="U241" s="10">
        <f>IF(OR(S241="",$D241=""),"",S241*(1-T241/100)-$D241-IF(S241&lt;=199.99,Kargo!$E$2,IF(S241&lt;=399.99,Kargo!$E$3,$F241)))</f>
        <v/>
      </c>
      <c r="V241" s="12">
        <f>IF(U241="","",U241/S241)</f>
        <v/>
      </c>
      <c r="W241" s="12">
        <f>IF($B241="","",IFERROR(VLOOKUP($C241,Hedefler!$A:$C,2,FALSE),0.04))</f>
        <v/>
      </c>
      <c r="X241" s="12">
        <f>IF($B241="","",IFERROR(VLOOKUP($C241,Hedefler!$A:$C,3,FALSE),0.1))</f>
        <v/>
      </c>
      <c r="Y241" s="13">
        <f>IF($B241="","",IFERROR(VLOOKUP($B241,Maliyetler!$A:$E,5,FALSE),""))</f>
        <v/>
      </c>
      <c r="Z241" s="13">
        <f>IF(OR(Y241="",Y241=0),"",Y241-1)</f>
        <v/>
      </c>
      <c r="AA241" s="14">
        <f>IF(Z241="","",IF(Z241&gt;='Komisyon Tarifeleri'!I241,IF($AM$1=2,'Komisyon Tarifeleri'!U241,'Komisyon Tarifeleri'!P241),IF(Z241&gt;='Komisyon Tarifeleri'!K241,IF($AM$1=2,'Komisyon Tarifeleri'!V241,'Komisyon Tarifeleri'!Q241),IF(Z241&gt;='Komisyon Tarifeleri'!M241,IF($AM$1=2,'Komisyon Tarifeleri'!W241,'Komisyon Tarifeleri'!R241),IF($AM$1=2,'Komisyon Tarifeleri'!X241,'Komisyon Tarifeleri'!S241)))))</f>
        <v/>
      </c>
      <c r="AB241" s="13">
        <f>IF(OR(AA241="",$D241=""),"",Z241*(1-AA241/100)-$D241-IF(Z241&lt;=199.99,Kargo!$E$2,IF(Z241&lt;=399.99,Kargo!$E$3,$F241)))</f>
        <v/>
      </c>
      <c r="AC241" s="15">
        <f>IF(AB241="","",AB241/Z241)</f>
        <v/>
      </c>
      <c r="AD241" s="10">
        <f>IF(OR($D241="",$B241=""),"",IF(AND((1-T241/100-W241)&gt;0,CEILING(($D241+$F241)/(1-T241/100-W241),1)&lt;='Komisyon Tarifeleri'!N241),CEILING(($D241+$F241)/(1-T241/100-W241),1),IF(AND((1-P241/100-W241)&gt;0,CEILING(MAX('Komisyon Tarifeleri'!M241,($D241+$F241)/(1-P241/100-W241)),1)&lt;='Komisyon Tarifeleri'!L241),CEILING(MAX('Komisyon Tarifeleri'!M241,($D241+$F241)/(1-P241/100-W241)),1),IF(AND((1-L241/100-W241)&gt;0,CEILING(MAX('Komisyon Tarifeleri'!K241,($D241+$F241)/(1-L241/100-W241)),1)&lt;='Komisyon Tarifeleri'!J241),CEILING(MAX('Komisyon Tarifeleri'!K241,($D241+$F241)/(1-L241/100-W241)),1),IF((1-H241/100-W241)&gt;0,CEILING(MAX('Komisyon Tarifeleri'!I241,($D241+$F241)/(1-H241/100-W241)),1),"İMKÂNSIZ")))))</f>
        <v/>
      </c>
      <c r="AE241" s="10">
        <f>IF(OR($D241="",$B241=""),"",IF(AND((1-T241/100-X241)&gt;0,CEILING(($D241+$F241)/(1-T241/100-X241),1)&lt;='Komisyon Tarifeleri'!N241),CEILING(($D241+$F241)/(1-T241/100-X241),1),IF(AND((1-P241/100-X241)&gt;0,CEILING(MAX('Komisyon Tarifeleri'!M241,($D241+$F241)/(1-P241/100-X241)),1)&lt;='Komisyon Tarifeleri'!L241),CEILING(MAX('Komisyon Tarifeleri'!M241,($D241+$F241)/(1-P241/100-X241)),1),IF(AND((1-L241/100-X241)&gt;0,CEILING(MAX('Komisyon Tarifeleri'!K241,($D241+$F241)/(1-L241/100-X241)),1)&lt;='Komisyon Tarifeleri'!J241),CEILING(MAX('Komisyon Tarifeleri'!K241,($D241+$F241)/(1-L241/100-X241)),1),IF((1-H241/100-X241)&gt;0,CEILING(MAX('Komisyon Tarifeleri'!I241,($D241+$F241)/(1-H241/100-X241)),1),"İMKÂNSIZ")))))</f>
        <v/>
      </c>
      <c r="AF241" s="16">
        <f>IF($D241="","",IF(AND(Y241&lt;&gt;"",AC241&lt;&gt;"",AC241&gt;=W241),Z241,IF(Y241&lt;&gt;"",AD241,AE241)))</f>
        <v/>
      </c>
      <c r="AG241" s="16">
        <f>IF(OR(AF241="",AF241="İMKÂNSIZ"),"",AF241*(1-IF(AF241&gt;='Komisyon Tarifeleri'!I241,IF($AM$1=2,'Komisyon Tarifeleri'!U241,'Komisyon Tarifeleri'!P241),IF(AF241&gt;='Komisyon Tarifeleri'!K241,IF($AM$1=2,'Komisyon Tarifeleri'!V241,'Komisyon Tarifeleri'!Q241),IF(AF241&gt;='Komisyon Tarifeleri'!M241,IF($AM$1=2,'Komisyon Tarifeleri'!W241,'Komisyon Tarifeleri'!R241),IF($AM$1=2,'Komisyon Tarifeleri'!X241,'Komisyon Tarifeleri'!S241))))/100)-$D241-IF(AF241&lt;=199.99,Kargo!$E$2,IF(AF241&lt;=399.99,Kargo!$E$3,$F241)))</f>
        <v/>
      </c>
      <c r="AH241" s="17">
        <f>IF(AG241="","",AG241/AF241)</f>
        <v/>
      </c>
      <c r="AI241" s="18">
        <f>IF($D241="","",IF(Y241="","BUYBOX YOK → hedef kârla min fiyat",IF(AC241&gt;=W241,"✓ BUYBOX ALTINA GİR","BUYBOX ALTI KÂRSIZ → min kârlı fiyat")))</f>
        <v/>
      </c>
      <c r="AJ241" s="10">
        <f>IF($B241="","",IFERROR(VLOOKUP($B241,Maliyetler!$A:$G,6,FALSE),""))</f>
        <v/>
      </c>
      <c r="AK241">
        <f>IF($B241="","",IFERROR(VLOOKUP($B241,Maliyetler!$A:$G,7,FALSE),""))</f>
        <v/>
      </c>
      <c r="AO241" s="21">
        <f>IF($B241="","",IFERROR(VLOOKUP($B241&amp;"",'Plus Tarifeleri'!$C:$Q,11,FALSE),""))</f>
        <v/>
      </c>
      <c r="AP241" s="22">
        <f>IF(AO241="","",IFERROR(IF($AM$1=2,VLOOKUP($B241&amp;"",'Plus Tarifeleri'!$C:$Q,15,FALSE),VLOOKUP($B241&amp;"",'Plus Tarifeleri'!$C:$Q,13,FALSE)),""))</f>
        <v/>
      </c>
      <c r="AQ241" s="21">
        <f>IF(OR(AO241="",AP241="",$D241=""),"",AO241*(1-AP241/100)-$D241-IF(AO241&lt;=199.99,Kargo!$E$2,IF(AO241&lt;=399.99,Kargo!$E$3,$F241)))</f>
        <v/>
      </c>
      <c r="AR241" s="23">
        <f>IF(AQ241="","",AQ241/AO241)</f>
        <v/>
      </c>
      <c r="AS241" s="24">
        <f>IF(OR(AQ241="",AG241=""),"",AQ241-AG241)</f>
        <v/>
      </c>
    </row>
    <row r="242">
      <c r="A242">
        <f>IF('Komisyon Tarifeleri'!A242="","",'Komisyon Tarifeleri'!A242)</f>
        <v/>
      </c>
      <c r="B242">
        <f>IF('Komisyon Tarifeleri'!B242="","",'Komisyon Tarifeleri'!B242&amp;"")</f>
        <v/>
      </c>
      <c r="C242">
        <f>IF($B242="","",'Komisyon Tarifeleri'!F242)</f>
        <v/>
      </c>
      <c r="D242" s="10">
        <f>IF($B242="","",IFERROR(VLOOKUP($B242,Maliyetler!$A:$E,3,FALSE),""))</f>
        <v/>
      </c>
      <c r="E242">
        <f>IF($B242="","",IFERROR(VLOOKUP($B242,Maliyetler!$A:$E,4,FALSE),1))</f>
        <v/>
      </c>
      <c r="F242" s="10">
        <f>IF($B242="","",IFERROR(VLOOKUP(MIN(20,MAX(1,ROUND($E242,0))),Kargo!$A:$B,2,FALSE),99.46))</f>
        <v/>
      </c>
      <c r="G242" s="10">
        <f>IF($B242="","",IF(IF(N('Komisyon Tarifeleri'!AA242)&gt;='Komisyon Tarifeleri'!I242,'Komisyon Tarifeleri'!AA242,'Komisyon Tarifeleri'!I242)="","",IF(N('Komisyon Tarifeleri'!AA242)&gt;='Komisyon Tarifeleri'!I242,'Komisyon Tarifeleri'!AA242,'Komisyon Tarifeleri'!I242)))</f>
        <v/>
      </c>
      <c r="H242" s="11">
        <f>IF(G242="","",IF($AM$1=2,'Komisyon Tarifeleri'!U242,'Komisyon Tarifeleri'!P242))</f>
        <v/>
      </c>
      <c r="I242" s="10">
        <f>IF(OR(G242="",$D242=""),"",G242*(1-H242/100)-$D242-IF(G242&lt;=199.99,Kargo!$E$2,IF(G242&lt;=399.99,Kargo!$E$3,$F242)))</f>
        <v/>
      </c>
      <c r="J242" s="12">
        <f>IF(I242="","",I242/G242)</f>
        <v/>
      </c>
      <c r="K242" s="10">
        <f>IF($B242="","",IF('Komisyon Tarifeleri'!J242="","",'Komisyon Tarifeleri'!J242))</f>
        <v/>
      </c>
      <c r="L242" s="11">
        <f>IF(K242="","",IF($AM$1=2,'Komisyon Tarifeleri'!V242,'Komisyon Tarifeleri'!Q242))</f>
        <v/>
      </c>
      <c r="M242" s="10">
        <f>IF(OR(K242="",$D242=""),"",K242*(1-L242/100)-$D242-IF(K242&lt;=199.99,Kargo!$E$2,IF(K242&lt;=399.99,Kargo!$E$3,$F242)))</f>
        <v/>
      </c>
      <c r="N242" s="12">
        <f>IF(M242="","",M242/K242)</f>
        <v/>
      </c>
      <c r="O242" s="10">
        <f>IF($B242="","",IF('Komisyon Tarifeleri'!L242="","",'Komisyon Tarifeleri'!L242))</f>
        <v/>
      </c>
      <c r="P242" s="11">
        <f>IF(O242="","",IF($AM$1=2,'Komisyon Tarifeleri'!W242,'Komisyon Tarifeleri'!R242))</f>
        <v/>
      </c>
      <c r="Q242" s="10">
        <f>IF(OR(O242="",$D242=""),"",O242*(1-P242/100)-$D242-IF(O242&lt;=199.99,Kargo!$E$2,IF(O242&lt;=399.99,Kargo!$E$3,$F242)))</f>
        <v/>
      </c>
      <c r="R242" s="12">
        <f>IF(Q242="","",Q242/O242)</f>
        <v/>
      </c>
      <c r="S242" s="10">
        <f>IF($B242="","",IF('Komisyon Tarifeleri'!N242="","",'Komisyon Tarifeleri'!N242))</f>
        <v/>
      </c>
      <c r="T242" s="11">
        <f>IF(S242="","",IF($AM$1=2,'Komisyon Tarifeleri'!X242,'Komisyon Tarifeleri'!S242))</f>
        <v/>
      </c>
      <c r="U242" s="10">
        <f>IF(OR(S242="",$D242=""),"",S242*(1-T242/100)-$D242-IF(S242&lt;=199.99,Kargo!$E$2,IF(S242&lt;=399.99,Kargo!$E$3,$F242)))</f>
        <v/>
      </c>
      <c r="V242" s="12">
        <f>IF(U242="","",U242/S242)</f>
        <v/>
      </c>
      <c r="W242" s="12">
        <f>IF($B242="","",IFERROR(VLOOKUP($C242,Hedefler!$A:$C,2,FALSE),0.04))</f>
        <v/>
      </c>
      <c r="X242" s="12">
        <f>IF($B242="","",IFERROR(VLOOKUP($C242,Hedefler!$A:$C,3,FALSE),0.1))</f>
        <v/>
      </c>
      <c r="Y242" s="13">
        <f>IF($B242="","",IFERROR(VLOOKUP($B242,Maliyetler!$A:$E,5,FALSE),""))</f>
        <v/>
      </c>
      <c r="Z242" s="13">
        <f>IF(OR(Y242="",Y242=0),"",Y242-1)</f>
        <v/>
      </c>
      <c r="AA242" s="14">
        <f>IF(Z242="","",IF(Z242&gt;='Komisyon Tarifeleri'!I242,IF($AM$1=2,'Komisyon Tarifeleri'!U242,'Komisyon Tarifeleri'!P242),IF(Z242&gt;='Komisyon Tarifeleri'!K242,IF($AM$1=2,'Komisyon Tarifeleri'!V242,'Komisyon Tarifeleri'!Q242),IF(Z242&gt;='Komisyon Tarifeleri'!M242,IF($AM$1=2,'Komisyon Tarifeleri'!W242,'Komisyon Tarifeleri'!R242),IF($AM$1=2,'Komisyon Tarifeleri'!X242,'Komisyon Tarifeleri'!S242)))))</f>
        <v/>
      </c>
      <c r="AB242" s="13">
        <f>IF(OR(AA242="",$D242=""),"",Z242*(1-AA242/100)-$D242-IF(Z242&lt;=199.99,Kargo!$E$2,IF(Z242&lt;=399.99,Kargo!$E$3,$F242)))</f>
        <v/>
      </c>
      <c r="AC242" s="15">
        <f>IF(AB242="","",AB242/Z242)</f>
        <v/>
      </c>
      <c r="AD242" s="10">
        <f>IF(OR($D242="",$B242=""),"",IF(AND((1-T242/100-W242)&gt;0,CEILING(($D242+$F242)/(1-T242/100-W242),1)&lt;='Komisyon Tarifeleri'!N242),CEILING(($D242+$F242)/(1-T242/100-W242),1),IF(AND((1-P242/100-W242)&gt;0,CEILING(MAX('Komisyon Tarifeleri'!M242,($D242+$F242)/(1-P242/100-W242)),1)&lt;='Komisyon Tarifeleri'!L242),CEILING(MAX('Komisyon Tarifeleri'!M242,($D242+$F242)/(1-P242/100-W242)),1),IF(AND((1-L242/100-W242)&gt;0,CEILING(MAX('Komisyon Tarifeleri'!K242,($D242+$F242)/(1-L242/100-W242)),1)&lt;='Komisyon Tarifeleri'!J242),CEILING(MAX('Komisyon Tarifeleri'!K242,($D242+$F242)/(1-L242/100-W242)),1),IF((1-H242/100-W242)&gt;0,CEILING(MAX('Komisyon Tarifeleri'!I242,($D242+$F242)/(1-H242/100-W242)),1),"İMKÂNSIZ")))))</f>
        <v/>
      </c>
      <c r="AE242" s="10">
        <f>IF(OR($D242="",$B242=""),"",IF(AND((1-T242/100-X242)&gt;0,CEILING(($D242+$F242)/(1-T242/100-X242),1)&lt;='Komisyon Tarifeleri'!N242),CEILING(($D242+$F242)/(1-T242/100-X242),1),IF(AND((1-P242/100-X242)&gt;0,CEILING(MAX('Komisyon Tarifeleri'!M242,($D242+$F242)/(1-P242/100-X242)),1)&lt;='Komisyon Tarifeleri'!L242),CEILING(MAX('Komisyon Tarifeleri'!M242,($D242+$F242)/(1-P242/100-X242)),1),IF(AND((1-L242/100-X242)&gt;0,CEILING(MAX('Komisyon Tarifeleri'!K242,($D242+$F242)/(1-L242/100-X242)),1)&lt;='Komisyon Tarifeleri'!J242),CEILING(MAX('Komisyon Tarifeleri'!K242,($D242+$F242)/(1-L242/100-X242)),1),IF((1-H242/100-X242)&gt;0,CEILING(MAX('Komisyon Tarifeleri'!I242,($D242+$F242)/(1-H242/100-X242)),1),"İMKÂNSIZ")))))</f>
        <v/>
      </c>
      <c r="AF242" s="16">
        <f>IF($D242="","",IF(AND(Y242&lt;&gt;"",AC242&lt;&gt;"",AC242&gt;=W242),Z242,IF(Y242&lt;&gt;"",AD242,AE242)))</f>
        <v/>
      </c>
      <c r="AG242" s="16">
        <f>IF(OR(AF242="",AF242="İMKÂNSIZ"),"",AF242*(1-IF(AF242&gt;='Komisyon Tarifeleri'!I242,IF($AM$1=2,'Komisyon Tarifeleri'!U242,'Komisyon Tarifeleri'!P242),IF(AF242&gt;='Komisyon Tarifeleri'!K242,IF($AM$1=2,'Komisyon Tarifeleri'!V242,'Komisyon Tarifeleri'!Q242),IF(AF242&gt;='Komisyon Tarifeleri'!M242,IF($AM$1=2,'Komisyon Tarifeleri'!W242,'Komisyon Tarifeleri'!R242),IF($AM$1=2,'Komisyon Tarifeleri'!X242,'Komisyon Tarifeleri'!S242))))/100)-$D242-IF(AF242&lt;=199.99,Kargo!$E$2,IF(AF242&lt;=399.99,Kargo!$E$3,$F242)))</f>
        <v/>
      </c>
      <c r="AH242" s="17">
        <f>IF(AG242="","",AG242/AF242)</f>
        <v/>
      </c>
      <c r="AI242" s="18">
        <f>IF($D242="","",IF(Y242="","BUYBOX YOK → hedef kârla min fiyat",IF(AC242&gt;=W242,"✓ BUYBOX ALTINA GİR","BUYBOX ALTI KÂRSIZ → min kârlı fiyat")))</f>
        <v/>
      </c>
      <c r="AJ242" s="10">
        <f>IF($B242="","",IFERROR(VLOOKUP($B242,Maliyetler!$A:$G,6,FALSE),""))</f>
        <v/>
      </c>
      <c r="AK242">
        <f>IF($B242="","",IFERROR(VLOOKUP($B242,Maliyetler!$A:$G,7,FALSE),""))</f>
        <v/>
      </c>
      <c r="AO242" s="21">
        <f>IF($B242="","",IFERROR(VLOOKUP($B242&amp;"",'Plus Tarifeleri'!$C:$Q,11,FALSE),""))</f>
        <v/>
      </c>
      <c r="AP242" s="22">
        <f>IF(AO242="","",IFERROR(IF($AM$1=2,VLOOKUP($B242&amp;"",'Plus Tarifeleri'!$C:$Q,15,FALSE),VLOOKUP($B242&amp;"",'Plus Tarifeleri'!$C:$Q,13,FALSE)),""))</f>
        <v/>
      </c>
      <c r="AQ242" s="21">
        <f>IF(OR(AO242="",AP242="",$D242=""),"",AO242*(1-AP242/100)-$D242-IF(AO242&lt;=199.99,Kargo!$E$2,IF(AO242&lt;=399.99,Kargo!$E$3,$F242)))</f>
        <v/>
      </c>
      <c r="AR242" s="23">
        <f>IF(AQ242="","",AQ242/AO242)</f>
        <v/>
      </c>
      <c r="AS242" s="24">
        <f>IF(OR(AQ242="",AG242=""),"",AQ242-AG242)</f>
        <v/>
      </c>
    </row>
    <row r="243">
      <c r="A243">
        <f>IF('Komisyon Tarifeleri'!A243="","",'Komisyon Tarifeleri'!A243)</f>
        <v/>
      </c>
      <c r="B243">
        <f>IF('Komisyon Tarifeleri'!B243="","",'Komisyon Tarifeleri'!B243&amp;"")</f>
        <v/>
      </c>
      <c r="C243">
        <f>IF($B243="","",'Komisyon Tarifeleri'!F243)</f>
        <v/>
      </c>
      <c r="D243" s="10">
        <f>IF($B243="","",IFERROR(VLOOKUP($B243,Maliyetler!$A:$E,3,FALSE),""))</f>
        <v/>
      </c>
      <c r="E243">
        <f>IF($B243="","",IFERROR(VLOOKUP($B243,Maliyetler!$A:$E,4,FALSE),1))</f>
        <v/>
      </c>
      <c r="F243" s="10">
        <f>IF($B243="","",IFERROR(VLOOKUP(MIN(20,MAX(1,ROUND($E243,0))),Kargo!$A:$B,2,FALSE),99.46))</f>
        <v/>
      </c>
      <c r="G243" s="10">
        <f>IF($B243="","",IF(IF(N('Komisyon Tarifeleri'!AA243)&gt;='Komisyon Tarifeleri'!I243,'Komisyon Tarifeleri'!AA243,'Komisyon Tarifeleri'!I243)="","",IF(N('Komisyon Tarifeleri'!AA243)&gt;='Komisyon Tarifeleri'!I243,'Komisyon Tarifeleri'!AA243,'Komisyon Tarifeleri'!I243)))</f>
        <v/>
      </c>
      <c r="H243" s="11">
        <f>IF(G243="","",IF($AM$1=2,'Komisyon Tarifeleri'!U243,'Komisyon Tarifeleri'!P243))</f>
        <v/>
      </c>
      <c r="I243" s="10">
        <f>IF(OR(G243="",$D243=""),"",G243*(1-H243/100)-$D243-IF(G243&lt;=199.99,Kargo!$E$2,IF(G243&lt;=399.99,Kargo!$E$3,$F243)))</f>
        <v/>
      </c>
      <c r="J243" s="12">
        <f>IF(I243="","",I243/G243)</f>
        <v/>
      </c>
      <c r="K243" s="10">
        <f>IF($B243="","",IF('Komisyon Tarifeleri'!J243="","",'Komisyon Tarifeleri'!J243))</f>
        <v/>
      </c>
      <c r="L243" s="11">
        <f>IF(K243="","",IF($AM$1=2,'Komisyon Tarifeleri'!V243,'Komisyon Tarifeleri'!Q243))</f>
        <v/>
      </c>
      <c r="M243" s="10">
        <f>IF(OR(K243="",$D243=""),"",K243*(1-L243/100)-$D243-IF(K243&lt;=199.99,Kargo!$E$2,IF(K243&lt;=399.99,Kargo!$E$3,$F243)))</f>
        <v/>
      </c>
      <c r="N243" s="12">
        <f>IF(M243="","",M243/K243)</f>
        <v/>
      </c>
      <c r="O243" s="10">
        <f>IF($B243="","",IF('Komisyon Tarifeleri'!L243="","",'Komisyon Tarifeleri'!L243))</f>
        <v/>
      </c>
      <c r="P243" s="11">
        <f>IF(O243="","",IF($AM$1=2,'Komisyon Tarifeleri'!W243,'Komisyon Tarifeleri'!R243))</f>
        <v/>
      </c>
      <c r="Q243" s="10">
        <f>IF(OR(O243="",$D243=""),"",O243*(1-P243/100)-$D243-IF(O243&lt;=199.99,Kargo!$E$2,IF(O243&lt;=399.99,Kargo!$E$3,$F243)))</f>
        <v/>
      </c>
      <c r="R243" s="12">
        <f>IF(Q243="","",Q243/O243)</f>
        <v/>
      </c>
      <c r="S243" s="10">
        <f>IF($B243="","",IF('Komisyon Tarifeleri'!N243="","",'Komisyon Tarifeleri'!N243))</f>
        <v/>
      </c>
      <c r="T243" s="11">
        <f>IF(S243="","",IF($AM$1=2,'Komisyon Tarifeleri'!X243,'Komisyon Tarifeleri'!S243))</f>
        <v/>
      </c>
      <c r="U243" s="10">
        <f>IF(OR(S243="",$D243=""),"",S243*(1-T243/100)-$D243-IF(S243&lt;=199.99,Kargo!$E$2,IF(S243&lt;=399.99,Kargo!$E$3,$F243)))</f>
        <v/>
      </c>
      <c r="V243" s="12">
        <f>IF(U243="","",U243/S243)</f>
        <v/>
      </c>
      <c r="W243" s="12">
        <f>IF($B243="","",IFERROR(VLOOKUP($C243,Hedefler!$A:$C,2,FALSE),0.04))</f>
        <v/>
      </c>
      <c r="X243" s="12">
        <f>IF($B243="","",IFERROR(VLOOKUP($C243,Hedefler!$A:$C,3,FALSE),0.1))</f>
        <v/>
      </c>
      <c r="Y243" s="13">
        <f>IF($B243="","",IFERROR(VLOOKUP($B243,Maliyetler!$A:$E,5,FALSE),""))</f>
        <v/>
      </c>
      <c r="Z243" s="13">
        <f>IF(OR(Y243="",Y243=0),"",Y243-1)</f>
        <v/>
      </c>
      <c r="AA243" s="14">
        <f>IF(Z243="","",IF(Z243&gt;='Komisyon Tarifeleri'!I243,IF($AM$1=2,'Komisyon Tarifeleri'!U243,'Komisyon Tarifeleri'!P243),IF(Z243&gt;='Komisyon Tarifeleri'!K243,IF($AM$1=2,'Komisyon Tarifeleri'!V243,'Komisyon Tarifeleri'!Q243),IF(Z243&gt;='Komisyon Tarifeleri'!M243,IF($AM$1=2,'Komisyon Tarifeleri'!W243,'Komisyon Tarifeleri'!R243),IF($AM$1=2,'Komisyon Tarifeleri'!X243,'Komisyon Tarifeleri'!S243)))))</f>
        <v/>
      </c>
      <c r="AB243" s="13">
        <f>IF(OR(AA243="",$D243=""),"",Z243*(1-AA243/100)-$D243-IF(Z243&lt;=199.99,Kargo!$E$2,IF(Z243&lt;=399.99,Kargo!$E$3,$F243)))</f>
        <v/>
      </c>
      <c r="AC243" s="15">
        <f>IF(AB243="","",AB243/Z243)</f>
        <v/>
      </c>
      <c r="AD243" s="10">
        <f>IF(OR($D243="",$B243=""),"",IF(AND((1-T243/100-W243)&gt;0,CEILING(($D243+$F243)/(1-T243/100-W243),1)&lt;='Komisyon Tarifeleri'!N243),CEILING(($D243+$F243)/(1-T243/100-W243),1),IF(AND((1-P243/100-W243)&gt;0,CEILING(MAX('Komisyon Tarifeleri'!M243,($D243+$F243)/(1-P243/100-W243)),1)&lt;='Komisyon Tarifeleri'!L243),CEILING(MAX('Komisyon Tarifeleri'!M243,($D243+$F243)/(1-P243/100-W243)),1),IF(AND((1-L243/100-W243)&gt;0,CEILING(MAX('Komisyon Tarifeleri'!K243,($D243+$F243)/(1-L243/100-W243)),1)&lt;='Komisyon Tarifeleri'!J243),CEILING(MAX('Komisyon Tarifeleri'!K243,($D243+$F243)/(1-L243/100-W243)),1),IF((1-H243/100-W243)&gt;0,CEILING(MAX('Komisyon Tarifeleri'!I243,($D243+$F243)/(1-H243/100-W243)),1),"İMKÂNSIZ")))))</f>
        <v/>
      </c>
      <c r="AE243" s="10">
        <f>IF(OR($D243="",$B243=""),"",IF(AND((1-T243/100-X243)&gt;0,CEILING(($D243+$F243)/(1-T243/100-X243),1)&lt;='Komisyon Tarifeleri'!N243),CEILING(($D243+$F243)/(1-T243/100-X243),1),IF(AND((1-P243/100-X243)&gt;0,CEILING(MAX('Komisyon Tarifeleri'!M243,($D243+$F243)/(1-P243/100-X243)),1)&lt;='Komisyon Tarifeleri'!L243),CEILING(MAX('Komisyon Tarifeleri'!M243,($D243+$F243)/(1-P243/100-X243)),1),IF(AND((1-L243/100-X243)&gt;0,CEILING(MAX('Komisyon Tarifeleri'!K243,($D243+$F243)/(1-L243/100-X243)),1)&lt;='Komisyon Tarifeleri'!J243),CEILING(MAX('Komisyon Tarifeleri'!K243,($D243+$F243)/(1-L243/100-X243)),1),IF((1-H243/100-X243)&gt;0,CEILING(MAX('Komisyon Tarifeleri'!I243,($D243+$F243)/(1-H243/100-X243)),1),"İMKÂNSIZ")))))</f>
        <v/>
      </c>
      <c r="AF243" s="16">
        <f>IF($D243="","",IF(AND(Y243&lt;&gt;"",AC243&lt;&gt;"",AC243&gt;=W243),Z243,IF(Y243&lt;&gt;"",AD243,AE243)))</f>
        <v/>
      </c>
      <c r="AG243" s="16">
        <f>IF(OR(AF243="",AF243="İMKÂNSIZ"),"",AF243*(1-IF(AF243&gt;='Komisyon Tarifeleri'!I243,IF($AM$1=2,'Komisyon Tarifeleri'!U243,'Komisyon Tarifeleri'!P243),IF(AF243&gt;='Komisyon Tarifeleri'!K243,IF($AM$1=2,'Komisyon Tarifeleri'!V243,'Komisyon Tarifeleri'!Q243),IF(AF243&gt;='Komisyon Tarifeleri'!M243,IF($AM$1=2,'Komisyon Tarifeleri'!W243,'Komisyon Tarifeleri'!R243),IF($AM$1=2,'Komisyon Tarifeleri'!X243,'Komisyon Tarifeleri'!S243))))/100)-$D243-IF(AF243&lt;=199.99,Kargo!$E$2,IF(AF243&lt;=399.99,Kargo!$E$3,$F243)))</f>
        <v/>
      </c>
      <c r="AH243" s="17">
        <f>IF(AG243="","",AG243/AF243)</f>
        <v/>
      </c>
      <c r="AI243" s="18">
        <f>IF($D243="","",IF(Y243="","BUYBOX YOK → hedef kârla min fiyat",IF(AC243&gt;=W243,"✓ BUYBOX ALTINA GİR","BUYBOX ALTI KÂRSIZ → min kârlı fiyat")))</f>
        <v/>
      </c>
      <c r="AJ243" s="10">
        <f>IF($B243="","",IFERROR(VLOOKUP($B243,Maliyetler!$A:$G,6,FALSE),""))</f>
        <v/>
      </c>
      <c r="AK243">
        <f>IF($B243="","",IFERROR(VLOOKUP($B243,Maliyetler!$A:$G,7,FALSE),""))</f>
        <v/>
      </c>
      <c r="AO243" s="21">
        <f>IF($B243="","",IFERROR(VLOOKUP($B243&amp;"",'Plus Tarifeleri'!$C:$Q,11,FALSE),""))</f>
        <v/>
      </c>
      <c r="AP243" s="22">
        <f>IF(AO243="","",IFERROR(IF($AM$1=2,VLOOKUP($B243&amp;"",'Plus Tarifeleri'!$C:$Q,15,FALSE),VLOOKUP($B243&amp;"",'Plus Tarifeleri'!$C:$Q,13,FALSE)),""))</f>
        <v/>
      </c>
      <c r="AQ243" s="21">
        <f>IF(OR(AO243="",AP243="",$D243=""),"",AO243*(1-AP243/100)-$D243-IF(AO243&lt;=199.99,Kargo!$E$2,IF(AO243&lt;=399.99,Kargo!$E$3,$F243)))</f>
        <v/>
      </c>
      <c r="AR243" s="23">
        <f>IF(AQ243="","",AQ243/AO243)</f>
        <v/>
      </c>
      <c r="AS243" s="24">
        <f>IF(OR(AQ243="",AG243=""),"",AQ243-AG243)</f>
        <v/>
      </c>
    </row>
    <row r="244">
      <c r="A244">
        <f>IF('Komisyon Tarifeleri'!A244="","",'Komisyon Tarifeleri'!A244)</f>
        <v/>
      </c>
      <c r="B244">
        <f>IF('Komisyon Tarifeleri'!B244="","",'Komisyon Tarifeleri'!B244&amp;"")</f>
        <v/>
      </c>
      <c r="C244">
        <f>IF($B244="","",'Komisyon Tarifeleri'!F244)</f>
        <v/>
      </c>
      <c r="D244" s="10">
        <f>IF($B244="","",IFERROR(VLOOKUP($B244,Maliyetler!$A:$E,3,FALSE),""))</f>
        <v/>
      </c>
      <c r="E244">
        <f>IF($B244="","",IFERROR(VLOOKUP($B244,Maliyetler!$A:$E,4,FALSE),1))</f>
        <v/>
      </c>
      <c r="F244" s="10">
        <f>IF($B244="","",IFERROR(VLOOKUP(MIN(20,MAX(1,ROUND($E244,0))),Kargo!$A:$B,2,FALSE),99.46))</f>
        <v/>
      </c>
      <c r="G244" s="10">
        <f>IF($B244="","",IF(IF(N('Komisyon Tarifeleri'!AA244)&gt;='Komisyon Tarifeleri'!I244,'Komisyon Tarifeleri'!AA244,'Komisyon Tarifeleri'!I244)="","",IF(N('Komisyon Tarifeleri'!AA244)&gt;='Komisyon Tarifeleri'!I244,'Komisyon Tarifeleri'!AA244,'Komisyon Tarifeleri'!I244)))</f>
        <v/>
      </c>
      <c r="H244" s="11">
        <f>IF(G244="","",IF($AM$1=2,'Komisyon Tarifeleri'!U244,'Komisyon Tarifeleri'!P244))</f>
        <v/>
      </c>
      <c r="I244" s="10">
        <f>IF(OR(G244="",$D244=""),"",G244*(1-H244/100)-$D244-IF(G244&lt;=199.99,Kargo!$E$2,IF(G244&lt;=399.99,Kargo!$E$3,$F244)))</f>
        <v/>
      </c>
      <c r="J244" s="12">
        <f>IF(I244="","",I244/G244)</f>
        <v/>
      </c>
      <c r="K244" s="10">
        <f>IF($B244="","",IF('Komisyon Tarifeleri'!J244="","",'Komisyon Tarifeleri'!J244))</f>
        <v/>
      </c>
      <c r="L244" s="11">
        <f>IF(K244="","",IF($AM$1=2,'Komisyon Tarifeleri'!V244,'Komisyon Tarifeleri'!Q244))</f>
        <v/>
      </c>
      <c r="M244" s="10">
        <f>IF(OR(K244="",$D244=""),"",K244*(1-L244/100)-$D244-IF(K244&lt;=199.99,Kargo!$E$2,IF(K244&lt;=399.99,Kargo!$E$3,$F244)))</f>
        <v/>
      </c>
      <c r="N244" s="12">
        <f>IF(M244="","",M244/K244)</f>
        <v/>
      </c>
      <c r="O244" s="10">
        <f>IF($B244="","",IF('Komisyon Tarifeleri'!L244="","",'Komisyon Tarifeleri'!L244))</f>
        <v/>
      </c>
      <c r="P244" s="11">
        <f>IF(O244="","",IF($AM$1=2,'Komisyon Tarifeleri'!W244,'Komisyon Tarifeleri'!R244))</f>
        <v/>
      </c>
      <c r="Q244" s="10">
        <f>IF(OR(O244="",$D244=""),"",O244*(1-P244/100)-$D244-IF(O244&lt;=199.99,Kargo!$E$2,IF(O244&lt;=399.99,Kargo!$E$3,$F244)))</f>
        <v/>
      </c>
      <c r="R244" s="12">
        <f>IF(Q244="","",Q244/O244)</f>
        <v/>
      </c>
      <c r="S244" s="10">
        <f>IF($B244="","",IF('Komisyon Tarifeleri'!N244="","",'Komisyon Tarifeleri'!N244))</f>
        <v/>
      </c>
      <c r="T244" s="11">
        <f>IF(S244="","",IF($AM$1=2,'Komisyon Tarifeleri'!X244,'Komisyon Tarifeleri'!S244))</f>
        <v/>
      </c>
      <c r="U244" s="10">
        <f>IF(OR(S244="",$D244=""),"",S244*(1-T244/100)-$D244-IF(S244&lt;=199.99,Kargo!$E$2,IF(S244&lt;=399.99,Kargo!$E$3,$F244)))</f>
        <v/>
      </c>
      <c r="V244" s="12">
        <f>IF(U244="","",U244/S244)</f>
        <v/>
      </c>
      <c r="W244" s="12">
        <f>IF($B244="","",IFERROR(VLOOKUP($C244,Hedefler!$A:$C,2,FALSE),0.04))</f>
        <v/>
      </c>
      <c r="X244" s="12">
        <f>IF($B244="","",IFERROR(VLOOKUP($C244,Hedefler!$A:$C,3,FALSE),0.1))</f>
        <v/>
      </c>
      <c r="Y244" s="13">
        <f>IF($B244="","",IFERROR(VLOOKUP($B244,Maliyetler!$A:$E,5,FALSE),""))</f>
        <v/>
      </c>
      <c r="Z244" s="13">
        <f>IF(OR(Y244="",Y244=0),"",Y244-1)</f>
        <v/>
      </c>
      <c r="AA244" s="14">
        <f>IF(Z244="","",IF(Z244&gt;='Komisyon Tarifeleri'!I244,IF($AM$1=2,'Komisyon Tarifeleri'!U244,'Komisyon Tarifeleri'!P244),IF(Z244&gt;='Komisyon Tarifeleri'!K244,IF($AM$1=2,'Komisyon Tarifeleri'!V244,'Komisyon Tarifeleri'!Q244),IF(Z244&gt;='Komisyon Tarifeleri'!M244,IF($AM$1=2,'Komisyon Tarifeleri'!W244,'Komisyon Tarifeleri'!R244),IF($AM$1=2,'Komisyon Tarifeleri'!X244,'Komisyon Tarifeleri'!S244)))))</f>
        <v/>
      </c>
      <c r="AB244" s="13">
        <f>IF(OR(AA244="",$D244=""),"",Z244*(1-AA244/100)-$D244-IF(Z244&lt;=199.99,Kargo!$E$2,IF(Z244&lt;=399.99,Kargo!$E$3,$F244)))</f>
        <v/>
      </c>
      <c r="AC244" s="15">
        <f>IF(AB244="","",AB244/Z244)</f>
        <v/>
      </c>
      <c r="AD244" s="10">
        <f>IF(OR($D244="",$B244=""),"",IF(AND((1-T244/100-W244)&gt;0,CEILING(($D244+$F244)/(1-T244/100-W244),1)&lt;='Komisyon Tarifeleri'!N244),CEILING(($D244+$F244)/(1-T244/100-W244),1),IF(AND((1-P244/100-W244)&gt;0,CEILING(MAX('Komisyon Tarifeleri'!M244,($D244+$F244)/(1-P244/100-W244)),1)&lt;='Komisyon Tarifeleri'!L244),CEILING(MAX('Komisyon Tarifeleri'!M244,($D244+$F244)/(1-P244/100-W244)),1),IF(AND((1-L244/100-W244)&gt;0,CEILING(MAX('Komisyon Tarifeleri'!K244,($D244+$F244)/(1-L244/100-W244)),1)&lt;='Komisyon Tarifeleri'!J244),CEILING(MAX('Komisyon Tarifeleri'!K244,($D244+$F244)/(1-L244/100-W244)),1),IF((1-H244/100-W244)&gt;0,CEILING(MAX('Komisyon Tarifeleri'!I244,($D244+$F244)/(1-H244/100-W244)),1),"İMKÂNSIZ")))))</f>
        <v/>
      </c>
      <c r="AE244" s="10">
        <f>IF(OR($D244="",$B244=""),"",IF(AND((1-T244/100-X244)&gt;0,CEILING(($D244+$F244)/(1-T244/100-X244),1)&lt;='Komisyon Tarifeleri'!N244),CEILING(($D244+$F244)/(1-T244/100-X244),1),IF(AND((1-P244/100-X244)&gt;0,CEILING(MAX('Komisyon Tarifeleri'!M244,($D244+$F244)/(1-P244/100-X244)),1)&lt;='Komisyon Tarifeleri'!L244),CEILING(MAX('Komisyon Tarifeleri'!M244,($D244+$F244)/(1-P244/100-X244)),1),IF(AND((1-L244/100-X244)&gt;0,CEILING(MAX('Komisyon Tarifeleri'!K244,($D244+$F244)/(1-L244/100-X244)),1)&lt;='Komisyon Tarifeleri'!J244),CEILING(MAX('Komisyon Tarifeleri'!K244,($D244+$F244)/(1-L244/100-X244)),1),IF((1-H244/100-X244)&gt;0,CEILING(MAX('Komisyon Tarifeleri'!I244,($D244+$F244)/(1-H244/100-X244)),1),"İMKÂNSIZ")))))</f>
        <v/>
      </c>
      <c r="AF244" s="16">
        <f>IF($D244="","",IF(AND(Y244&lt;&gt;"",AC244&lt;&gt;"",AC244&gt;=W244),Z244,IF(Y244&lt;&gt;"",AD244,AE244)))</f>
        <v/>
      </c>
      <c r="AG244" s="16">
        <f>IF(OR(AF244="",AF244="İMKÂNSIZ"),"",AF244*(1-IF(AF244&gt;='Komisyon Tarifeleri'!I244,IF($AM$1=2,'Komisyon Tarifeleri'!U244,'Komisyon Tarifeleri'!P244),IF(AF244&gt;='Komisyon Tarifeleri'!K244,IF($AM$1=2,'Komisyon Tarifeleri'!V244,'Komisyon Tarifeleri'!Q244),IF(AF244&gt;='Komisyon Tarifeleri'!M244,IF($AM$1=2,'Komisyon Tarifeleri'!W244,'Komisyon Tarifeleri'!R244),IF($AM$1=2,'Komisyon Tarifeleri'!X244,'Komisyon Tarifeleri'!S244))))/100)-$D244-IF(AF244&lt;=199.99,Kargo!$E$2,IF(AF244&lt;=399.99,Kargo!$E$3,$F244)))</f>
        <v/>
      </c>
      <c r="AH244" s="17">
        <f>IF(AG244="","",AG244/AF244)</f>
        <v/>
      </c>
      <c r="AI244" s="18">
        <f>IF($D244="","",IF(Y244="","BUYBOX YOK → hedef kârla min fiyat",IF(AC244&gt;=W244,"✓ BUYBOX ALTINA GİR","BUYBOX ALTI KÂRSIZ → min kârlı fiyat")))</f>
        <v/>
      </c>
      <c r="AJ244" s="10">
        <f>IF($B244="","",IFERROR(VLOOKUP($B244,Maliyetler!$A:$G,6,FALSE),""))</f>
        <v/>
      </c>
      <c r="AK244">
        <f>IF($B244="","",IFERROR(VLOOKUP($B244,Maliyetler!$A:$G,7,FALSE),""))</f>
        <v/>
      </c>
      <c r="AO244" s="21">
        <f>IF($B244="","",IFERROR(VLOOKUP($B244&amp;"",'Plus Tarifeleri'!$C:$Q,11,FALSE),""))</f>
        <v/>
      </c>
      <c r="AP244" s="22">
        <f>IF(AO244="","",IFERROR(IF($AM$1=2,VLOOKUP($B244&amp;"",'Plus Tarifeleri'!$C:$Q,15,FALSE),VLOOKUP($B244&amp;"",'Plus Tarifeleri'!$C:$Q,13,FALSE)),""))</f>
        <v/>
      </c>
      <c r="AQ244" s="21">
        <f>IF(OR(AO244="",AP244="",$D244=""),"",AO244*(1-AP244/100)-$D244-IF(AO244&lt;=199.99,Kargo!$E$2,IF(AO244&lt;=399.99,Kargo!$E$3,$F244)))</f>
        <v/>
      </c>
      <c r="AR244" s="23">
        <f>IF(AQ244="","",AQ244/AO244)</f>
        <v/>
      </c>
      <c r="AS244" s="24">
        <f>IF(OR(AQ244="",AG244=""),"",AQ244-AG244)</f>
        <v/>
      </c>
    </row>
    <row r="245">
      <c r="A245">
        <f>IF('Komisyon Tarifeleri'!A245="","",'Komisyon Tarifeleri'!A245)</f>
        <v/>
      </c>
      <c r="B245">
        <f>IF('Komisyon Tarifeleri'!B245="","",'Komisyon Tarifeleri'!B245&amp;"")</f>
        <v/>
      </c>
      <c r="C245">
        <f>IF($B245="","",'Komisyon Tarifeleri'!F245)</f>
        <v/>
      </c>
      <c r="D245" s="10">
        <f>IF($B245="","",IFERROR(VLOOKUP($B245,Maliyetler!$A:$E,3,FALSE),""))</f>
        <v/>
      </c>
      <c r="E245">
        <f>IF($B245="","",IFERROR(VLOOKUP($B245,Maliyetler!$A:$E,4,FALSE),1))</f>
        <v/>
      </c>
      <c r="F245" s="10">
        <f>IF($B245="","",IFERROR(VLOOKUP(MIN(20,MAX(1,ROUND($E245,0))),Kargo!$A:$B,2,FALSE),99.46))</f>
        <v/>
      </c>
      <c r="G245" s="10">
        <f>IF($B245="","",IF(IF(N('Komisyon Tarifeleri'!AA245)&gt;='Komisyon Tarifeleri'!I245,'Komisyon Tarifeleri'!AA245,'Komisyon Tarifeleri'!I245)="","",IF(N('Komisyon Tarifeleri'!AA245)&gt;='Komisyon Tarifeleri'!I245,'Komisyon Tarifeleri'!AA245,'Komisyon Tarifeleri'!I245)))</f>
        <v/>
      </c>
      <c r="H245" s="11">
        <f>IF(G245="","",IF($AM$1=2,'Komisyon Tarifeleri'!U245,'Komisyon Tarifeleri'!P245))</f>
        <v/>
      </c>
      <c r="I245" s="10">
        <f>IF(OR(G245="",$D245=""),"",G245*(1-H245/100)-$D245-IF(G245&lt;=199.99,Kargo!$E$2,IF(G245&lt;=399.99,Kargo!$E$3,$F245)))</f>
        <v/>
      </c>
      <c r="J245" s="12">
        <f>IF(I245="","",I245/G245)</f>
        <v/>
      </c>
      <c r="K245" s="10">
        <f>IF($B245="","",IF('Komisyon Tarifeleri'!J245="","",'Komisyon Tarifeleri'!J245))</f>
        <v/>
      </c>
      <c r="L245" s="11">
        <f>IF(K245="","",IF($AM$1=2,'Komisyon Tarifeleri'!V245,'Komisyon Tarifeleri'!Q245))</f>
        <v/>
      </c>
      <c r="M245" s="10">
        <f>IF(OR(K245="",$D245=""),"",K245*(1-L245/100)-$D245-IF(K245&lt;=199.99,Kargo!$E$2,IF(K245&lt;=399.99,Kargo!$E$3,$F245)))</f>
        <v/>
      </c>
      <c r="N245" s="12">
        <f>IF(M245="","",M245/K245)</f>
        <v/>
      </c>
      <c r="O245" s="10">
        <f>IF($B245="","",IF('Komisyon Tarifeleri'!L245="","",'Komisyon Tarifeleri'!L245))</f>
        <v/>
      </c>
      <c r="P245" s="11">
        <f>IF(O245="","",IF($AM$1=2,'Komisyon Tarifeleri'!W245,'Komisyon Tarifeleri'!R245))</f>
        <v/>
      </c>
      <c r="Q245" s="10">
        <f>IF(OR(O245="",$D245=""),"",O245*(1-P245/100)-$D245-IF(O245&lt;=199.99,Kargo!$E$2,IF(O245&lt;=399.99,Kargo!$E$3,$F245)))</f>
        <v/>
      </c>
      <c r="R245" s="12">
        <f>IF(Q245="","",Q245/O245)</f>
        <v/>
      </c>
      <c r="S245" s="10">
        <f>IF($B245="","",IF('Komisyon Tarifeleri'!N245="","",'Komisyon Tarifeleri'!N245))</f>
        <v/>
      </c>
      <c r="T245" s="11">
        <f>IF(S245="","",IF($AM$1=2,'Komisyon Tarifeleri'!X245,'Komisyon Tarifeleri'!S245))</f>
        <v/>
      </c>
      <c r="U245" s="10">
        <f>IF(OR(S245="",$D245=""),"",S245*(1-T245/100)-$D245-IF(S245&lt;=199.99,Kargo!$E$2,IF(S245&lt;=399.99,Kargo!$E$3,$F245)))</f>
        <v/>
      </c>
      <c r="V245" s="12">
        <f>IF(U245="","",U245/S245)</f>
        <v/>
      </c>
      <c r="W245" s="12">
        <f>IF($B245="","",IFERROR(VLOOKUP($C245,Hedefler!$A:$C,2,FALSE),0.04))</f>
        <v/>
      </c>
      <c r="X245" s="12">
        <f>IF($B245="","",IFERROR(VLOOKUP($C245,Hedefler!$A:$C,3,FALSE),0.1))</f>
        <v/>
      </c>
      <c r="Y245" s="13">
        <f>IF($B245="","",IFERROR(VLOOKUP($B245,Maliyetler!$A:$E,5,FALSE),""))</f>
        <v/>
      </c>
      <c r="Z245" s="13">
        <f>IF(OR(Y245="",Y245=0),"",Y245-1)</f>
        <v/>
      </c>
      <c r="AA245" s="14">
        <f>IF(Z245="","",IF(Z245&gt;='Komisyon Tarifeleri'!I245,IF($AM$1=2,'Komisyon Tarifeleri'!U245,'Komisyon Tarifeleri'!P245),IF(Z245&gt;='Komisyon Tarifeleri'!K245,IF($AM$1=2,'Komisyon Tarifeleri'!V245,'Komisyon Tarifeleri'!Q245),IF(Z245&gt;='Komisyon Tarifeleri'!M245,IF($AM$1=2,'Komisyon Tarifeleri'!W245,'Komisyon Tarifeleri'!R245),IF($AM$1=2,'Komisyon Tarifeleri'!X245,'Komisyon Tarifeleri'!S245)))))</f>
        <v/>
      </c>
      <c r="AB245" s="13">
        <f>IF(OR(AA245="",$D245=""),"",Z245*(1-AA245/100)-$D245-IF(Z245&lt;=199.99,Kargo!$E$2,IF(Z245&lt;=399.99,Kargo!$E$3,$F245)))</f>
        <v/>
      </c>
      <c r="AC245" s="15">
        <f>IF(AB245="","",AB245/Z245)</f>
        <v/>
      </c>
      <c r="AD245" s="10">
        <f>IF(OR($D245="",$B245=""),"",IF(AND((1-T245/100-W245)&gt;0,CEILING(($D245+$F245)/(1-T245/100-W245),1)&lt;='Komisyon Tarifeleri'!N245),CEILING(($D245+$F245)/(1-T245/100-W245),1),IF(AND((1-P245/100-W245)&gt;0,CEILING(MAX('Komisyon Tarifeleri'!M245,($D245+$F245)/(1-P245/100-W245)),1)&lt;='Komisyon Tarifeleri'!L245),CEILING(MAX('Komisyon Tarifeleri'!M245,($D245+$F245)/(1-P245/100-W245)),1),IF(AND((1-L245/100-W245)&gt;0,CEILING(MAX('Komisyon Tarifeleri'!K245,($D245+$F245)/(1-L245/100-W245)),1)&lt;='Komisyon Tarifeleri'!J245),CEILING(MAX('Komisyon Tarifeleri'!K245,($D245+$F245)/(1-L245/100-W245)),1),IF((1-H245/100-W245)&gt;0,CEILING(MAX('Komisyon Tarifeleri'!I245,($D245+$F245)/(1-H245/100-W245)),1),"İMKÂNSIZ")))))</f>
        <v/>
      </c>
      <c r="AE245" s="10">
        <f>IF(OR($D245="",$B245=""),"",IF(AND((1-T245/100-X245)&gt;0,CEILING(($D245+$F245)/(1-T245/100-X245),1)&lt;='Komisyon Tarifeleri'!N245),CEILING(($D245+$F245)/(1-T245/100-X245),1),IF(AND((1-P245/100-X245)&gt;0,CEILING(MAX('Komisyon Tarifeleri'!M245,($D245+$F245)/(1-P245/100-X245)),1)&lt;='Komisyon Tarifeleri'!L245),CEILING(MAX('Komisyon Tarifeleri'!M245,($D245+$F245)/(1-P245/100-X245)),1),IF(AND((1-L245/100-X245)&gt;0,CEILING(MAX('Komisyon Tarifeleri'!K245,($D245+$F245)/(1-L245/100-X245)),1)&lt;='Komisyon Tarifeleri'!J245),CEILING(MAX('Komisyon Tarifeleri'!K245,($D245+$F245)/(1-L245/100-X245)),1),IF((1-H245/100-X245)&gt;0,CEILING(MAX('Komisyon Tarifeleri'!I245,($D245+$F245)/(1-H245/100-X245)),1),"İMKÂNSIZ")))))</f>
        <v/>
      </c>
      <c r="AF245" s="16">
        <f>IF($D245="","",IF(AND(Y245&lt;&gt;"",AC245&lt;&gt;"",AC245&gt;=W245),Z245,IF(Y245&lt;&gt;"",AD245,AE245)))</f>
        <v/>
      </c>
      <c r="AG245" s="16">
        <f>IF(OR(AF245="",AF245="İMKÂNSIZ"),"",AF245*(1-IF(AF245&gt;='Komisyon Tarifeleri'!I245,IF($AM$1=2,'Komisyon Tarifeleri'!U245,'Komisyon Tarifeleri'!P245),IF(AF245&gt;='Komisyon Tarifeleri'!K245,IF($AM$1=2,'Komisyon Tarifeleri'!V245,'Komisyon Tarifeleri'!Q245),IF(AF245&gt;='Komisyon Tarifeleri'!M245,IF($AM$1=2,'Komisyon Tarifeleri'!W245,'Komisyon Tarifeleri'!R245),IF($AM$1=2,'Komisyon Tarifeleri'!X245,'Komisyon Tarifeleri'!S245))))/100)-$D245-IF(AF245&lt;=199.99,Kargo!$E$2,IF(AF245&lt;=399.99,Kargo!$E$3,$F245)))</f>
        <v/>
      </c>
      <c r="AH245" s="17">
        <f>IF(AG245="","",AG245/AF245)</f>
        <v/>
      </c>
      <c r="AI245" s="18">
        <f>IF($D245="","",IF(Y245="","BUYBOX YOK → hedef kârla min fiyat",IF(AC245&gt;=W245,"✓ BUYBOX ALTINA GİR","BUYBOX ALTI KÂRSIZ → min kârlı fiyat")))</f>
        <v/>
      </c>
      <c r="AJ245" s="10">
        <f>IF($B245="","",IFERROR(VLOOKUP($B245,Maliyetler!$A:$G,6,FALSE),""))</f>
        <v/>
      </c>
      <c r="AK245">
        <f>IF($B245="","",IFERROR(VLOOKUP($B245,Maliyetler!$A:$G,7,FALSE),""))</f>
        <v/>
      </c>
      <c r="AO245" s="21">
        <f>IF($B245="","",IFERROR(VLOOKUP($B245&amp;"",'Plus Tarifeleri'!$C:$Q,11,FALSE),""))</f>
        <v/>
      </c>
      <c r="AP245" s="22">
        <f>IF(AO245="","",IFERROR(IF($AM$1=2,VLOOKUP($B245&amp;"",'Plus Tarifeleri'!$C:$Q,15,FALSE),VLOOKUP($B245&amp;"",'Plus Tarifeleri'!$C:$Q,13,FALSE)),""))</f>
        <v/>
      </c>
      <c r="AQ245" s="21">
        <f>IF(OR(AO245="",AP245="",$D245=""),"",AO245*(1-AP245/100)-$D245-IF(AO245&lt;=199.99,Kargo!$E$2,IF(AO245&lt;=399.99,Kargo!$E$3,$F245)))</f>
        <v/>
      </c>
      <c r="AR245" s="23">
        <f>IF(AQ245="","",AQ245/AO245)</f>
        <v/>
      </c>
      <c r="AS245" s="24">
        <f>IF(OR(AQ245="",AG245=""),"",AQ245-AG245)</f>
        <v/>
      </c>
    </row>
    <row r="246">
      <c r="A246">
        <f>IF('Komisyon Tarifeleri'!A246="","",'Komisyon Tarifeleri'!A246)</f>
        <v/>
      </c>
      <c r="B246">
        <f>IF('Komisyon Tarifeleri'!B246="","",'Komisyon Tarifeleri'!B246&amp;"")</f>
        <v/>
      </c>
      <c r="C246">
        <f>IF($B246="","",'Komisyon Tarifeleri'!F246)</f>
        <v/>
      </c>
      <c r="D246" s="10">
        <f>IF($B246="","",IFERROR(VLOOKUP($B246,Maliyetler!$A:$E,3,FALSE),""))</f>
        <v/>
      </c>
      <c r="E246">
        <f>IF($B246="","",IFERROR(VLOOKUP($B246,Maliyetler!$A:$E,4,FALSE),1))</f>
        <v/>
      </c>
      <c r="F246" s="10">
        <f>IF($B246="","",IFERROR(VLOOKUP(MIN(20,MAX(1,ROUND($E246,0))),Kargo!$A:$B,2,FALSE),99.46))</f>
        <v/>
      </c>
      <c r="G246" s="10">
        <f>IF($B246="","",IF(IF(N('Komisyon Tarifeleri'!AA246)&gt;='Komisyon Tarifeleri'!I246,'Komisyon Tarifeleri'!AA246,'Komisyon Tarifeleri'!I246)="","",IF(N('Komisyon Tarifeleri'!AA246)&gt;='Komisyon Tarifeleri'!I246,'Komisyon Tarifeleri'!AA246,'Komisyon Tarifeleri'!I246)))</f>
        <v/>
      </c>
      <c r="H246" s="11">
        <f>IF(G246="","",IF($AM$1=2,'Komisyon Tarifeleri'!U246,'Komisyon Tarifeleri'!P246))</f>
        <v/>
      </c>
      <c r="I246" s="10">
        <f>IF(OR(G246="",$D246=""),"",G246*(1-H246/100)-$D246-IF(G246&lt;=199.99,Kargo!$E$2,IF(G246&lt;=399.99,Kargo!$E$3,$F246)))</f>
        <v/>
      </c>
      <c r="J246" s="12">
        <f>IF(I246="","",I246/G246)</f>
        <v/>
      </c>
      <c r="K246" s="10">
        <f>IF($B246="","",IF('Komisyon Tarifeleri'!J246="","",'Komisyon Tarifeleri'!J246))</f>
        <v/>
      </c>
      <c r="L246" s="11">
        <f>IF(K246="","",IF($AM$1=2,'Komisyon Tarifeleri'!V246,'Komisyon Tarifeleri'!Q246))</f>
        <v/>
      </c>
      <c r="M246" s="10">
        <f>IF(OR(K246="",$D246=""),"",K246*(1-L246/100)-$D246-IF(K246&lt;=199.99,Kargo!$E$2,IF(K246&lt;=399.99,Kargo!$E$3,$F246)))</f>
        <v/>
      </c>
      <c r="N246" s="12">
        <f>IF(M246="","",M246/K246)</f>
        <v/>
      </c>
      <c r="O246" s="10">
        <f>IF($B246="","",IF('Komisyon Tarifeleri'!L246="","",'Komisyon Tarifeleri'!L246))</f>
        <v/>
      </c>
      <c r="P246" s="11">
        <f>IF(O246="","",IF($AM$1=2,'Komisyon Tarifeleri'!W246,'Komisyon Tarifeleri'!R246))</f>
        <v/>
      </c>
      <c r="Q246" s="10">
        <f>IF(OR(O246="",$D246=""),"",O246*(1-P246/100)-$D246-IF(O246&lt;=199.99,Kargo!$E$2,IF(O246&lt;=399.99,Kargo!$E$3,$F246)))</f>
        <v/>
      </c>
      <c r="R246" s="12">
        <f>IF(Q246="","",Q246/O246)</f>
        <v/>
      </c>
      <c r="S246" s="10">
        <f>IF($B246="","",IF('Komisyon Tarifeleri'!N246="","",'Komisyon Tarifeleri'!N246))</f>
        <v/>
      </c>
      <c r="T246" s="11">
        <f>IF(S246="","",IF($AM$1=2,'Komisyon Tarifeleri'!X246,'Komisyon Tarifeleri'!S246))</f>
        <v/>
      </c>
      <c r="U246" s="10">
        <f>IF(OR(S246="",$D246=""),"",S246*(1-T246/100)-$D246-IF(S246&lt;=199.99,Kargo!$E$2,IF(S246&lt;=399.99,Kargo!$E$3,$F246)))</f>
        <v/>
      </c>
      <c r="V246" s="12">
        <f>IF(U246="","",U246/S246)</f>
        <v/>
      </c>
      <c r="W246" s="12">
        <f>IF($B246="","",IFERROR(VLOOKUP($C246,Hedefler!$A:$C,2,FALSE),0.04))</f>
        <v/>
      </c>
      <c r="X246" s="12">
        <f>IF($B246="","",IFERROR(VLOOKUP($C246,Hedefler!$A:$C,3,FALSE),0.1))</f>
        <v/>
      </c>
      <c r="Y246" s="13">
        <f>IF($B246="","",IFERROR(VLOOKUP($B246,Maliyetler!$A:$E,5,FALSE),""))</f>
        <v/>
      </c>
      <c r="Z246" s="13">
        <f>IF(OR(Y246="",Y246=0),"",Y246-1)</f>
        <v/>
      </c>
      <c r="AA246" s="14">
        <f>IF(Z246="","",IF(Z246&gt;='Komisyon Tarifeleri'!I246,IF($AM$1=2,'Komisyon Tarifeleri'!U246,'Komisyon Tarifeleri'!P246),IF(Z246&gt;='Komisyon Tarifeleri'!K246,IF($AM$1=2,'Komisyon Tarifeleri'!V246,'Komisyon Tarifeleri'!Q246),IF(Z246&gt;='Komisyon Tarifeleri'!M246,IF($AM$1=2,'Komisyon Tarifeleri'!W246,'Komisyon Tarifeleri'!R246),IF($AM$1=2,'Komisyon Tarifeleri'!X246,'Komisyon Tarifeleri'!S246)))))</f>
        <v/>
      </c>
      <c r="AB246" s="13">
        <f>IF(OR(AA246="",$D246=""),"",Z246*(1-AA246/100)-$D246-IF(Z246&lt;=199.99,Kargo!$E$2,IF(Z246&lt;=399.99,Kargo!$E$3,$F246)))</f>
        <v/>
      </c>
      <c r="AC246" s="15">
        <f>IF(AB246="","",AB246/Z246)</f>
        <v/>
      </c>
      <c r="AD246" s="10">
        <f>IF(OR($D246="",$B246=""),"",IF(AND((1-T246/100-W246)&gt;0,CEILING(($D246+$F246)/(1-T246/100-W246),1)&lt;='Komisyon Tarifeleri'!N246),CEILING(($D246+$F246)/(1-T246/100-W246),1),IF(AND((1-P246/100-W246)&gt;0,CEILING(MAX('Komisyon Tarifeleri'!M246,($D246+$F246)/(1-P246/100-W246)),1)&lt;='Komisyon Tarifeleri'!L246),CEILING(MAX('Komisyon Tarifeleri'!M246,($D246+$F246)/(1-P246/100-W246)),1),IF(AND((1-L246/100-W246)&gt;0,CEILING(MAX('Komisyon Tarifeleri'!K246,($D246+$F246)/(1-L246/100-W246)),1)&lt;='Komisyon Tarifeleri'!J246),CEILING(MAX('Komisyon Tarifeleri'!K246,($D246+$F246)/(1-L246/100-W246)),1),IF((1-H246/100-W246)&gt;0,CEILING(MAX('Komisyon Tarifeleri'!I246,($D246+$F246)/(1-H246/100-W246)),1),"İMKÂNSIZ")))))</f>
        <v/>
      </c>
      <c r="AE246" s="10">
        <f>IF(OR($D246="",$B246=""),"",IF(AND((1-T246/100-X246)&gt;0,CEILING(($D246+$F246)/(1-T246/100-X246),1)&lt;='Komisyon Tarifeleri'!N246),CEILING(($D246+$F246)/(1-T246/100-X246),1),IF(AND((1-P246/100-X246)&gt;0,CEILING(MAX('Komisyon Tarifeleri'!M246,($D246+$F246)/(1-P246/100-X246)),1)&lt;='Komisyon Tarifeleri'!L246),CEILING(MAX('Komisyon Tarifeleri'!M246,($D246+$F246)/(1-P246/100-X246)),1),IF(AND((1-L246/100-X246)&gt;0,CEILING(MAX('Komisyon Tarifeleri'!K246,($D246+$F246)/(1-L246/100-X246)),1)&lt;='Komisyon Tarifeleri'!J246),CEILING(MAX('Komisyon Tarifeleri'!K246,($D246+$F246)/(1-L246/100-X246)),1),IF((1-H246/100-X246)&gt;0,CEILING(MAX('Komisyon Tarifeleri'!I246,($D246+$F246)/(1-H246/100-X246)),1),"İMKÂNSIZ")))))</f>
        <v/>
      </c>
      <c r="AF246" s="16">
        <f>IF($D246="","",IF(AND(Y246&lt;&gt;"",AC246&lt;&gt;"",AC246&gt;=W246),Z246,IF(Y246&lt;&gt;"",AD246,AE246)))</f>
        <v/>
      </c>
      <c r="AG246" s="16">
        <f>IF(OR(AF246="",AF246="İMKÂNSIZ"),"",AF246*(1-IF(AF246&gt;='Komisyon Tarifeleri'!I246,IF($AM$1=2,'Komisyon Tarifeleri'!U246,'Komisyon Tarifeleri'!P246),IF(AF246&gt;='Komisyon Tarifeleri'!K246,IF($AM$1=2,'Komisyon Tarifeleri'!V246,'Komisyon Tarifeleri'!Q246),IF(AF246&gt;='Komisyon Tarifeleri'!M246,IF($AM$1=2,'Komisyon Tarifeleri'!W246,'Komisyon Tarifeleri'!R246),IF($AM$1=2,'Komisyon Tarifeleri'!X246,'Komisyon Tarifeleri'!S246))))/100)-$D246-IF(AF246&lt;=199.99,Kargo!$E$2,IF(AF246&lt;=399.99,Kargo!$E$3,$F246)))</f>
        <v/>
      </c>
      <c r="AH246" s="17">
        <f>IF(AG246="","",AG246/AF246)</f>
        <v/>
      </c>
      <c r="AI246" s="18">
        <f>IF($D246="","",IF(Y246="","BUYBOX YOK → hedef kârla min fiyat",IF(AC246&gt;=W246,"✓ BUYBOX ALTINA GİR","BUYBOX ALTI KÂRSIZ → min kârlı fiyat")))</f>
        <v/>
      </c>
      <c r="AJ246" s="10">
        <f>IF($B246="","",IFERROR(VLOOKUP($B246,Maliyetler!$A:$G,6,FALSE),""))</f>
        <v/>
      </c>
      <c r="AK246">
        <f>IF($B246="","",IFERROR(VLOOKUP($B246,Maliyetler!$A:$G,7,FALSE),""))</f>
        <v/>
      </c>
      <c r="AO246" s="21">
        <f>IF($B246="","",IFERROR(VLOOKUP($B246&amp;"",'Plus Tarifeleri'!$C:$Q,11,FALSE),""))</f>
        <v/>
      </c>
      <c r="AP246" s="22">
        <f>IF(AO246="","",IFERROR(IF($AM$1=2,VLOOKUP($B246&amp;"",'Plus Tarifeleri'!$C:$Q,15,FALSE),VLOOKUP($B246&amp;"",'Plus Tarifeleri'!$C:$Q,13,FALSE)),""))</f>
        <v/>
      </c>
      <c r="AQ246" s="21">
        <f>IF(OR(AO246="",AP246="",$D246=""),"",AO246*(1-AP246/100)-$D246-IF(AO246&lt;=199.99,Kargo!$E$2,IF(AO246&lt;=399.99,Kargo!$E$3,$F246)))</f>
        <v/>
      </c>
      <c r="AR246" s="23">
        <f>IF(AQ246="","",AQ246/AO246)</f>
        <v/>
      </c>
      <c r="AS246" s="24">
        <f>IF(OR(AQ246="",AG246=""),"",AQ246-AG246)</f>
        <v/>
      </c>
    </row>
    <row r="247">
      <c r="A247">
        <f>IF('Komisyon Tarifeleri'!A247="","",'Komisyon Tarifeleri'!A247)</f>
        <v/>
      </c>
      <c r="B247">
        <f>IF('Komisyon Tarifeleri'!B247="","",'Komisyon Tarifeleri'!B247&amp;"")</f>
        <v/>
      </c>
      <c r="C247">
        <f>IF($B247="","",'Komisyon Tarifeleri'!F247)</f>
        <v/>
      </c>
      <c r="D247" s="10">
        <f>IF($B247="","",IFERROR(VLOOKUP($B247,Maliyetler!$A:$E,3,FALSE),""))</f>
        <v/>
      </c>
      <c r="E247">
        <f>IF($B247="","",IFERROR(VLOOKUP($B247,Maliyetler!$A:$E,4,FALSE),1))</f>
        <v/>
      </c>
      <c r="F247" s="10">
        <f>IF($B247="","",IFERROR(VLOOKUP(MIN(20,MAX(1,ROUND($E247,0))),Kargo!$A:$B,2,FALSE),99.46))</f>
        <v/>
      </c>
      <c r="G247" s="10">
        <f>IF($B247="","",IF(IF(N('Komisyon Tarifeleri'!AA247)&gt;='Komisyon Tarifeleri'!I247,'Komisyon Tarifeleri'!AA247,'Komisyon Tarifeleri'!I247)="","",IF(N('Komisyon Tarifeleri'!AA247)&gt;='Komisyon Tarifeleri'!I247,'Komisyon Tarifeleri'!AA247,'Komisyon Tarifeleri'!I247)))</f>
        <v/>
      </c>
      <c r="H247" s="11">
        <f>IF(G247="","",IF($AM$1=2,'Komisyon Tarifeleri'!U247,'Komisyon Tarifeleri'!P247))</f>
        <v/>
      </c>
      <c r="I247" s="10">
        <f>IF(OR(G247="",$D247=""),"",G247*(1-H247/100)-$D247-IF(G247&lt;=199.99,Kargo!$E$2,IF(G247&lt;=399.99,Kargo!$E$3,$F247)))</f>
        <v/>
      </c>
      <c r="J247" s="12">
        <f>IF(I247="","",I247/G247)</f>
        <v/>
      </c>
      <c r="K247" s="10">
        <f>IF($B247="","",IF('Komisyon Tarifeleri'!J247="","",'Komisyon Tarifeleri'!J247))</f>
        <v/>
      </c>
      <c r="L247" s="11">
        <f>IF(K247="","",IF($AM$1=2,'Komisyon Tarifeleri'!V247,'Komisyon Tarifeleri'!Q247))</f>
        <v/>
      </c>
      <c r="M247" s="10">
        <f>IF(OR(K247="",$D247=""),"",K247*(1-L247/100)-$D247-IF(K247&lt;=199.99,Kargo!$E$2,IF(K247&lt;=399.99,Kargo!$E$3,$F247)))</f>
        <v/>
      </c>
      <c r="N247" s="12">
        <f>IF(M247="","",M247/K247)</f>
        <v/>
      </c>
      <c r="O247" s="10">
        <f>IF($B247="","",IF('Komisyon Tarifeleri'!L247="","",'Komisyon Tarifeleri'!L247))</f>
        <v/>
      </c>
      <c r="P247" s="11">
        <f>IF(O247="","",IF($AM$1=2,'Komisyon Tarifeleri'!W247,'Komisyon Tarifeleri'!R247))</f>
        <v/>
      </c>
      <c r="Q247" s="10">
        <f>IF(OR(O247="",$D247=""),"",O247*(1-P247/100)-$D247-IF(O247&lt;=199.99,Kargo!$E$2,IF(O247&lt;=399.99,Kargo!$E$3,$F247)))</f>
        <v/>
      </c>
      <c r="R247" s="12">
        <f>IF(Q247="","",Q247/O247)</f>
        <v/>
      </c>
      <c r="S247" s="10">
        <f>IF($B247="","",IF('Komisyon Tarifeleri'!N247="","",'Komisyon Tarifeleri'!N247))</f>
        <v/>
      </c>
      <c r="T247" s="11">
        <f>IF(S247="","",IF($AM$1=2,'Komisyon Tarifeleri'!X247,'Komisyon Tarifeleri'!S247))</f>
        <v/>
      </c>
      <c r="U247" s="10">
        <f>IF(OR(S247="",$D247=""),"",S247*(1-T247/100)-$D247-IF(S247&lt;=199.99,Kargo!$E$2,IF(S247&lt;=399.99,Kargo!$E$3,$F247)))</f>
        <v/>
      </c>
      <c r="V247" s="12">
        <f>IF(U247="","",U247/S247)</f>
        <v/>
      </c>
      <c r="W247" s="12">
        <f>IF($B247="","",IFERROR(VLOOKUP($C247,Hedefler!$A:$C,2,FALSE),0.04))</f>
        <v/>
      </c>
      <c r="X247" s="12">
        <f>IF($B247="","",IFERROR(VLOOKUP($C247,Hedefler!$A:$C,3,FALSE),0.1))</f>
        <v/>
      </c>
      <c r="Y247" s="13">
        <f>IF($B247="","",IFERROR(VLOOKUP($B247,Maliyetler!$A:$E,5,FALSE),""))</f>
        <v/>
      </c>
      <c r="Z247" s="13">
        <f>IF(OR(Y247="",Y247=0),"",Y247-1)</f>
        <v/>
      </c>
      <c r="AA247" s="14">
        <f>IF(Z247="","",IF(Z247&gt;='Komisyon Tarifeleri'!I247,IF($AM$1=2,'Komisyon Tarifeleri'!U247,'Komisyon Tarifeleri'!P247),IF(Z247&gt;='Komisyon Tarifeleri'!K247,IF($AM$1=2,'Komisyon Tarifeleri'!V247,'Komisyon Tarifeleri'!Q247),IF(Z247&gt;='Komisyon Tarifeleri'!M247,IF($AM$1=2,'Komisyon Tarifeleri'!W247,'Komisyon Tarifeleri'!R247),IF($AM$1=2,'Komisyon Tarifeleri'!X247,'Komisyon Tarifeleri'!S247)))))</f>
        <v/>
      </c>
      <c r="AB247" s="13">
        <f>IF(OR(AA247="",$D247=""),"",Z247*(1-AA247/100)-$D247-IF(Z247&lt;=199.99,Kargo!$E$2,IF(Z247&lt;=399.99,Kargo!$E$3,$F247)))</f>
        <v/>
      </c>
      <c r="AC247" s="15">
        <f>IF(AB247="","",AB247/Z247)</f>
        <v/>
      </c>
      <c r="AD247" s="10">
        <f>IF(OR($D247="",$B247=""),"",IF(AND((1-T247/100-W247)&gt;0,CEILING(($D247+$F247)/(1-T247/100-W247),1)&lt;='Komisyon Tarifeleri'!N247),CEILING(($D247+$F247)/(1-T247/100-W247),1),IF(AND((1-P247/100-W247)&gt;0,CEILING(MAX('Komisyon Tarifeleri'!M247,($D247+$F247)/(1-P247/100-W247)),1)&lt;='Komisyon Tarifeleri'!L247),CEILING(MAX('Komisyon Tarifeleri'!M247,($D247+$F247)/(1-P247/100-W247)),1),IF(AND((1-L247/100-W247)&gt;0,CEILING(MAX('Komisyon Tarifeleri'!K247,($D247+$F247)/(1-L247/100-W247)),1)&lt;='Komisyon Tarifeleri'!J247),CEILING(MAX('Komisyon Tarifeleri'!K247,($D247+$F247)/(1-L247/100-W247)),1),IF((1-H247/100-W247)&gt;0,CEILING(MAX('Komisyon Tarifeleri'!I247,($D247+$F247)/(1-H247/100-W247)),1),"İMKÂNSIZ")))))</f>
        <v/>
      </c>
      <c r="AE247" s="10">
        <f>IF(OR($D247="",$B247=""),"",IF(AND((1-T247/100-X247)&gt;0,CEILING(($D247+$F247)/(1-T247/100-X247),1)&lt;='Komisyon Tarifeleri'!N247),CEILING(($D247+$F247)/(1-T247/100-X247),1),IF(AND((1-P247/100-X247)&gt;0,CEILING(MAX('Komisyon Tarifeleri'!M247,($D247+$F247)/(1-P247/100-X247)),1)&lt;='Komisyon Tarifeleri'!L247),CEILING(MAX('Komisyon Tarifeleri'!M247,($D247+$F247)/(1-P247/100-X247)),1),IF(AND((1-L247/100-X247)&gt;0,CEILING(MAX('Komisyon Tarifeleri'!K247,($D247+$F247)/(1-L247/100-X247)),1)&lt;='Komisyon Tarifeleri'!J247),CEILING(MAX('Komisyon Tarifeleri'!K247,($D247+$F247)/(1-L247/100-X247)),1),IF((1-H247/100-X247)&gt;0,CEILING(MAX('Komisyon Tarifeleri'!I247,($D247+$F247)/(1-H247/100-X247)),1),"İMKÂNSIZ")))))</f>
        <v/>
      </c>
      <c r="AF247" s="16">
        <f>IF($D247="","",IF(AND(Y247&lt;&gt;"",AC247&lt;&gt;"",AC247&gt;=W247),Z247,IF(Y247&lt;&gt;"",AD247,AE247)))</f>
        <v/>
      </c>
      <c r="AG247" s="16">
        <f>IF(OR(AF247="",AF247="İMKÂNSIZ"),"",AF247*(1-IF(AF247&gt;='Komisyon Tarifeleri'!I247,IF($AM$1=2,'Komisyon Tarifeleri'!U247,'Komisyon Tarifeleri'!P247),IF(AF247&gt;='Komisyon Tarifeleri'!K247,IF($AM$1=2,'Komisyon Tarifeleri'!V247,'Komisyon Tarifeleri'!Q247),IF(AF247&gt;='Komisyon Tarifeleri'!M247,IF($AM$1=2,'Komisyon Tarifeleri'!W247,'Komisyon Tarifeleri'!R247),IF($AM$1=2,'Komisyon Tarifeleri'!X247,'Komisyon Tarifeleri'!S247))))/100)-$D247-IF(AF247&lt;=199.99,Kargo!$E$2,IF(AF247&lt;=399.99,Kargo!$E$3,$F247)))</f>
        <v/>
      </c>
      <c r="AH247" s="17">
        <f>IF(AG247="","",AG247/AF247)</f>
        <v/>
      </c>
      <c r="AI247" s="18">
        <f>IF($D247="","",IF(Y247="","BUYBOX YOK → hedef kârla min fiyat",IF(AC247&gt;=W247,"✓ BUYBOX ALTINA GİR","BUYBOX ALTI KÂRSIZ → min kârlı fiyat")))</f>
        <v/>
      </c>
      <c r="AJ247" s="10">
        <f>IF($B247="","",IFERROR(VLOOKUP($B247,Maliyetler!$A:$G,6,FALSE),""))</f>
        <v/>
      </c>
      <c r="AK247">
        <f>IF($B247="","",IFERROR(VLOOKUP($B247,Maliyetler!$A:$G,7,FALSE),""))</f>
        <v/>
      </c>
      <c r="AO247" s="21">
        <f>IF($B247="","",IFERROR(VLOOKUP($B247&amp;"",'Plus Tarifeleri'!$C:$Q,11,FALSE),""))</f>
        <v/>
      </c>
      <c r="AP247" s="22">
        <f>IF(AO247="","",IFERROR(IF($AM$1=2,VLOOKUP($B247&amp;"",'Plus Tarifeleri'!$C:$Q,15,FALSE),VLOOKUP($B247&amp;"",'Plus Tarifeleri'!$C:$Q,13,FALSE)),""))</f>
        <v/>
      </c>
      <c r="AQ247" s="21">
        <f>IF(OR(AO247="",AP247="",$D247=""),"",AO247*(1-AP247/100)-$D247-IF(AO247&lt;=199.99,Kargo!$E$2,IF(AO247&lt;=399.99,Kargo!$E$3,$F247)))</f>
        <v/>
      </c>
      <c r="AR247" s="23">
        <f>IF(AQ247="","",AQ247/AO247)</f>
        <v/>
      </c>
      <c r="AS247" s="24">
        <f>IF(OR(AQ247="",AG247=""),"",AQ247-AG247)</f>
        <v/>
      </c>
    </row>
    <row r="248">
      <c r="A248">
        <f>IF('Komisyon Tarifeleri'!A248="","",'Komisyon Tarifeleri'!A248)</f>
        <v/>
      </c>
      <c r="B248">
        <f>IF('Komisyon Tarifeleri'!B248="","",'Komisyon Tarifeleri'!B248&amp;"")</f>
        <v/>
      </c>
      <c r="C248">
        <f>IF($B248="","",'Komisyon Tarifeleri'!F248)</f>
        <v/>
      </c>
      <c r="D248" s="10">
        <f>IF($B248="","",IFERROR(VLOOKUP($B248,Maliyetler!$A:$E,3,FALSE),""))</f>
        <v/>
      </c>
      <c r="E248">
        <f>IF($B248="","",IFERROR(VLOOKUP($B248,Maliyetler!$A:$E,4,FALSE),1))</f>
        <v/>
      </c>
      <c r="F248" s="10">
        <f>IF($B248="","",IFERROR(VLOOKUP(MIN(20,MAX(1,ROUND($E248,0))),Kargo!$A:$B,2,FALSE),99.46))</f>
        <v/>
      </c>
      <c r="G248" s="10">
        <f>IF($B248="","",IF(IF(N('Komisyon Tarifeleri'!AA248)&gt;='Komisyon Tarifeleri'!I248,'Komisyon Tarifeleri'!AA248,'Komisyon Tarifeleri'!I248)="","",IF(N('Komisyon Tarifeleri'!AA248)&gt;='Komisyon Tarifeleri'!I248,'Komisyon Tarifeleri'!AA248,'Komisyon Tarifeleri'!I248)))</f>
        <v/>
      </c>
      <c r="H248" s="11">
        <f>IF(G248="","",IF($AM$1=2,'Komisyon Tarifeleri'!U248,'Komisyon Tarifeleri'!P248))</f>
        <v/>
      </c>
      <c r="I248" s="10">
        <f>IF(OR(G248="",$D248=""),"",G248*(1-H248/100)-$D248-IF(G248&lt;=199.99,Kargo!$E$2,IF(G248&lt;=399.99,Kargo!$E$3,$F248)))</f>
        <v/>
      </c>
      <c r="J248" s="12">
        <f>IF(I248="","",I248/G248)</f>
        <v/>
      </c>
      <c r="K248" s="10">
        <f>IF($B248="","",IF('Komisyon Tarifeleri'!J248="","",'Komisyon Tarifeleri'!J248))</f>
        <v/>
      </c>
      <c r="L248" s="11">
        <f>IF(K248="","",IF($AM$1=2,'Komisyon Tarifeleri'!V248,'Komisyon Tarifeleri'!Q248))</f>
        <v/>
      </c>
      <c r="M248" s="10">
        <f>IF(OR(K248="",$D248=""),"",K248*(1-L248/100)-$D248-IF(K248&lt;=199.99,Kargo!$E$2,IF(K248&lt;=399.99,Kargo!$E$3,$F248)))</f>
        <v/>
      </c>
      <c r="N248" s="12">
        <f>IF(M248="","",M248/K248)</f>
        <v/>
      </c>
      <c r="O248" s="10">
        <f>IF($B248="","",IF('Komisyon Tarifeleri'!L248="","",'Komisyon Tarifeleri'!L248))</f>
        <v/>
      </c>
      <c r="P248" s="11">
        <f>IF(O248="","",IF($AM$1=2,'Komisyon Tarifeleri'!W248,'Komisyon Tarifeleri'!R248))</f>
        <v/>
      </c>
      <c r="Q248" s="10">
        <f>IF(OR(O248="",$D248=""),"",O248*(1-P248/100)-$D248-IF(O248&lt;=199.99,Kargo!$E$2,IF(O248&lt;=399.99,Kargo!$E$3,$F248)))</f>
        <v/>
      </c>
      <c r="R248" s="12">
        <f>IF(Q248="","",Q248/O248)</f>
        <v/>
      </c>
      <c r="S248" s="10">
        <f>IF($B248="","",IF('Komisyon Tarifeleri'!N248="","",'Komisyon Tarifeleri'!N248))</f>
        <v/>
      </c>
      <c r="T248" s="11">
        <f>IF(S248="","",IF($AM$1=2,'Komisyon Tarifeleri'!X248,'Komisyon Tarifeleri'!S248))</f>
        <v/>
      </c>
      <c r="U248" s="10">
        <f>IF(OR(S248="",$D248=""),"",S248*(1-T248/100)-$D248-IF(S248&lt;=199.99,Kargo!$E$2,IF(S248&lt;=399.99,Kargo!$E$3,$F248)))</f>
        <v/>
      </c>
      <c r="V248" s="12">
        <f>IF(U248="","",U248/S248)</f>
        <v/>
      </c>
      <c r="W248" s="12">
        <f>IF($B248="","",IFERROR(VLOOKUP($C248,Hedefler!$A:$C,2,FALSE),0.04))</f>
        <v/>
      </c>
      <c r="X248" s="12">
        <f>IF($B248="","",IFERROR(VLOOKUP($C248,Hedefler!$A:$C,3,FALSE),0.1))</f>
        <v/>
      </c>
      <c r="Y248" s="13">
        <f>IF($B248="","",IFERROR(VLOOKUP($B248,Maliyetler!$A:$E,5,FALSE),""))</f>
        <v/>
      </c>
      <c r="Z248" s="13">
        <f>IF(OR(Y248="",Y248=0),"",Y248-1)</f>
        <v/>
      </c>
      <c r="AA248" s="14">
        <f>IF(Z248="","",IF(Z248&gt;='Komisyon Tarifeleri'!I248,IF($AM$1=2,'Komisyon Tarifeleri'!U248,'Komisyon Tarifeleri'!P248),IF(Z248&gt;='Komisyon Tarifeleri'!K248,IF($AM$1=2,'Komisyon Tarifeleri'!V248,'Komisyon Tarifeleri'!Q248),IF(Z248&gt;='Komisyon Tarifeleri'!M248,IF($AM$1=2,'Komisyon Tarifeleri'!W248,'Komisyon Tarifeleri'!R248),IF($AM$1=2,'Komisyon Tarifeleri'!X248,'Komisyon Tarifeleri'!S248)))))</f>
        <v/>
      </c>
      <c r="AB248" s="13">
        <f>IF(OR(AA248="",$D248=""),"",Z248*(1-AA248/100)-$D248-IF(Z248&lt;=199.99,Kargo!$E$2,IF(Z248&lt;=399.99,Kargo!$E$3,$F248)))</f>
        <v/>
      </c>
      <c r="AC248" s="15">
        <f>IF(AB248="","",AB248/Z248)</f>
        <v/>
      </c>
      <c r="AD248" s="10">
        <f>IF(OR($D248="",$B248=""),"",IF(AND((1-T248/100-W248)&gt;0,CEILING(($D248+$F248)/(1-T248/100-W248),1)&lt;='Komisyon Tarifeleri'!N248),CEILING(($D248+$F248)/(1-T248/100-W248),1),IF(AND((1-P248/100-W248)&gt;0,CEILING(MAX('Komisyon Tarifeleri'!M248,($D248+$F248)/(1-P248/100-W248)),1)&lt;='Komisyon Tarifeleri'!L248),CEILING(MAX('Komisyon Tarifeleri'!M248,($D248+$F248)/(1-P248/100-W248)),1),IF(AND((1-L248/100-W248)&gt;0,CEILING(MAX('Komisyon Tarifeleri'!K248,($D248+$F248)/(1-L248/100-W248)),1)&lt;='Komisyon Tarifeleri'!J248),CEILING(MAX('Komisyon Tarifeleri'!K248,($D248+$F248)/(1-L248/100-W248)),1),IF((1-H248/100-W248)&gt;0,CEILING(MAX('Komisyon Tarifeleri'!I248,($D248+$F248)/(1-H248/100-W248)),1),"İMKÂNSIZ")))))</f>
        <v/>
      </c>
      <c r="AE248" s="10">
        <f>IF(OR($D248="",$B248=""),"",IF(AND((1-T248/100-X248)&gt;0,CEILING(($D248+$F248)/(1-T248/100-X248),1)&lt;='Komisyon Tarifeleri'!N248),CEILING(($D248+$F248)/(1-T248/100-X248),1),IF(AND((1-P248/100-X248)&gt;0,CEILING(MAX('Komisyon Tarifeleri'!M248,($D248+$F248)/(1-P248/100-X248)),1)&lt;='Komisyon Tarifeleri'!L248),CEILING(MAX('Komisyon Tarifeleri'!M248,($D248+$F248)/(1-P248/100-X248)),1),IF(AND((1-L248/100-X248)&gt;0,CEILING(MAX('Komisyon Tarifeleri'!K248,($D248+$F248)/(1-L248/100-X248)),1)&lt;='Komisyon Tarifeleri'!J248),CEILING(MAX('Komisyon Tarifeleri'!K248,($D248+$F248)/(1-L248/100-X248)),1),IF((1-H248/100-X248)&gt;0,CEILING(MAX('Komisyon Tarifeleri'!I248,($D248+$F248)/(1-H248/100-X248)),1),"İMKÂNSIZ")))))</f>
        <v/>
      </c>
      <c r="AF248" s="16">
        <f>IF($D248="","",IF(AND(Y248&lt;&gt;"",AC248&lt;&gt;"",AC248&gt;=W248),Z248,IF(Y248&lt;&gt;"",AD248,AE248)))</f>
        <v/>
      </c>
      <c r="AG248" s="16">
        <f>IF(OR(AF248="",AF248="İMKÂNSIZ"),"",AF248*(1-IF(AF248&gt;='Komisyon Tarifeleri'!I248,IF($AM$1=2,'Komisyon Tarifeleri'!U248,'Komisyon Tarifeleri'!P248),IF(AF248&gt;='Komisyon Tarifeleri'!K248,IF($AM$1=2,'Komisyon Tarifeleri'!V248,'Komisyon Tarifeleri'!Q248),IF(AF248&gt;='Komisyon Tarifeleri'!M248,IF($AM$1=2,'Komisyon Tarifeleri'!W248,'Komisyon Tarifeleri'!R248),IF($AM$1=2,'Komisyon Tarifeleri'!X248,'Komisyon Tarifeleri'!S248))))/100)-$D248-IF(AF248&lt;=199.99,Kargo!$E$2,IF(AF248&lt;=399.99,Kargo!$E$3,$F248)))</f>
        <v/>
      </c>
      <c r="AH248" s="17">
        <f>IF(AG248="","",AG248/AF248)</f>
        <v/>
      </c>
      <c r="AI248" s="18">
        <f>IF($D248="","",IF(Y248="","BUYBOX YOK → hedef kârla min fiyat",IF(AC248&gt;=W248,"✓ BUYBOX ALTINA GİR","BUYBOX ALTI KÂRSIZ → min kârlı fiyat")))</f>
        <v/>
      </c>
      <c r="AJ248" s="10">
        <f>IF($B248="","",IFERROR(VLOOKUP($B248,Maliyetler!$A:$G,6,FALSE),""))</f>
        <v/>
      </c>
      <c r="AK248">
        <f>IF($B248="","",IFERROR(VLOOKUP($B248,Maliyetler!$A:$G,7,FALSE),""))</f>
        <v/>
      </c>
      <c r="AO248" s="21">
        <f>IF($B248="","",IFERROR(VLOOKUP($B248&amp;"",'Plus Tarifeleri'!$C:$Q,11,FALSE),""))</f>
        <v/>
      </c>
      <c r="AP248" s="22">
        <f>IF(AO248="","",IFERROR(IF($AM$1=2,VLOOKUP($B248&amp;"",'Plus Tarifeleri'!$C:$Q,15,FALSE),VLOOKUP($B248&amp;"",'Plus Tarifeleri'!$C:$Q,13,FALSE)),""))</f>
        <v/>
      </c>
      <c r="AQ248" s="21">
        <f>IF(OR(AO248="",AP248="",$D248=""),"",AO248*(1-AP248/100)-$D248-IF(AO248&lt;=199.99,Kargo!$E$2,IF(AO248&lt;=399.99,Kargo!$E$3,$F248)))</f>
        <v/>
      </c>
      <c r="AR248" s="23">
        <f>IF(AQ248="","",AQ248/AO248)</f>
        <v/>
      </c>
      <c r="AS248" s="24">
        <f>IF(OR(AQ248="",AG248=""),"",AQ248-AG248)</f>
        <v/>
      </c>
    </row>
    <row r="249">
      <c r="A249">
        <f>IF('Komisyon Tarifeleri'!A249="","",'Komisyon Tarifeleri'!A249)</f>
        <v/>
      </c>
      <c r="B249">
        <f>IF('Komisyon Tarifeleri'!B249="","",'Komisyon Tarifeleri'!B249&amp;"")</f>
        <v/>
      </c>
      <c r="C249">
        <f>IF($B249="","",'Komisyon Tarifeleri'!F249)</f>
        <v/>
      </c>
      <c r="D249" s="10">
        <f>IF($B249="","",IFERROR(VLOOKUP($B249,Maliyetler!$A:$E,3,FALSE),""))</f>
        <v/>
      </c>
      <c r="E249">
        <f>IF($B249="","",IFERROR(VLOOKUP($B249,Maliyetler!$A:$E,4,FALSE),1))</f>
        <v/>
      </c>
      <c r="F249" s="10">
        <f>IF($B249="","",IFERROR(VLOOKUP(MIN(20,MAX(1,ROUND($E249,0))),Kargo!$A:$B,2,FALSE),99.46))</f>
        <v/>
      </c>
      <c r="G249" s="10">
        <f>IF($B249="","",IF(IF(N('Komisyon Tarifeleri'!AA249)&gt;='Komisyon Tarifeleri'!I249,'Komisyon Tarifeleri'!AA249,'Komisyon Tarifeleri'!I249)="","",IF(N('Komisyon Tarifeleri'!AA249)&gt;='Komisyon Tarifeleri'!I249,'Komisyon Tarifeleri'!AA249,'Komisyon Tarifeleri'!I249)))</f>
        <v/>
      </c>
      <c r="H249" s="11">
        <f>IF(G249="","",IF($AM$1=2,'Komisyon Tarifeleri'!U249,'Komisyon Tarifeleri'!P249))</f>
        <v/>
      </c>
      <c r="I249" s="10">
        <f>IF(OR(G249="",$D249=""),"",G249*(1-H249/100)-$D249-IF(G249&lt;=199.99,Kargo!$E$2,IF(G249&lt;=399.99,Kargo!$E$3,$F249)))</f>
        <v/>
      </c>
      <c r="J249" s="12">
        <f>IF(I249="","",I249/G249)</f>
        <v/>
      </c>
      <c r="K249" s="10">
        <f>IF($B249="","",IF('Komisyon Tarifeleri'!J249="","",'Komisyon Tarifeleri'!J249))</f>
        <v/>
      </c>
      <c r="L249" s="11">
        <f>IF(K249="","",IF($AM$1=2,'Komisyon Tarifeleri'!V249,'Komisyon Tarifeleri'!Q249))</f>
        <v/>
      </c>
      <c r="M249" s="10">
        <f>IF(OR(K249="",$D249=""),"",K249*(1-L249/100)-$D249-IF(K249&lt;=199.99,Kargo!$E$2,IF(K249&lt;=399.99,Kargo!$E$3,$F249)))</f>
        <v/>
      </c>
      <c r="N249" s="12">
        <f>IF(M249="","",M249/K249)</f>
        <v/>
      </c>
      <c r="O249" s="10">
        <f>IF($B249="","",IF('Komisyon Tarifeleri'!L249="","",'Komisyon Tarifeleri'!L249))</f>
        <v/>
      </c>
      <c r="P249" s="11">
        <f>IF(O249="","",IF($AM$1=2,'Komisyon Tarifeleri'!W249,'Komisyon Tarifeleri'!R249))</f>
        <v/>
      </c>
      <c r="Q249" s="10">
        <f>IF(OR(O249="",$D249=""),"",O249*(1-P249/100)-$D249-IF(O249&lt;=199.99,Kargo!$E$2,IF(O249&lt;=399.99,Kargo!$E$3,$F249)))</f>
        <v/>
      </c>
      <c r="R249" s="12">
        <f>IF(Q249="","",Q249/O249)</f>
        <v/>
      </c>
      <c r="S249" s="10">
        <f>IF($B249="","",IF('Komisyon Tarifeleri'!N249="","",'Komisyon Tarifeleri'!N249))</f>
        <v/>
      </c>
      <c r="T249" s="11">
        <f>IF(S249="","",IF($AM$1=2,'Komisyon Tarifeleri'!X249,'Komisyon Tarifeleri'!S249))</f>
        <v/>
      </c>
      <c r="U249" s="10">
        <f>IF(OR(S249="",$D249=""),"",S249*(1-T249/100)-$D249-IF(S249&lt;=199.99,Kargo!$E$2,IF(S249&lt;=399.99,Kargo!$E$3,$F249)))</f>
        <v/>
      </c>
      <c r="V249" s="12">
        <f>IF(U249="","",U249/S249)</f>
        <v/>
      </c>
      <c r="W249" s="12">
        <f>IF($B249="","",IFERROR(VLOOKUP($C249,Hedefler!$A:$C,2,FALSE),0.04))</f>
        <v/>
      </c>
      <c r="X249" s="12">
        <f>IF($B249="","",IFERROR(VLOOKUP($C249,Hedefler!$A:$C,3,FALSE),0.1))</f>
        <v/>
      </c>
      <c r="Y249" s="13">
        <f>IF($B249="","",IFERROR(VLOOKUP($B249,Maliyetler!$A:$E,5,FALSE),""))</f>
        <v/>
      </c>
      <c r="Z249" s="13">
        <f>IF(OR(Y249="",Y249=0),"",Y249-1)</f>
        <v/>
      </c>
      <c r="AA249" s="14">
        <f>IF(Z249="","",IF(Z249&gt;='Komisyon Tarifeleri'!I249,IF($AM$1=2,'Komisyon Tarifeleri'!U249,'Komisyon Tarifeleri'!P249),IF(Z249&gt;='Komisyon Tarifeleri'!K249,IF($AM$1=2,'Komisyon Tarifeleri'!V249,'Komisyon Tarifeleri'!Q249),IF(Z249&gt;='Komisyon Tarifeleri'!M249,IF($AM$1=2,'Komisyon Tarifeleri'!W249,'Komisyon Tarifeleri'!R249),IF($AM$1=2,'Komisyon Tarifeleri'!X249,'Komisyon Tarifeleri'!S249)))))</f>
        <v/>
      </c>
      <c r="AB249" s="13">
        <f>IF(OR(AA249="",$D249=""),"",Z249*(1-AA249/100)-$D249-IF(Z249&lt;=199.99,Kargo!$E$2,IF(Z249&lt;=399.99,Kargo!$E$3,$F249)))</f>
        <v/>
      </c>
      <c r="AC249" s="15">
        <f>IF(AB249="","",AB249/Z249)</f>
        <v/>
      </c>
      <c r="AD249" s="10">
        <f>IF(OR($D249="",$B249=""),"",IF(AND((1-T249/100-W249)&gt;0,CEILING(($D249+$F249)/(1-T249/100-W249),1)&lt;='Komisyon Tarifeleri'!N249),CEILING(($D249+$F249)/(1-T249/100-W249),1),IF(AND((1-P249/100-W249)&gt;0,CEILING(MAX('Komisyon Tarifeleri'!M249,($D249+$F249)/(1-P249/100-W249)),1)&lt;='Komisyon Tarifeleri'!L249),CEILING(MAX('Komisyon Tarifeleri'!M249,($D249+$F249)/(1-P249/100-W249)),1),IF(AND((1-L249/100-W249)&gt;0,CEILING(MAX('Komisyon Tarifeleri'!K249,($D249+$F249)/(1-L249/100-W249)),1)&lt;='Komisyon Tarifeleri'!J249),CEILING(MAX('Komisyon Tarifeleri'!K249,($D249+$F249)/(1-L249/100-W249)),1),IF((1-H249/100-W249)&gt;0,CEILING(MAX('Komisyon Tarifeleri'!I249,($D249+$F249)/(1-H249/100-W249)),1),"İMKÂNSIZ")))))</f>
        <v/>
      </c>
      <c r="AE249" s="10">
        <f>IF(OR($D249="",$B249=""),"",IF(AND((1-T249/100-X249)&gt;0,CEILING(($D249+$F249)/(1-T249/100-X249),1)&lt;='Komisyon Tarifeleri'!N249),CEILING(($D249+$F249)/(1-T249/100-X249),1),IF(AND((1-P249/100-X249)&gt;0,CEILING(MAX('Komisyon Tarifeleri'!M249,($D249+$F249)/(1-P249/100-X249)),1)&lt;='Komisyon Tarifeleri'!L249),CEILING(MAX('Komisyon Tarifeleri'!M249,($D249+$F249)/(1-P249/100-X249)),1),IF(AND((1-L249/100-X249)&gt;0,CEILING(MAX('Komisyon Tarifeleri'!K249,($D249+$F249)/(1-L249/100-X249)),1)&lt;='Komisyon Tarifeleri'!J249),CEILING(MAX('Komisyon Tarifeleri'!K249,($D249+$F249)/(1-L249/100-X249)),1),IF((1-H249/100-X249)&gt;0,CEILING(MAX('Komisyon Tarifeleri'!I249,($D249+$F249)/(1-H249/100-X249)),1),"İMKÂNSIZ")))))</f>
        <v/>
      </c>
      <c r="AF249" s="16">
        <f>IF($D249="","",IF(AND(Y249&lt;&gt;"",AC249&lt;&gt;"",AC249&gt;=W249),Z249,IF(Y249&lt;&gt;"",AD249,AE249)))</f>
        <v/>
      </c>
      <c r="AG249" s="16">
        <f>IF(OR(AF249="",AF249="İMKÂNSIZ"),"",AF249*(1-IF(AF249&gt;='Komisyon Tarifeleri'!I249,IF($AM$1=2,'Komisyon Tarifeleri'!U249,'Komisyon Tarifeleri'!P249),IF(AF249&gt;='Komisyon Tarifeleri'!K249,IF($AM$1=2,'Komisyon Tarifeleri'!V249,'Komisyon Tarifeleri'!Q249),IF(AF249&gt;='Komisyon Tarifeleri'!M249,IF($AM$1=2,'Komisyon Tarifeleri'!W249,'Komisyon Tarifeleri'!R249),IF($AM$1=2,'Komisyon Tarifeleri'!X249,'Komisyon Tarifeleri'!S249))))/100)-$D249-IF(AF249&lt;=199.99,Kargo!$E$2,IF(AF249&lt;=399.99,Kargo!$E$3,$F249)))</f>
        <v/>
      </c>
      <c r="AH249" s="17">
        <f>IF(AG249="","",AG249/AF249)</f>
        <v/>
      </c>
      <c r="AI249" s="18">
        <f>IF($D249="","",IF(Y249="","BUYBOX YOK → hedef kârla min fiyat",IF(AC249&gt;=W249,"✓ BUYBOX ALTINA GİR","BUYBOX ALTI KÂRSIZ → min kârlı fiyat")))</f>
        <v/>
      </c>
      <c r="AJ249" s="10">
        <f>IF($B249="","",IFERROR(VLOOKUP($B249,Maliyetler!$A:$G,6,FALSE),""))</f>
        <v/>
      </c>
      <c r="AK249">
        <f>IF($B249="","",IFERROR(VLOOKUP($B249,Maliyetler!$A:$G,7,FALSE),""))</f>
        <v/>
      </c>
      <c r="AO249" s="21">
        <f>IF($B249="","",IFERROR(VLOOKUP($B249&amp;"",'Plus Tarifeleri'!$C:$Q,11,FALSE),""))</f>
        <v/>
      </c>
      <c r="AP249" s="22">
        <f>IF(AO249="","",IFERROR(IF($AM$1=2,VLOOKUP($B249&amp;"",'Plus Tarifeleri'!$C:$Q,15,FALSE),VLOOKUP($B249&amp;"",'Plus Tarifeleri'!$C:$Q,13,FALSE)),""))</f>
        <v/>
      </c>
      <c r="AQ249" s="21">
        <f>IF(OR(AO249="",AP249="",$D249=""),"",AO249*(1-AP249/100)-$D249-IF(AO249&lt;=199.99,Kargo!$E$2,IF(AO249&lt;=399.99,Kargo!$E$3,$F249)))</f>
        <v/>
      </c>
      <c r="AR249" s="23">
        <f>IF(AQ249="","",AQ249/AO249)</f>
        <v/>
      </c>
      <c r="AS249" s="24">
        <f>IF(OR(AQ249="",AG249=""),"",AQ249-AG249)</f>
        <v/>
      </c>
    </row>
    <row r="250">
      <c r="A250">
        <f>IF('Komisyon Tarifeleri'!A250="","",'Komisyon Tarifeleri'!A250)</f>
        <v/>
      </c>
      <c r="B250">
        <f>IF('Komisyon Tarifeleri'!B250="","",'Komisyon Tarifeleri'!B250&amp;"")</f>
        <v/>
      </c>
      <c r="C250">
        <f>IF($B250="","",'Komisyon Tarifeleri'!F250)</f>
        <v/>
      </c>
      <c r="D250" s="10">
        <f>IF($B250="","",IFERROR(VLOOKUP($B250,Maliyetler!$A:$E,3,FALSE),""))</f>
        <v/>
      </c>
      <c r="E250">
        <f>IF($B250="","",IFERROR(VLOOKUP($B250,Maliyetler!$A:$E,4,FALSE),1))</f>
        <v/>
      </c>
      <c r="F250" s="10">
        <f>IF($B250="","",IFERROR(VLOOKUP(MIN(20,MAX(1,ROUND($E250,0))),Kargo!$A:$B,2,FALSE),99.46))</f>
        <v/>
      </c>
      <c r="G250" s="10">
        <f>IF($B250="","",IF(IF(N('Komisyon Tarifeleri'!AA250)&gt;='Komisyon Tarifeleri'!I250,'Komisyon Tarifeleri'!AA250,'Komisyon Tarifeleri'!I250)="","",IF(N('Komisyon Tarifeleri'!AA250)&gt;='Komisyon Tarifeleri'!I250,'Komisyon Tarifeleri'!AA250,'Komisyon Tarifeleri'!I250)))</f>
        <v/>
      </c>
      <c r="H250" s="11">
        <f>IF(G250="","",IF($AM$1=2,'Komisyon Tarifeleri'!U250,'Komisyon Tarifeleri'!P250))</f>
        <v/>
      </c>
      <c r="I250" s="10">
        <f>IF(OR(G250="",$D250=""),"",G250*(1-H250/100)-$D250-IF(G250&lt;=199.99,Kargo!$E$2,IF(G250&lt;=399.99,Kargo!$E$3,$F250)))</f>
        <v/>
      </c>
      <c r="J250" s="12">
        <f>IF(I250="","",I250/G250)</f>
        <v/>
      </c>
      <c r="K250" s="10">
        <f>IF($B250="","",IF('Komisyon Tarifeleri'!J250="","",'Komisyon Tarifeleri'!J250))</f>
        <v/>
      </c>
      <c r="L250" s="11">
        <f>IF(K250="","",IF($AM$1=2,'Komisyon Tarifeleri'!V250,'Komisyon Tarifeleri'!Q250))</f>
        <v/>
      </c>
      <c r="M250" s="10">
        <f>IF(OR(K250="",$D250=""),"",K250*(1-L250/100)-$D250-IF(K250&lt;=199.99,Kargo!$E$2,IF(K250&lt;=399.99,Kargo!$E$3,$F250)))</f>
        <v/>
      </c>
      <c r="N250" s="12">
        <f>IF(M250="","",M250/K250)</f>
        <v/>
      </c>
      <c r="O250" s="10">
        <f>IF($B250="","",IF('Komisyon Tarifeleri'!L250="","",'Komisyon Tarifeleri'!L250))</f>
        <v/>
      </c>
      <c r="P250" s="11">
        <f>IF(O250="","",IF($AM$1=2,'Komisyon Tarifeleri'!W250,'Komisyon Tarifeleri'!R250))</f>
        <v/>
      </c>
      <c r="Q250" s="10">
        <f>IF(OR(O250="",$D250=""),"",O250*(1-P250/100)-$D250-IF(O250&lt;=199.99,Kargo!$E$2,IF(O250&lt;=399.99,Kargo!$E$3,$F250)))</f>
        <v/>
      </c>
      <c r="R250" s="12">
        <f>IF(Q250="","",Q250/O250)</f>
        <v/>
      </c>
      <c r="S250" s="10">
        <f>IF($B250="","",IF('Komisyon Tarifeleri'!N250="","",'Komisyon Tarifeleri'!N250))</f>
        <v/>
      </c>
      <c r="T250" s="11">
        <f>IF(S250="","",IF($AM$1=2,'Komisyon Tarifeleri'!X250,'Komisyon Tarifeleri'!S250))</f>
        <v/>
      </c>
      <c r="U250" s="10">
        <f>IF(OR(S250="",$D250=""),"",S250*(1-T250/100)-$D250-IF(S250&lt;=199.99,Kargo!$E$2,IF(S250&lt;=399.99,Kargo!$E$3,$F250)))</f>
        <v/>
      </c>
      <c r="V250" s="12">
        <f>IF(U250="","",U250/S250)</f>
        <v/>
      </c>
      <c r="W250" s="12">
        <f>IF($B250="","",IFERROR(VLOOKUP($C250,Hedefler!$A:$C,2,FALSE),0.04))</f>
        <v/>
      </c>
      <c r="X250" s="12">
        <f>IF($B250="","",IFERROR(VLOOKUP($C250,Hedefler!$A:$C,3,FALSE),0.1))</f>
        <v/>
      </c>
      <c r="Y250" s="13">
        <f>IF($B250="","",IFERROR(VLOOKUP($B250,Maliyetler!$A:$E,5,FALSE),""))</f>
        <v/>
      </c>
      <c r="Z250" s="13">
        <f>IF(OR(Y250="",Y250=0),"",Y250-1)</f>
        <v/>
      </c>
      <c r="AA250" s="14">
        <f>IF(Z250="","",IF(Z250&gt;='Komisyon Tarifeleri'!I250,IF($AM$1=2,'Komisyon Tarifeleri'!U250,'Komisyon Tarifeleri'!P250),IF(Z250&gt;='Komisyon Tarifeleri'!K250,IF($AM$1=2,'Komisyon Tarifeleri'!V250,'Komisyon Tarifeleri'!Q250),IF(Z250&gt;='Komisyon Tarifeleri'!M250,IF($AM$1=2,'Komisyon Tarifeleri'!W250,'Komisyon Tarifeleri'!R250),IF($AM$1=2,'Komisyon Tarifeleri'!X250,'Komisyon Tarifeleri'!S250)))))</f>
        <v/>
      </c>
      <c r="AB250" s="13">
        <f>IF(OR(AA250="",$D250=""),"",Z250*(1-AA250/100)-$D250-IF(Z250&lt;=199.99,Kargo!$E$2,IF(Z250&lt;=399.99,Kargo!$E$3,$F250)))</f>
        <v/>
      </c>
      <c r="AC250" s="15">
        <f>IF(AB250="","",AB250/Z250)</f>
        <v/>
      </c>
      <c r="AD250" s="10">
        <f>IF(OR($D250="",$B250=""),"",IF(AND((1-T250/100-W250)&gt;0,CEILING(($D250+$F250)/(1-T250/100-W250),1)&lt;='Komisyon Tarifeleri'!N250),CEILING(($D250+$F250)/(1-T250/100-W250),1),IF(AND((1-P250/100-W250)&gt;0,CEILING(MAX('Komisyon Tarifeleri'!M250,($D250+$F250)/(1-P250/100-W250)),1)&lt;='Komisyon Tarifeleri'!L250),CEILING(MAX('Komisyon Tarifeleri'!M250,($D250+$F250)/(1-P250/100-W250)),1),IF(AND((1-L250/100-W250)&gt;0,CEILING(MAX('Komisyon Tarifeleri'!K250,($D250+$F250)/(1-L250/100-W250)),1)&lt;='Komisyon Tarifeleri'!J250),CEILING(MAX('Komisyon Tarifeleri'!K250,($D250+$F250)/(1-L250/100-W250)),1),IF((1-H250/100-W250)&gt;0,CEILING(MAX('Komisyon Tarifeleri'!I250,($D250+$F250)/(1-H250/100-W250)),1),"İMKÂNSIZ")))))</f>
        <v/>
      </c>
      <c r="AE250" s="10">
        <f>IF(OR($D250="",$B250=""),"",IF(AND((1-T250/100-X250)&gt;0,CEILING(($D250+$F250)/(1-T250/100-X250),1)&lt;='Komisyon Tarifeleri'!N250),CEILING(($D250+$F250)/(1-T250/100-X250),1),IF(AND((1-P250/100-X250)&gt;0,CEILING(MAX('Komisyon Tarifeleri'!M250,($D250+$F250)/(1-P250/100-X250)),1)&lt;='Komisyon Tarifeleri'!L250),CEILING(MAX('Komisyon Tarifeleri'!M250,($D250+$F250)/(1-P250/100-X250)),1),IF(AND((1-L250/100-X250)&gt;0,CEILING(MAX('Komisyon Tarifeleri'!K250,($D250+$F250)/(1-L250/100-X250)),1)&lt;='Komisyon Tarifeleri'!J250),CEILING(MAX('Komisyon Tarifeleri'!K250,($D250+$F250)/(1-L250/100-X250)),1),IF((1-H250/100-X250)&gt;0,CEILING(MAX('Komisyon Tarifeleri'!I250,($D250+$F250)/(1-H250/100-X250)),1),"İMKÂNSIZ")))))</f>
        <v/>
      </c>
      <c r="AF250" s="16">
        <f>IF($D250="","",IF(AND(Y250&lt;&gt;"",AC250&lt;&gt;"",AC250&gt;=W250),Z250,IF(Y250&lt;&gt;"",AD250,AE250)))</f>
        <v/>
      </c>
      <c r="AG250" s="16">
        <f>IF(OR(AF250="",AF250="İMKÂNSIZ"),"",AF250*(1-IF(AF250&gt;='Komisyon Tarifeleri'!I250,IF($AM$1=2,'Komisyon Tarifeleri'!U250,'Komisyon Tarifeleri'!P250),IF(AF250&gt;='Komisyon Tarifeleri'!K250,IF($AM$1=2,'Komisyon Tarifeleri'!V250,'Komisyon Tarifeleri'!Q250),IF(AF250&gt;='Komisyon Tarifeleri'!M250,IF($AM$1=2,'Komisyon Tarifeleri'!W250,'Komisyon Tarifeleri'!R250),IF($AM$1=2,'Komisyon Tarifeleri'!X250,'Komisyon Tarifeleri'!S250))))/100)-$D250-IF(AF250&lt;=199.99,Kargo!$E$2,IF(AF250&lt;=399.99,Kargo!$E$3,$F250)))</f>
        <v/>
      </c>
      <c r="AH250" s="17">
        <f>IF(AG250="","",AG250/AF250)</f>
        <v/>
      </c>
      <c r="AI250" s="18">
        <f>IF($D250="","",IF(Y250="","BUYBOX YOK → hedef kârla min fiyat",IF(AC250&gt;=W250,"✓ BUYBOX ALTINA GİR","BUYBOX ALTI KÂRSIZ → min kârlı fiyat")))</f>
        <v/>
      </c>
      <c r="AJ250" s="10">
        <f>IF($B250="","",IFERROR(VLOOKUP($B250,Maliyetler!$A:$G,6,FALSE),""))</f>
        <v/>
      </c>
      <c r="AK250">
        <f>IF($B250="","",IFERROR(VLOOKUP($B250,Maliyetler!$A:$G,7,FALSE),""))</f>
        <v/>
      </c>
      <c r="AO250" s="21">
        <f>IF($B250="","",IFERROR(VLOOKUP($B250&amp;"",'Plus Tarifeleri'!$C:$Q,11,FALSE),""))</f>
        <v/>
      </c>
      <c r="AP250" s="22">
        <f>IF(AO250="","",IFERROR(IF($AM$1=2,VLOOKUP($B250&amp;"",'Plus Tarifeleri'!$C:$Q,15,FALSE),VLOOKUP($B250&amp;"",'Plus Tarifeleri'!$C:$Q,13,FALSE)),""))</f>
        <v/>
      </c>
      <c r="AQ250" s="21">
        <f>IF(OR(AO250="",AP250="",$D250=""),"",AO250*(1-AP250/100)-$D250-IF(AO250&lt;=199.99,Kargo!$E$2,IF(AO250&lt;=399.99,Kargo!$E$3,$F250)))</f>
        <v/>
      </c>
      <c r="AR250" s="23">
        <f>IF(AQ250="","",AQ250/AO250)</f>
        <v/>
      </c>
      <c r="AS250" s="24">
        <f>IF(OR(AQ250="",AG250=""),"",AQ250-AG250)</f>
        <v/>
      </c>
    </row>
    <row r="251">
      <c r="A251">
        <f>IF('Komisyon Tarifeleri'!A251="","",'Komisyon Tarifeleri'!A251)</f>
        <v/>
      </c>
      <c r="B251">
        <f>IF('Komisyon Tarifeleri'!B251="","",'Komisyon Tarifeleri'!B251&amp;"")</f>
        <v/>
      </c>
      <c r="C251">
        <f>IF($B251="","",'Komisyon Tarifeleri'!F251)</f>
        <v/>
      </c>
      <c r="D251" s="10">
        <f>IF($B251="","",IFERROR(VLOOKUP($B251,Maliyetler!$A:$E,3,FALSE),""))</f>
        <v/>
      </c>
      <c r="E251">
        <f>IF($B251="","",IFERROR(VLOOKUP($B251,Maliyetler!$A:$E,4,FALSE),1))</f>
        <v/>
      </c>
      <c r="F251" s="10">
        <f>IF($B251="","",IFERROR(VLOOKUP(MIN(20,MAX(1,ROUND($E251,0))),Kargo!$A:$B,2,FALSE),99.46))</f>
        <v/>
      </c>
      <c r="G251" s="10">
        <f>IF($B251="","",IF(IF(N('Komisyon Tarifeleri'!AA251)&gt;='Komisyon Tarifeleri'!I251,'Komisyon Tarifeleri'!AA251,'Komisyon Tarifeleri'!I251)="","",IF(N('Komisyon Tarifeleri'!AA251)&gt;='Komisyon Tarifeleri'!I251,'Komisyon Tarifeleri'!AA251,'Komisyon Tarifeleri'!I251)))</f>
        <v/>
      </c>
      <c r="H251" s="11">
        <f>IF(G251="","",IF($AM$1=2,'Komisyon Tarifeleri'!U251,'Komisyon Tarifeleri'!P251))</f>
        <v/>
      </c>
      <c r="I251" s="10">
        <f>IF(OR(G251="",$D251=""),"",G251*(1-H251/100)-$D251-IF(G251&lt;=199.99,Kargo!$E$2,IF(G251&lt;=399.99,Kargo!$E$3,$F251)))</f>
        <v/>
      </c>
      <c r="J251" s="12">
        <f>IF(I251="","",I251/G251)</f>
        <v/>
      </c>
      <c r="K251" s="10">
        <f>IF($B251="","",IF('Komisyon Tarifeleri'!J251="","",'Komisyon Tarifeleri'!J251))</f>
        <v/>
      </c>
      <c r="L251" s="11">
        <f>IF(K251="","",IF($AM$1=2,'Komisyon Tarifeleri'!V251,'Komisyon Tarifeleri'!Q251))</f>
        <v/>
      </c>
      <c r="M251" s="10">
        <f>IF(OR(K251="",$D251=""),"",K251*(1-L251/100)-$D251-IF(K251&lt;=199.99,Kargo!$E$2,IF(K251&lt;=399.99,Kargo!$E$3,$F251)))</f>
        <v/>
      </c>
      <c r="N251" s="12">
        <f>IF(M251="","",M251/K251)</f>
        <v/>
      </c>
      <c r="O251" s="10">
        <f>IF($B251="","",IF('Komisyon Tarifeleri'!L251="","",'Komisyon Tarifeleri'!L251))</f>
        <v/>
      </c>
      <c r="P251" s="11">
        <f>IF(O251="","",IF($AM$1=2,'Komisyon Tarifeleri'!W251,'Komisyon Tarifeleri'!R251))</f>
        <v/>
      </c>
      <c r="Q251" s="10">
        <f>IF(OR(O251="",$D251=""),"",O251*(1-P251/100)-$D251-IF(O251&lt;=199.99,Kargo!$E$2,IF(O251&lt;=399.99,Kargo!$E$3,$F251)))</f>
        <v/>
      </c>
      <c r="R251" s="12">
        <f>IF(Q251="","",Q251/O251)</f>
        <v/>
      </c>
      <c r="S251" s="10">
        <f>IF($B251="","",IF('Komisyon Tarifeleri'!N251="","",'Komisyon Tarifeleri'!N251))</f>
        <v/>
      </c>
      <c r="T251" s="11">
        <f>IF(S251="","",IF($AM$1=2,'Komisyon Tarifeleri'!X251,'Komisyon Tarifeleri'!S251))</f>
        <v/>
      </c>
      <c r="U251" s="10">
        <f>IF(OR(S251="",$D251=""),"",S251*(1-T251/100)-$D251-IF(S251&lt;=199.99,Kargo!$E$2,IF(S251&lt;=399.99,Kargo!$E$3,$F251)))</f>
        <v/>
      </c>
      <c r="V251" s="12">
        <f>IF(U251="","",U251/S251)</f>
        <v/>
      </c>
      <c r="W251" s="12">
        <f>IF($B251="","",IFERROR(VLOOKUP($C251,Hedefler!$A:$C,2,FALSE),0.04))</f>
        <v/>
      </c>
      <c r="X251" s="12">
        <f>IF($B251="","",IFERROR(VLOOKUP($C251,Hedefler!$A:$C,3,FALSE),0.1))</f>
        <v/>
      </c>
      <c r="Y251" s="13">
        <f>IF($B251="","",IFERROR(VLOOKUP($B251,Maliyetler!$A:$E,5,FALSE),""))</f>
        <v/>
      </c>
      <c r="Z251" s="13">
        <f>IF(OR(Y251="",Y251=0),"",Y251-1)</f>
        <v/>
      </c>
      <c r="AA251" s="14">
        <f>IF(Z251="","",IF(Z251&gt;='Komisyon Tarifeleri'!I251,IF($AM$1=2,'Komisyon Tarifeleri'!U251,'Komisyon Tarifeleri'!P251),IF(Z251&gt;='Komisyon Tarifeleri'!K251,IF($AM$1=2,'Komisyon Tarifeleri'!V251,'Komisyon Tarifeleri'!Q251),IF(Z251&gt;='Komisyon Tarifeleri'!M251,IF($AM$1=2,'Komisyon Tarifeleri'!W251,'Komisyon Tarifeleri'!R251),IF($AM$1=2,'Komisyon Tarifeleri'!X251,'Komisyon Tarifeleri'!S251)))))</f>
        <v/>
      </c>
      <c r="AB251" s="13">
        <f>IF(OR(AA251="",$D251=""),"",Z251*(1-AA251/100)-$D251-IF(Z251&lt;=199.99,Kargo!$E$2,IF(Z251&lt;=399.99,Kargo!$E$3,$F251)))</f>
        <v/>
      </c>
      <c r="AC251" s="15">
        <f>IF(AB251="","",AB251/Z251)</f>
        <v/>
      </c>
      <c r="AD251" s="10">
        <f>IF(OR($D251="",$B251=""),"",IF(AND((1-T251/100-W251)&gt;0,CEILING(($D251+$F251)/(1-T251/100-W251),1)&lt;='Komisyon Tarifeleri'!N251),CEILING(($D251+$F251)/(1-T251/100-W251),1),IF(AND((1-P251/100-W251)&gt;0,CEILING(MAX('Komisyon Tarifeleri'!M251,($D251+$F251)/(1-P251/100-W251)),1)&lt;='Komisyon Tarifeleri'!L251),CEILING(MAX('Komisyon Tarifeleri'!M251,($D251+$F251)/(1-P251/100-W251)),1),IF(AND((1-L251/100-W251)&gt;0,CEILING(MAX('Komisyon Tarifeleri'!K251,($D251+$F251)/(1-L251/100-W251)),1)&lt;='Komisyon Tarifeleri'!J251),CEILING(MAX('Komisyon Tarifeleri'!K251,($D251+$F251)/(1-L251/100-W251)),1),IF((1-H251/100-W251)&gt;0,CEILING(MAX('Komisyon Tarifeleri'!I251,($D251+$F251)/(1-H251/100-W251)),1),"İMKÂNSIZ")))))</f>
        <v/>
      </c>
      <c r="AE251" s="10">
        <f>IF(OR($D251="",$B251=""),"",IF(AND((1-T251/100-X251)&gt;0,CEILING(($D251+$F251)/(1-T251/100-X251),1)&lt;='Komisyon Tarifeleri'!N251),CEILING(($D251+$F251)/(1-T251/100-X251),1),IF(AND((1-P251/100-X251)&gt;0,CEILING(MAX('Komisyon Tarifeleri'!M251,($D251+$F251)/(1-P251/100-X251)),1)&lt;='Komisyon Tarifeleri'!L251),CEILING(MAX('Komisyon Tarifeleri'!M251,($D251+$F251)/(1-P251/100-X251)),1),IF(AND((1-L251/100-X251)&gt;0,CEILING(MAX('Komisyon Tarifeleri'!K251,($D251+$F251)/(1-L251/100-X251)),1)&lt;='Komisyon Tarifeleri'!J251),CEILING(MAX('Komisyon Tarifeleri'!K251,($D251+$F251)/(1-L251/100-X251)),1),IF((1-H251/100-X251)&gt;0,CEILING(MAX('Komisyon Tarifeleri'!I251,($D251+$F251)/(1-H251/100-X251)),1),"İMKÂNSIZ")))))</f>
        <v/>
      </c>
      <c r="AF251" s="16">
        <f>IF($D251="","",IF(AND(Y251&lt;&gt;"",AC251&lt;&gt;"",AC251&gt;=W251),Z251,IF(Y251&lt;&gt;"",AD251,AE251)))</f>
        <v/>
      </c>
      <c r="AG251" s="16">
        <f>IF(OR(AF251="",AF251="İMKÂNSIZ"),"",AF251*(1-IF(AF251&gt;='Komisyon Tarifeleri'!I251,IF($AM$1=2,'Komisyon Tarifeleri'!U251,'Komisyon Tarifeleri'!P251),IF(AF251&gt;='Komisyon Tarifeleri'!K251,IF($AM$1=2,'Komisyon Tarifeleri'!V251,'Komisyon Tarifeleri'!Q251),IF(AF251&gt;='Komisyon Tarifeleri'!M251,IF($AM$1=2,'Komisyon Tarifeleri'!W251,'Komisyon Tarifeleri'!R251),IF($AM$1=2,'Komisyon Tarifeleri'!X251,'Komisyon Tarifeleri'!S251))))/100)-$D251-IF(AF251&lt;=199.99,Kargo!$E$2,IF(AF251&lt;=399.99,Kargo!$E$3,$F251)))</f>
        <v/>
      </c>
      <c r="AH251" s="17">
        <f>IF(AG251="","",AG251/AF251)</f>
        <v/>
      </c>
      <c r="AI251" s="18">
        <f>IF($D251="","",IF(Y251="","BUYBOX YOK → hedef kârla min fiyat",IF(AC251&gt;=W251,"✓ BUYBOX ALTINA GİR","BUYBOX ALTI KÂRSIZ → min kârlı fiyat")))</f>
        <v/>
      </c>
      <c r="AJ251" s="10">
        <f>IF($B251="","",IFERROR(VLOOKUP($B251,Maliyetler!$A:$G,6,FALSE),""))</f>
        <v/>
      </c>
      <c r="AK251">
        <f>IF($B251="","",IFERROR(VLOOKUP($B251,Maliyetler!$A:$G,7,FALSE),""))</f>
        <v/>
      </c>
      <c r="AO251" s="21">
        <f>IF($B251="","",IFERROR(VLOOKUP($B251&amp;"",'Plus Tarifeleri'!$C:$Q,11,FALSE),""))</f>
        <v/>
      </c>
      <c r="AP251" s="22">
        <f>IF(AO251="","",IFERROR(IF($AM$1=2,VLOOKUP($B251&amp;"",'Plus Tarifeleri'!$C:$Q,15,FALSE),VLOOKUP($B251&amp;"",'Plus Tarifeleri'!$C:$Q,13,FALSE)),""))</f>
        <v/>
      </c>
      <c r="AQ251" s="21">
        <f>IF(OR(AO251="",AP251="",$D251=""),"",AO251*(1-AP251/100)-$D251-IF(AO251&lt;=199.99,Kargo!$E$2,IF(AO251&lt;=399.99,Kargo!$E$3,$F251)))</f>
        <v/>
      </c>
      <c r="AR251" s="23">
        <f>IF(AQ251="","",AQ251/AO251)</f>
        <v/>
      </c>
      <c r="AS251" s="24">
        <f>IF(OR(AQ251="",AG251=""),"",AQ251-AG251)</f>
        <v/>
      </c>
    </row>
    <row r="252">
      <c r="A252">
        <f>IF('Komisyon Tarifeleri'!A252="","",'Komisyon Tarifeleri'!A252)</f>
        <v/>
      </c>
      <c r="B252">
        <f>IF('Komisyon Tarifeleri'!B252="","",'Komisyon Tarifeleri'!B252&amp;"")</f>
        <v/>
      </c>
      <c r="C252">
        <f>IF($B252="","",'Komisyon Tarifeleri'!F252)</f>
        <v/>
      </c>
      <c r="D252" s="10">
        <f>IF($B252="","",IFERROR(VLOOKUP($B252,Maliyetler!$A:$E,3,FALSE),""))</f>
        <v/>
      </c>
      <c r="E252">
        <f>IF($B252="","",IFERROR(VLOOKUP($B252,Maliyetler!$A:$E,4,FALSE),1))</f>
        <v/>
      </c>
      <c r="F252" s="10">
        <f>IF($B252="","",IFERROR(VLOOKUP(MIN(20,MAX(1,ROUND($E252,0))),Kargo!$A:$B,2,FALSE),99.46))</f>
        <v/>
      </c>
      <c r="G252" s="10">
        <f>IF($B252="","",IF(IF(N('Komisyon Tarifeleri'!AA252)&gt;='Komisyon Tarifeleri'!I252,'Komisyon Tarifeleri'!AA252,'Komisyon Tarifeleri'!I252)="","",IF(N('Komisyon Tarifeleri'!AA252)&gt;='Komisyon Tarifeleri'!I252,'Komisyon Tarifeleri'!AA252,'Komisyon Tarifeleri'!I252)))</f>
        <v/>
      </c>
      <c r="H252" s="11">
        <f>IF(G252="","",IF($AM$1=2,'Komisyon Tarifeleri'!U252,'Komisyon Tarifeleri'!P252))</f>
        <v/>
      </c>
      <c r="I252" s="10">
        <f>IF(OR(G252="",$D252=""),"",G252*(1-H252/100)-$D252-IF(G252&lt;=199.99,Kargo!$E$2,IF(G252&lt;=399.99,Kargo!$E$3,$F252)))</f>
        <v/>
      </c>
      <c r="J252" s="12">
        <f>IF(I252="","",I252/G252)</f>
        <v/>
      </c>
      <c r="K252" s="10">
        <f>IF($B252="","",IF('Komisyon Tarifeleri'!J252="","",'Komisyon Tarifeleri'!J252))</f>
        <v/>
      </c>
      <c r="L252" s="11">
        <f>IF(K252="","",IF($AM$1=2,'Komisyon Tarifeleri'!V252,'Komisyon Tarifeleri'!Q252))</f>
        <v/>
      </c>
      <c r="M252" s="10">
        <f>IF(OR(K252="",$D252=""),"",K252*(1-L252/100)-$D252-IF(K252&lt;=199.99,Kargo!$E$2,IF(K252&lt;=399.99,Kargo!$E$3,$F252)))</f>
        <v/>
      </c>
      <c r="N252" s="12">
        <f>IF(M252="","",M252/K252)</f>
        <v/>
      </c>
      <c r="O252" s="10">
        <f>IF($B252="","",IF('Komisyon Tarifeleri'!L252="","",'Komisyon Tarifeleri'!L252))</f>
        <v/>
      </c>
      <c r="P252" s="11">
        <f>IF(O252="","",IF($AM$1=2,'Komisyon Tarifeleri'!W252,'Komisyon Tarifeleri'!R252))</f>
        <v/>
      </c>
      <c r="Q252" s="10">
        <f>IF(OR(O252="",$D252=""),"",O252*(1-P252/100)-$D252-IF(O252&lt;=199.99,Kargo!$E$2,IF(O252&lt;=399.99,Kargo!$E$3,$F252)))</f>
        <v/>
      </c>
      <c r="R252" s="12">
        <f>IF(Q252="","",Q252/O252)</f>
        <v/>
      </c>
      <c r="S252" s="10">
        <f>IF($B252="","",IF('Komisyon Tarifeleri'!N252="","",'Komisyon Tarifeleri'!N252))</f>
        <v/>
      </c>
      <c r="T252" s="11">
        <f>IF(S252="","",IF($AM$1=2,'Komisyon Tarifeleri'!X252,'Komisyon Tarifeleri'!S252))</f>
        <v/>
      </c>
      <c r="U252" s="10">
        <f>IF(OR(S252="",$D252=""),"",S252*(1-T252/100)-$D252-IF(S252&lt;=199.99,Kargo!$E$2,IF(S252&lt;=399.99,Kargo!$E$3,$F252)))</f>
        <v/>
      </c>
      <c r="V252" s="12">
        <f>IF(U252="","",U252/S252)</f>
        <v/>
      </c>
      <c r="W252" s="12">
        <f>IF($B252="","",IFERROR(VLOOKUP($C252,Hedefler!$A:$C,2,FALSE),0.04))</f>
        <v/>
      </c>
      <c r="X252" s="12">
        <f>IF($B252="","",IFERROR(VLOOKUP($C252,Hedefler!$A:$C,3,FALSE),0.1))</f>
        <v/>
      </c>
      <c r="Y252" s="13">
        <f>IF($B252="","",IFERROR(VLOOKUP($B252,Maliyetler!$A:$E,5,FALSE),""))</f>
        <v/>
      </c>
      <c r="Z252" s="13">
        <f>IF(OR(Y252="",Y252=0),"",Y252-1)</f>
        <v/>
      </c>
      <c r="AA252" s="14">
        <f>IF(Z252="","",IF(Z252&gt;='Komisyon Tarifeleri'!I252,IF($AM$1=2,'Komisyon Tarifeleri'!U252,'Komisyon Tarifeleri'!P252),IF(Z252&gt;='Komisyon Tarifeleri'!K252,IF($AM$1=2,'Komisyon Tarifeleri'!V252,'Komisyon Tarifeleri'!Q252),IF(Z252&gt;='Komisyon Tarifeleri'!M252,IF($AM$1=2,'Komisyon Tarifeleri'!W252,'Komisyon Tarifeleri'!R252),IF($AM$1=2,'Komisyon Tarifeleri'!X252,'Komisyon Tarifeleri'!S252)))))</f>
        <v/>
      </c>
      <c r="AB252" s="13">
        <f>IF(OR(AA252="",$D252=""),"",Z252*(1-AA252/100)-$D252-IF(Z252&lt;=199.99,Kargo!$E$2,IF(Z252&lt;=399.99,Kargo!$E$3,$F252)))</f>
        <v/>
      </c>
      <c r="AC252" s="15">
        <f>IF(AB252="","",AB252/Z252)</f>
        <v/>
      </c>
      <c r="AD252" s="10">
        <f>IF(OR($D252="",$B252=""),"",IF(AND((1-T252/100-W252)&gt;0,CEILING(($D252+$F252)/(1-T252/100-W252),1)&lt;='Komisyon Tarifeleri'!N252),CEILING(($D252+$F252)/(1-T252/100-W252),1),IF(AND((1-P252/100-W252)&gt;0,CEILING(MAX('Komisyon Tarifeleri'!M252,($D252+$F252)/(1-P252/100-W252)),1)&lt;='Komisyon Tarifeleri'!L252),CEILING(MAX('Komisyon Tarifeleri'!M252,($D252+$F252)/(1-P252/100-W252)),1),IF(AND((1-L252/100-W252)&gt;0,CEILING(MAX('Komisyon Tarifeleri'!K252,($D252+$F252)/(1-L252/100-W252)),1)&lt;='Komisyon Tarifeleri'!J252),CEILING(MAX('Komisyon Tarifeleri'!K252,($D252+$F252)/(1-L252/100-W252)),1),IF((1-H252/100-W252)&gt;0,CEILING(MAX('Komisyon Tarifeleri'!I252,($D252+$F252)/(1-H252/100-W252)),1),"İMKÂNSIZ")))))</f>
        <v/>
      </c>
      <c r="AE252" s="10">
        <f>IF(OR($D252="",$B252=""),"",IF(AND((1-T252/100-X252)&gt;0,CEILING(($D252+$F252)/(1-T252/100-X252),1)&lt;='Komisyon Tarifeleri'!N252),CEILING(($D252+$F252)/(1-T252/100-X252),1),IF(AND((1-P252/100-X252)&gt;0,CEILING(MAX('Komisyon Tarifeleri'!M252,($D252+$F252)/(1-P252/100-X252)),1)&lt;='Komisyon Tarifeleri'!L252),CEILING(MAX('Komisyon Tarifeleri'!M252,($D252+$F252)/(1-P252/100-X252)),1),IF(AND((1-L252/100-X252)&gt;0,CEILING(MAX('Komisyon Tarifeleri'!K252,($D252+$F252)/(1-L252/100-X252)),1)&lt;='Komisyon Tarifeleri'!J252),CEILING(MAX('Komisyon Tarifeleri'!K252,($D252+$F252)/(1-L252/100-X252)),1),IF((1-H252/100-X252)&gt;0,CEILING(MAX('Komisyon Tarifeleri'!I252,($D252+$F252)/(1-H252/100-X252)),1),"İMKÂNSIZ")))))</f>
        <v/>
      </c>
      <c r="AF252" s="16">
        <f>IF($D252="","",IF(AND(Y252&lt;&gt;"",AC252&lt;&gt;"",AC252&gt;=W252),Z252,IF(Y252&lt;&gt;"",AD252,AE252)))</f>
        <v/>
      </c>
      <c r="AG252" s="16">
        <f>IF(OR(AF252="",AF252="İMKÂNSIZ"),"",AF252*(1-IF(AF252&gt;='Komisyon Tarifeleri'!I252,IF($AM$1=2,'Komisyon Tarifeleri'!U252,'Komisyon Tarifeleri'!P252),IF(AF252&gt;='Komisyon Tarifeleri'!K252,IF($AM$1=2,'Komisyon Tarifeleri'!V252,'Komisyon Tarifeleri'!Q252),IF(AF252&gt;='Komisyon Tarifeleri'!M252,IF($AM$1=2,'Komisyon Tarifeleri'!W252,'Komisyon Tarifeleri'!R252),IF($AM$1=2,'Komisyon Tarifeleri'!X252,'Komisyon Tarifeleri'!S252))))/100)-$D252-IF(AF252&lt;=199.99,Kargo!$E$2,IF(AF252&lt;=399.99,Kargo!$E$3,$F252)))</f>
        <v/>
      </c>
      <c r="AH252" s="17">
        <f>IF(AG252="","",AG252/AF252)</f>
        <v/>
      </c>
      <c r="AI252" s="18">
        <f>IF($D252="","",IF(Y252="","BUYBOX YOK → hedef kârla min fiyat",IF(AC252&gt;=W252,"✓ BUYBOX ALTINA GİR","BUYBOX ALTI KÂRSIZ → min kârlı fiyat")))</f>
        <v/>
      </c>
      <c r="AJ252" s="10">
        <f>IF($B252="","",IFERROR(VLOOKUP($B252,Maliyetler!$A:$G,6,FALSE),""))</f>
        <v/>
      </c>
      <c r="AK252">
        <f>IF($B252="","",IFERROR(VLOOKUP($B252,Maliyetler!$A:$G,7,FALSE),""))</f>
        <v/>
      </c>
      <c r="AO252" s="21">
        <f>IF($B252="","",IFERROR(VLOOKUP($B252&amp;"",'Plus Tarifeleri'!$C:$Q,11,FALSE),""))</f>
        <v/>
      </c>
      <c r="AP252" s="22">
        <f>IF(AO252="","",IFERROR(IF($AM$1=2,VLOOKUP($B252&amp;"",'Plus Tarifeleri'!$C:$Q,15,FALSE),VLOOKUP($B252&amp;"",'Plus Tarifeleri'!$C:$Q,13,FALSE)),""))</f>
        <v/>
      </c>
      <c r="AQ252" s="21">
        <f>IF(OR(AO252="",AP252="",$D252=""),"",AO252*(1-AP252/100)-$D252-IF(AO252&lt;=199.99,Kargo!$E$2,IF(AO252&lt;=399.99,Kargo!$E$3,$F252)))</f>
        <v/>
      </c>
      <c r="AR252" s="23">
        <f>IF(AQ252="","",AQ252/AO252)</f>
        <v/>
      </c>
      <c r="AS252" s="24">
        <f>IF(OR(AQ252="",AG252=""),"",AQ252-AG252)</f>
        <v/>
      </c>
    </row>
    <row r="253">
      <c r="A253">
        <f>IF('Komisyon Tarifeleri'!A253="","",'Komisyon Tarifeleri'!A253)</f>
        <v/>
      </c>
      <c r="B253">
        <f>IF('Komisyon Tarifeleri'!B253="","",'Komisyon Tarifeleri'!B253&amp;"")</f>
        <v/>
      </c>
      <c r="C253">
        <f>IF($B253="","",'Komisyon Tarifeleri'!F253)</f>
        <v/>
      </c>
      <c r="D253" s="10">
        <f>IF($B253="","",IFERROR(VLOOKUP($B253,Maliyetler!$A:$E,3,FALSE),""))</f>
        <v/>
      </c>
      <c r="E253">
        <f>IF($B253="","",IFERROR(VLOOKUP($B253,Maliyetler!$A:$E,4,FALSE),1))</f>
        <v/>
      </c>
      <c r="F253" s="10">
        <f>IF($B253="","",IFERROR(VLOOKUP(MIN(20,MAX(1,ROUND($E253,0))),Kargo!$A:$B,2,FALSE),99.46))</f>
        <v/>
      </c>
      <c r="G253" s="10">
        <f>IF($B253="","",IF(IF(N('Komisyon Tarifeleri'!AA253)&gt;='Komisyon Tarifeleri'!I253,'Komisyon Tarifeleri'!AA253,'Komisyon Tarifeleri'!I253)="","",IF(N('Komisyon Tarifeleri'!AA253)&gt;='Komisyon Tarifeleri'!I253,'Komisyon Tarifeleri'!AA253,'Komisyon Tarifeleri'!I253)))</f>
        <v/>
      </c>
      <c r="H253" s="11">
        <f>IF(G253="","",IF($AM$1=2,'Komisyon Tarifeleri'!U253,'Komisyon Tarifeleri'!P253))</f>
        <v/>
      </c>
      <c r="I253" s="10">
        <f>IF(OR(G253="",$D253=""),"",G253*(1-H253/100)-$D253-IF(G253&lt;=199.99,Kargo!$E$2,IF(G253&lt;=399.99,Kargo!$E$3,$F253)))</f>
        <v/>
      </c>
      <c r="J253" s="12">
        <f>IF(I253="","",I253/G253)</f>
        <v/>
      </c>
      <c r="K253" s="10">
        <f>IF($B253="","",IF('Komisyon Tarifeleri'!J253="","",'Komisyon Tarifeleri'!J253))</f>
        <v/>
      </c>
      <c r="L253" s="11">
        <f>IF(K253="","",IF($AM$1=2,'Komisyon Tarifeleri'!V253,'Komisyon Tarifeleri'!Q253))</f>
        <v/>
      </c>
      <c r="M253" s="10">
        <f>IF(OR(K253="",$D253=""),"",K253*(1-L253/100)-$D253-IF(K253&lt;=199.99,Kargo!$E$2,IF(K253&lt;=399.99,Kargo!$E$3,$F253)))</f>
        <v/>
      </c>
      <c r="N253" s="12">
        <f>IF(M253="","",M253/K253)</f>
        <v/>
      </c>
      <c r="O253" s="10">
        <f>IF($B253="","",IF('Komisyon Tarifeleri'!L253="","",'Komisyon Tarifeleri'!L253))</f>
        <v/>
      </c>
      <c r="P253" s="11">
        <f>IF(O253="","",IF($AM$1=2,'Komisyon Tarifeleri'!W253,'Komisyon Tarifeleri'!R253))</f>
        <v/>
      </c>
      <c r="Q253" s="10">
        <f>IF(OR(O253="",$D253=""),"",O253*(1-P253/100)-$D253-IF(O253&lt;=199.99,Kargo!$E$2,IF(O253&lt;=399.99,Kargo!$E$3,$F253)))</f>
        <v/>
      </c>
      <c r="R253" s="12">
        <f>IF(Q253="","",Q253/O253)</f>
        <v/>
      </c>
      <c r="S253" s="10">
        <f>IF($B253="","",IF('Komisyon Tarifeleri'!N253="","",'Komisyon Tarifeleri'!N253))</f>
        <v/>
      </c>
      <c r="T253" s="11">
        <f>IF(S253="","",IF($AM$1=2,'Komisyon Tarifeleri'!X253,'Komisyon Tarifeleri'!S253))</f>
        <v/>
      </c>
      <c r="U253" s="10">
        <f>IF(OR(S253="",$D253=""),"",S253*(1-T253/100)-$D253-IF(S253&lt;=199.99,Kargo!$E$2,IF(S253&lt;=399.99,Kargo!$E$3,$F253)))</f>
        <v/>
      </c>
      <c r="V253" s="12">
        <f>IF(U253="","",U253/S253)</f>
        <v/>
      </c>
      <c r="W253" s="12">
        <f>IF($B253="","",IFERROR(VLOOKUP($C253,Hedefler!$A:$C,2,FALSE),0.04))</f>
        <v/>
      </c>
      <c r="X253" s="12">
        <f>IF($B253="","",IFERROR(VLOOKUP($C253,Hedefler!$A:$C,3,FALSE),0.1))</f>
        <v/>
      </c>
      <c r="Y253" s="13">
        <f>IF($B253="","",IFERROR(VLOOKUP($B253,Maliyetler!$A:$E,5,FALSE),""))</f>
        <v/>
      </c>
      <c r="Z253" s="13">
        <f>IF(OR(Y253="",Y253=0),"",Y253-1)</f>
        <v/>
      </c>
      <c r="AA253" s="14">
        <f>IF(Z253="","",IF(Z253&gt;='Komisyon Tarifeleri'!I253,IF($AM$1=2,'Komisyon Tarifeleri'!U253,'Komisyon Tarifeleri'!P253),IF(Z253&gt;='Komisyon Tarifeleri'!K253,IF($AM$1=2,'Komisyon Tarifeleri'!V253,'Komisyon Tarifeleri'!Q253),IF(Z253&gt;='Komisyon Tarifeleri'!M253,IF($AM$1=2,'Komisyon Tarifeleri'!W253,'Komisyon Tarifeleri'!R253),IF($AM$1=2,'Komisyon Tarifeleri'!X253,'Komisyon Tarifeleri'!S253)))))</f>
        <v/>
      </c>
      <c r="AB253" s="13">
        <f>IF(OR(AA253="",$D253=""),"",Z253*(1-AA253/100)-$D253-IF(Z253&lt;=199.99,Kargo!$E$2,IF(Z253&lt;=399.99,Kargo!$E$3,$F253)))</f>
        <v/>
      </c>
      <c r="AC253" s="15">
        <f>IF(AB253="","",AB253/Z253)</f>
        <v/>
      </c>
      <c r="AD253" s="10">
        <f>IF(OR($D253="",$B253=""),"",IF(AND((1-T253/100-W253)&gt;0,CEILING(($D253+$F253)/(1-T253/100-W253),1)&lt;='Komisyon Tarifeleri'!N253),CEILING(($D253+$F253)/(1-T253/100-W253),1),IF(AND((1-P253/100-W253)&gt;0,CEILING(MAX('Komisyon Tarifeleri'!M253,($D253+$F253)/(1-P253/100-W253)),1)&lt;='Komisyon Tarifeleri'!L253),CEILING(MAX('Komisyon Tarifeleri'!M253,($D253+$F253)/(1-P253/100-W253)),1),IF(AND((1-L253/100-W253)&gt;0,CEILING(MAX('Komisyon Tarifeleri'!K253,($D253+$F253)/(1-L253/100-W253)),1)&lt;='Komisyon Tarifeleri'!J253),CEILING(MAX('Komisyon Tarifeleri'!K253,($D253+$F253)/(1-L253/100-W253)),1),IF((1-H253/100-W253)&gt;0,CEILING(MAX('Komisyon Tarifeleri'!I253,($D253+$F253)/(1-H253/100-W253)),1),"İMKÂNSIZ")))))</f>
        <v/>
      </c>
      <c r="AE253" s="10">
        <f>IF(OR($D253="",$B253=""),"",IF(AND((1-T253/100-X253)&gt;0,CEILING(($D253+$F253)/(1-T253/100-X253),1)&lt;='Komisyon Tarifeleri'!N253),CEILING(($D253+$F253)/(1-T253/100-X253),1),IF(AND((1-P253/100-X253)&gt;0,CEILING(MAX('Komisyon Tarifeleri'!M253,($D253+$F253)/(1-P253/100-X253)),1)&lt;='Komisyon Tarifeleri'!L253),CEILING(MAX('Komisyon Tarifeleri'!M253,($D253+$F253)/(1-P253/100-X253)),1),IF(AND((1-L253/100-X253)&gt;0,CEILING(MAX('Komisyon Tarifeleri'!K253,($D253+$F253)/(1-L253/100-X253)),1)&lt;='Komisyon Tarifeleri'!J253),CEILING(MAX('Komisyon Tarifeleri'!K253,($D253+$F253)/(1-L253/100-X253)),1),IF((1-H253/100-X253)&gt;0,CEILING(MAX('Komisyon Tarifeleri'!I253,($D253+$F253)/(1-H253/100-X253)),1),"İMKÂNSIZ")))))</f>
        <v/>
      </c>
      <c r="AF253" s="16">
        <f>IF($D253="","",IF(AND(Y253&lt;&gt;"",AC253&lt;&gt;"",AC253&gt;=W253),Z253,IF(Y253&lt;&gt;"",AD253,AE253)))</f>
        <v/>
      </c>
      <c r="AG253" s="16">
        <f>IF(OR(AF253="",AF253="İMKÂNSIZ"),"",AF253*(1-IF(AF253&gt;='Komisyon Tarifeleri'!I253,IF($AM$1=2,'Komisyon Tarifeleri'!U253,'Komisyon Tarifeleri'!P253),IF(AF253&gt;='Komisyon Tarifeleri'!K253,IF($AM$1=2,'Komisyon Tarifeleri'!V253,'Komisyon Tarifeleri'!Q253),IF(AF253&gt;='Komisyon Tarifeleri'!M253,IF($AM$1=2,'Komisyon Tarifeleri'!W253,'Komisyon Tarifeleri'!R253),IF($AM$1=2,'Komisyon Tarifeleri'!X253,'Komisyon Tarifeleri'!S253))))/100)-$D253-IF(AF253&lt;=199.99,Kargo!$E$2,IF(AF253&lt;=399.99,Kargo!$E$3,$F253)))</f>
        <v/>
      </c>
      <c r="AH253" s="17">
        <f>IF(AG253="","",AG253/AF253)</f>
        <v/>
      </c>
      <c r="AI253" s="18">
        <f>IF($D253="","",IF(Y253="","BUYBOX YOK → hedef kârla min fiyat",IF(AC253&gt;=W253,"✓ BUYBOX ALTINA GİR","BUYBOX ALTI KÂRSIZ → min kârlı fiyat")))</f>
        <v/>
      </c>
      <c r="AJ253" s="10">
        <f>IF($B253="","",IFERROR(VLOOKUP($B253,Maliyetler!$A:$G,6,FALSE),""))</f>
        <v/>
      </c>
      <c r="AK253">
        <f>IF($B253="","",IFERROR(VLOOKUP($B253,Maliyetler!$A:$G,7,FALSE),""))</f>
        <v/>
      </c>
      <c r="AO253" s="21">
        <f>IF($B253="","",IFERROR(VLOOKUP($B253&amp;"",'Plus Tarifeleri'!$C:$Q,11,FALSE),""))</f>
        <v/>
      </c>
      <c r="AP253" s="22">
        <f>IF(AO253="","",IFERROR(IF($AM$1=2,VLOOKUP($B253&amp;"",'Plus Tarifeleri'!$C:$Q,15,FALSE),VLOOKUP($B253&amp;"",'Plus Tarifeleri'!$C:$Q,13,FALSE)),""))</f>
        <v/>
      </c>
      <c r="AQ253" s="21">
        <f>IF(OR(AO253="",AP253="",$D253=""),"",AO253*(1-AP253/100)-$D253-IF(AO253&lt;=199.99,Kargo!$E$2,IF(AO253&lt;=399.99,Kargo!$E$3,$F253)))</f>
        <v/>
      </c>
      <c r="AR253" s="23">
        <f>IF(AQ253="","",AQ253/AO253)</f>
        <v/>
      </c>
      <c r="AS253" s="24">
        <f>IF(OR(AQ253="",AG253=""),"",AQ253-AG253)</f>
        <v/>
      </c>
    </row>
    <row r="254">
      <c r="A254">
        <f>IF('Komisyon Tarifeleri'!A254="","",'Komisyon Tarifeleri'!A254)</f>
        <v/>
      </c>
      <c r="B254">
        <f>IF('Komisyon Tarifeleri'!B254="","",'Komisyon Tarifeleri'!B254&amp;"")</f>
        <v/>
      </c>
      <c r="C254">
        <f>IF($B254="","",'Komisyon Tarifeleri'!F254)</f>
        <v/>
      </c>
      <c r="D254" s="10">
        <f>IF($B254="","",IFERROR(VLOOKUP($B254,Maliyetler!$A:$E,3,FALSE),""))</f>
        <v/>
      </c>
      <c r="E254">
        <f>IF($B254="","",IFERROR(VLOOKUP($B254,Maliyetler!$A:$E,4,FALSE),1))</f>
        <v/>
      </c>
      <c r="F254" s="10">
        <f>IF($B254="","",IFERROR(VLOOKUP(MIN(20,MAX(1,ROUND($E254,0))),Kargo!$A:$B,2,FALSE),99.46))</f>
        <v/>
      </c>
      <c r="G254" s="10">
        <f>IF($B254="","",IF(IF(N('Komisyon Tarifeleri'!AA254)&gt;='Komisyon Tarifeleri'!I254,'Komisyon Tarifeleri'!AA254,'Komisyon Tarifeleri'!I254)="","",IF(N('Komisyon Tarifeleri'!AA254)&gt;='Komisyon Tarifeleri'!I254,'Komisyon Tarifeleri'!AA254,'Komisyon Tarifeleri'!I254)))</f>
        <v/>
      </c>
      <c r="H254" s="11">
        <f>IF(G254="","",IF($AM$1=2,'Komisyon Tarifeleri'!U254,'Komisyon Tarifeleri'!P254))</f>
        <v/>
      </c>
      <c r="I254" s="10">
        <f>IF(OR(G254="",$D254=""),"",G254*(1-H254/100)-$D254-IF(G254&lt;=199.99,Kargo!$E$2,IF(G254&lt;=399.99,Kargo!$E$3,$F254)))</f>
        <v/>
      </c>
      <c r="J254" s="12">
        <f>IF(I254="","",I254/G254)</f>
        <v/>
      </c>
      <c r="K254" s="10">
        <f>IF($B254="","",IF('Komisyon Tarifeleri'!J254="","",'Komisyon Tarifeleri'!J254))</f>
        <v/>
      </c>
      <c r="L254" s="11">
        <f>IF(K254="","",IF($AM$1=2,'Komisyon Tarifeleri'!V254,'Komisyon Tarifeleri'!Q254))</f>
        <v/>
      </c>
      <c r="M254" s="10">
        <f>IF(OR(K254="",$D254=""),"",K254*(1-L254/100)-$D254-IF(K254&lt;=199.99,Kargo!$E$2,IF(K254&lt;=399.99,Kargo!$E$3,$F254)))</f>
        <v/>
      </c>
      <c r="N254" s="12">
        <f>IF(M254="","",M254/K254)</f>
        <v/>
      </c>
      <c r="O254" s="10">
        <f>IF($B254="","",IF('Komisyon Tarifeleri'!L254="","",'Komisyon Tarifeleri'!L254))</f>
        <v/>
      </c>
      <c r="P254" s="11">
        <f>IF(O254="","",IF($AM$1=2,'Komisyon Tarifeleri'!W254,'Komisyon Tarifeleri'!R254))</f>
        <v/>
      </c>
      <c r="Q254" s="10">
        <f>IF(OR(O254="",$D254=""),"",O254*(1-P254/100)-$D254-IF(O254&lt;=199.99,Kargo!$E$2,IF(O254&lt;=399.99,Kargo!$E$3,$F254)))</f>
        <v/>
      </c>
      <c r="R254" s="12">
        <f>IF(Q254="","",Q254/O254)</f>
        <v/>
      </c>
      <c r="S254" s="10">
        <f>IF($B254="","",IF('Komisyon Tarifeleri'!N254="","",'Komisyon Tarifeleri'!N254))</f>
        <v/>
      </c>
      <c r="T254" s="11">
        <f>IF(S254="","",IF($AM$1=2,'Komisyon Tarifeleri'!X254,'Komisyon Tarifeleri'!S254))</f>
        <v/>
      </c>
      <c r="U254" s="10">
        <f>IF(OR(S254="",$D254=""),"",S254*(1-T254/100)-$D254-IF(S254&lt;=199.99,Kargo!$E$2,IF(S254&lt;=399.99,Kargo!$E$3,$F254)))</f>
        <v/>
      </c>
      <c r="V254" s="12">
        <f>IF(U254="","",U254/S254)</f>
        <v/>
      </c>
      <c r="W254" s="12">
        <f>IF($B254="","",IFERROR(VLOOKUP($C254,Hedefler!$A:$C,2,FALSE),0.04))</f>
        <v/>
      </c>
      <c r="X254" s="12">
        <f>IF($B254="","",IFERROR(VLOOKUP($C254,Hedefler!$A:$C,3,FALSE),0.1))</f>
        <v/>
      </c>
      <c r="Y254" s="13">
        <f>IF($B254="","",IFERROR(VLOOKUP($B254,Maliyetler!$A:$E,5,FALSE),""))</f>
        <v/>
      </c>
      <c r="Z254" s="13">
        <f>IF(OR(Y254="",Y254=0),"",Y254-1)</f>
        <v/>
      </c>
      <c r="AA254" s="14">
        <f>IF(Z254="","",IF(Z254&gt;='Komisyon Tarifeleri'!I254,IF($AM$1=2,'Komisyon Tarifeleri'!U254,'Komisyon Tarifeleri'!P254),IF(Z254&gt;='Komisyon Tarifeleri'!K254,IF($AM$1=2,'Komisyon Tarifeleri'!V254,'Komisyon Tarifeleri'!Q254),IF(Z254&gt;='Komisyon Tarifeleri'!M254,IF($AM$1=2,'Komisyon Tarifeleri'!W254,'Komisyon Tarifeleri'!R254),IF($AM$1=2,'Komisyon Tarifeleri'!X254,'Komisyon Tarifeleri'!S254)))))</f>
        <v/>
      </c>
      <c r="AB254" s="13">
        <f>IF(OR(AA254="",$D254=""),"",Z254*(1-AA254/100)-$D254-IF(Z254&lt;=199.99,Kargo!$E$2,IF(Z254&lt;=399.99,Kargo!$E$3,$F254)))</f>
        <v/>
      </c>
      <c r="AC254" s="15">
        <f>IF(AB254="","",AB254/Z254)</f>
        <v/>
      </c>
      <c r="AD254" s="10">
        <f>IF(OR($D254="",$B254=""),"",IF(AND((1-T254/100-W254)&gt;0,CEILING(($D254+$F254)/(1-T254/100-W254),1)&lt;='Komisyon Tarifeleri'!N254),CEILING(($D254+$F254)/(1-T254/100-W254),1),IF(AND((1-P254/100-W254)&gt;0,CEILING(MAX('Komisyon Tarifeleri'!M254,($D254+$F254)/(1-P254/100-W254)),1)&lt;='Komisyon Tarifeleri'!L254),CEILING(MAX('Komisyon Tarifeleri'!M254,($D254+$F254)/(1-P254/100-W254)),1),IF(AND((1-L254/100-W254)&gt;0,CEILING(MAX('Komisyon Tarifeleri'!K254,($D254+$F254)/(1-L254/100-W254)),1)&lt;='Komisyon Tarifeleri'!J254),CEILING(MAX('Komisyon Tarifeleri'!K254,($D254+$F254)/(1-L254/100-W254)),1),IF((1-H254/100-W254)&gt;0,CEILING(MAX('Komisyon Tarifeleri'!I254,($D254+$F254)/(1-H254/100-W254)),1),"İMKÂNSIZ")))))</f>
        <v/>
      </c>
      <c r="AE254" s="10">
        <f>IF(OR($D254="",$B254=""),"",IF(AND((1-T254/100-X254)&gt;0,CEILING(($D254+$F254)/(1-T254/100-X254),1)&lt;='Komisyon Tarifeleri'!N254),CEILING(($D254+$F254)/(1-T254/100-X254),1),IF(AND((1-P254/100-X254)&gt;0,CEILING(MAX('Komisyon Tarifeleri'!M254,($D254+$F254)/(1-P254/100-X254)),1)&lt;='Komisyon Tarifeleri'!L254),CEILING(MAX('Komisyon Tarifeleri'!M254,($D254+$F254)/(1-P254/100-X254)),1),IF(AND((1-L254/100-X254)&gt;0,CEILING(MAX('Komisyon Tarifeleri'!K254,($D254+$F254)/(1-L254/100-X254)),1)&lt;='Komisyon Tarifeleri'!J254),CEILING(MAX('Komisyon Tarifeleri'!K254,($D254+$F254)/(1-L254/100-X254)),1),IF((1-H254/100-X254)&gt;0,CEILING(MAX('Komisyon Tarifeleri'!I254,($D254+$F254)/(1-H254/100-X254)),1),"İMKÂNSIZ")))))</f>
        <v/>
      </c>
      <c r="AF254" s="16">
        <f>IF($D254="","",IF(AND(Y254&lt;&gt;"",AC254&lt;&gt;"",AC254&gt;=W254),Z254,IF(Y254&lt;&gt;"",AD254,AE254)))</f>
        <v/>
      </c>
      <c r="AG254" s="16">
        <f>IF(OR(AF254="",AF254="İMKÂNSIZ"),"",AF254*(1-IF(AF254&gt;='Komisyon Tarifeleri'!I254,IF($AM$1=2,'Komisyon Tarifeleri'!U254,'Komisyon Tarifeleri'!P254),IF(AF254&gt;='Komisyon Tarifeleri'!K254,IF($AM$1=2,'Komisyon Tarifeleri'!V254,'Komisyon Tarifeleri'!Q254),IF(AF254&gt;='Komisyon Tarifeleri'!M254,IF($AM$1=2,'Komisyon Tarifeleri'!W254,'Komisyon Tarifeleri'!R254),IF($AM$1=2,'Komisyon Tarifeleri'!X254,'Komisyon Tarifeleri'!S254))))/100)-$D254-IF(AF254&lt;=199.99,Kargo!$E$2,IF(AF254&lt;=399.99,Kargo!$E$3,$F254)))</f>
        <v/>
      </c>
      <c r="AH254" s="17">
        <f>IF(AG254="","",AG254/AF254)</f>
        <v/>
      </c>
      <c r="AI254" s="18">
        <f>IF($D254="","",IF(Y254="","BUYBOX YOK → hedef kârla min fiyat",IF(AC254&gt;=W254,"✓ BUYBOX ALTINA GİR","BUYBOX ALTI KÂRSIZ → min kârlı fiyat")))</f>
        <v/>
      </c>
      <c r="AJ254" s="10">
        <f>IF($B254="","",IFERROR(VLOOKUP($B254,Maliyetler!$A:$G,6,FALSE),""))</f>
        <v/>
      </c>
      <c r="AK254">
        <f>IF($B254="","",IFERROR(VLOOKUP($B254,Maliyetler!$A:$G,7,FALSE),""))</f>
        <v/>
      </c>
      <c r="AO254" s="21">
        <f>IF($B254="","",IFERROR(VLOOKUP($B254&amp;"",'Plus Tarifeleri'!$C:$Q,11,FALSE),""))</f>
        <v/>
      </c>
      <c r="AP254" s="22">
        <f>IF(AO254="","",IFERROR(IF($AM$1=2,VLOOKUP($B254&amp;"",'Plus Tarifeleri'!$C:$Q,15,FALSE),VLOOKUP($B254&amp;"",'Plus Tarifeleri'!$C:$Q,13,FALSE)),""))</f>
        <v/>
      </c>
      <c r="AQ254" s="21">
        <f>IF(OR(AO254="",AP254="",$D254=""),"",AO254*(1-AP254/100)-$D254-IF(AO254&lt;=199.99,Kargo!$E$2,IF(AO254&lt;=399.99,Kargo!$E$3,$F254)))</f>
        <v/>
      </c>
      <c r="AR254" s="23">
        <f>IF(AQ254="","",AQ254/AO254)</f>
        <v/>
      </c>
      <c r="AS254" s="24">
        <f>IF(OR(AQ254="",AG254=""),"",AQ254-AG254)</f>
        <v/>
      </c>
    </row>
    <row r="255">
      <c r="A255">
        <f>IF('Komisyon Tarifeleri'!A255="","",'Komisyon Tarifeleri'!A255)</f>
        <v/>
      </c>
      <c r="B255">
        <f>IF('Komisyon Tarifeleri'!B255="","",'Komisyon Tarifeleri'!B255&amp;"")</f>
        <v/>
      </c>
      <c r="C255">
        <f>IF($B255="","",'Komisyon Tarifeleri'!F255)</f>
        <v/>
      </c>
      <c r="D255" s="10">
        <f>IF($B255="","",IFERROR(VLOOKUP($B255,Maliyetler!$A:$E,3,FALSE),""))</f>
        <v/>
      </c>
      <c r="E255">
        <f>IF($B255="","",IFERROR(VLOOKUP($B255,Maliyetler!$A:$E,4,FALSE),1))</f>
        <v/>
      </c>
      <c r="F255" s="10">
        <f>IF($B255="","",IFERROR(VLOOKUP(MIN(20,MAX(1,ROUND($E255,0))),Kargo!$A:$B,2,FALSE),99.46))</f>
        <v/>
      </c>
      <c r="G255" s="10">
        <f>IF($B255="","",IF(IF(N('Komisyon Tarifeleri'!AA255)&gt;='Komisyon Tarifeleri'!I255,'Komisyon Tarifeleri'!AA255,'Komisyon Tarifeleri'!I255)="","",IF(N('Komisyon Tarifeleri'!AA255)&gt;='Komisyon Tarifeleri'!I255,'Komisyon Tarifeleri'!AA255,'Komisyon Tarifeleri'!I255)))</f>
        <v/>
      </c>
      <c r="H255" s="11">
        <f>IF(G255="","",IF($AM$1=2,'Komisyon Tarifeleri'!U255,'Komisyon Tarifeleri'!P255))</f>
        <v/>
      </c>
      <c r="I255" s="10">
        <f>IF(OR(G255="",$D255=""),"",G255*(1-H255/100)-$D255-IF(G255&lt;=199.99,Kargo!$E$2,IF(G255&lt;=399.99,Kargo!$E$3,$F255)))</f>
        <v/>
      </c>
      <c r="J255" s="12">
        <f>IF(I255="","",I255/G255)</f>
        <v/>
      </c>
      <c r="K255" s="10">
        <f>IF($B255="","",IF('Komisyon Tarifeleri'!J255="","",'Komisyon Tarifeleri'!J255))</f>
        <v/>
      </c>
      <c r="L255" s="11">
        <f>IF(K255="","",IF($AM$1=2,'Komisyon Tarifeleri'!V255,'Komisyon Tarifeleri'!Q255))</f>
        <v/>
      </c>
      <c r="M255" s="10">
        <f>IF(OR(K255="",$D255=""),"",K255*(1-L255/100)-$D255-IF(K255&lt;=199.99,Kargo!$E$2,IF(K255&lt;=399.99,Kargo!$E$3,$F255)))</f>
        <v/>
      </c>
      <c r="N255" s="12">
        <f>IF(M255="","",M255/K255)</f>
        <v/>
      </c>
      <c r="O255" s="10">
        <f>IF($B255="","",IF('Komisyon Tarifeleri'!L255="","",'Komisyon Tarifeleri'!L255))</f>
        <v/>
      </c>
      <c r="P255" s="11">
        <f>IF(O255="","",IF($AM$1=2,'Komisyon Tarifeleri'!W255,'Komisyon Tarifeleri'!R255))</f>
        <v/>
      </c>
      <c r="Q255" s="10">
        <f>IF(OR(O255="",$D255=""),"",O255*(1-P255/100)-$D255-IF(O255&lt;=199.99,Kargo!$E$2,IF(O255&lt;=399.99,Kargo!$E$3,$F255)))</f>
        <v/>
      </c>
      <c r="R255" s="12">
        <f>IF(Q255="","",Q255/O255)</f>
        <v/>
      </c>
      <c r="S255" s="10">
        <f>IF($B255="","",IF('Komisyon Tarifeleri'!N255="","",'Komisyon Tarifeleri'!N255))</f>
        <v/>
      </c>
      <c r="T255" s="11">
        <f>IF(S255="","",IF($AM$1=2,'Komisyon Tarifeleri'!X255,'Komisyon Tarifeleri'!S255))</f>
        <v/>
      </c>
      <c r="U255" s="10">
        <f>IF(OR(S255="",$D255=""),"",S255*(1-T255/100)-$D255-IF(S255&lt;=199.99,Kargo!$E$2,IF(S255&lt;=399.99,Kargo!$E$3,$F255)))</f>
        <v/>
      </c>
      <c r="V255" s="12">
        <f>IF(U255="","",U255/S255)</f>
        <v/>
      </c>
      <c r="W255" s="12">
        <f>IF($B255="","",IFERROR(VLOOKUP($C255,Hedefler!$A:$C,2,FALSE),0.04))</f>
        <v/>
      </c>
      <c r="X255" s="12">
        <f>IF($B255="","",IFERROR(VLOOKUP($C255,Hedefler!$A:$C,3,FALSE),0.1))</f>
        <v/>
      </c>
      <c r="Y255" s="13">
        <f>IF($B255="","",IFERROR(VLOOKUP($B255,Maliyetler!$A:$E,5,FALSE),""))</f>
        <v/>
      </c>
      <c r="Z255" s="13">
        <f>IF(OR(Y255="",Y255=0),"",Y255-1)</f>
        <v/>
      </c>
      <c r="AA255" s="14">
        <f>IF(Z255="","",IF(Z255&gt;='Komisyon Tarifeleri'!I255,IF($AM$1=2,'Komisyon Tarifeleri'!U255,'Komisyon Tarifeleri'!P255),IF(Z255&gt;='Komisyon Tarifeleri'!K255,IF($AM$1=2,'Komisyon Tarifeleri'!V255,'Komisyon Tarifeleri'!Q255),IF(Z255&gt;='Komisyon Tarifeleri'!M255,IF($AM$1=2,'Komisyon Tarifeleri'!W255,'Komisyon Tarifeleri'!R255),IF($AM$1=2,'Komisyon Tarifeleri'!X255,'Komisyon Tarifeleri'!S255)))))</f>
        <v/>
      </c>
      <c r="AB255" s="13">
        <f>IF(OR(AA255="",$D255=""),"",Z255*(1-AA255/100)-$D255-IF(Z255&lt;=199.99,Kargo!$E$2,IF(Z255&lt;=399.99,Kargo!$E$3,$F255)))</f>
        <v/>
      </c>
      <c r="AC255" s="15">
        <f>IF(AB255="","",AB255/Z255)</f>
        <v/>
      </c>
      <c r="AD255" s="10">
        <f>IF(OR($D255="",$B255=""),"",IF(AND((1-T255/100-W255)&gt;0,CEILING(($D255+$F255)/(1-T255/100-W255),1)&lt;='Komisyon Tarifeleri'!N255),CEILING(($D255+$F255)/(1-T255/100-W255),1),IF(AND((1-P255/100-W255)&gt;0,CEILING(MAX('Komisyon Tarifeleri'!M255,($D255+$F255)/(1-P255/100-W255)),1)&lt;='Komisyon Tarifeleri'!L255),CEILING(MAX('Komisyon Tarifeleri'!M255,($D255+$F255)/(1-P255/100-W255)),1),IF(AND((1-L255/100-W255)&gt;0,CEILING(MAX('Komisyon Tarifeleri'!K255,($D255+$F255)/(1-L255/100-W255)),1)&lt;='Komisyon Tarifeleri'!J255),CEILING(MAX('Komisyon Tarifeleri'!K255,($D255+$F255)/(1-L255/100-W255)),1),IF((1-H255/100-W255)&gt;0,CEILING(MAX('Komisyon Tarifeleri'!I255,($D255+$F255)/(1-H255/100-W255)),1),"İMKÂNSIZ")))))</f>
        <v/>
      </c>
      <c r="AE255" s="10">
        <f>IF(OR($D255="",$B255=""),"",IF(AND((1-T255/100-X255)&gt;0,CEILING(($D255+$F255)/(1-T255/100-X255),1)&lt;='Komisyon Tarifeleri'!N255),CEILING(($D255+$F255)/(1-T255/100-X255),1),IF(AND((1-P255/100-X255)&gt;0,CEILING(MAX('Komisyon Tarifeleri'!M255,($D255+$F255)/(1-P255/100-X255)),1)&lt;='Komisyon Tarifeleri'!L255),CEILING(MAX('Komisyon Tarifeleri'!M255,($D255+$F255)/(1-P255/100-X255)),1),IF(AND((1-L255/100-X255)&gt;0,CEILING(MAX('Komisyon Tarifeleri'!K255,($D255+$F255)/(1-L255/100-X255)),1)&lt;='Komisyon Tarifeleri'!J255),CEILING(MAX('Komisyon Tarifeleri'!K255,($D255+$F255)/(1-L255/100-X255)),1),IF((1-H255/100-X255)&gt;0,CEILING(MAX('Komisyon Tarifeleri'!I255,($D255+$F255)/(1-H255/100-X255)),1),"İMKÂNSIZ")))))</f>
        <v/>
      </c>
      <c r="AF255" s="16">
        <f>IF($D255="","",IF(AND(Y255&lt;&gt;"",AC255&lt;&gt;"",AC255&gt;=W255),Z255,IF(Y255&lt;&gt;"",AD255,AE255)))</f>
        <v/>
      </c>
      <c r="AG255" s="16">
        <f>IF(OR(AF255="",AF255="İMKÂNSIZ"),"",AF255*(1-IF(AF255&gt;='Komisyon Tarifeleri'!I255,IF($AM$1=2,'Komisyon Tarifeleri'!U255,'Komisyon Tarifeleri'!P255),IF(AF255&gt;='Komisyon Tarifeleri'!K255,IF($AM$1=2,'Komisyon Tarifeleri'!V255,'Komisyon Tarifeleri'!Q255),IF(AF255&gt;='Komisyon Tarifeleri'!M255,IF($AM$1=2,'Komisyon Tarifeleri'!W255,'Komisyon Tarifeleri'!R255),IF($AM$1=2,'Komisyon Tarifeleri'!X255,'Komisyon Tarifeleri'!S255))))/100)-$D255-IF(AF255&lt;=199.99,Kargo!$E$2,IF(AF255&lt;=399.99,Kargo!$E$3,$F255)))</f>
        <v/>
      </c>
      <c r="AH255" s="17">
        <f>IF(AG255="","",AG255/AF255)</f>
        <v/>
      </c>
      <c r="AI255" s="18">
        <f>IF($D255="","",IF(Y255="","BUYBOX YOK → hedef kârla min fiyat",IF(AC255&gt;=W255,"✓ BUYBOX ALTINA GİR","BUYBOX ALTI KÂRSIZ → min kârlı fiyat")))</f>
        <v/>
      </c>
      <c r="AJ255" s="10">
        <f>IF($B255="","",IFERROR(VLOOKUP($B255,Maliyetler!$A:$G,6,FALSE),""))</f>
        <v/>
      </c>
      <c r="AK255">
        <f>IF($B255="","",IFERROR(VLOOKUP($B255,Maliyetler!$A:$G,7,FALSE),""))</f>
        <v/>
      </c>
      <c r="AO255" s="21">
        <f>IF($B255="","",IFERROR(VLOOKUP($B255&amp;"",'Plus Tarifeleri'!$C:$Q,11,FALSE),""))</f>
        <v/>
      </c>
      <c r="AP255" s="22">
        <f>IF(AO255="","",IFERROR(IF($AM$1=2,VLOOKUP($B255&amp;"",'Plus Tarifeleri'!$C:$Q,15,FALSE),VLOOKUP($B255&amp;"",'Plus Tarifeleri'!$C:$Q,13,FALSE)),""))</f>
        <v/>
      </c>
      <c r="AQ255" s="21">
        <f>IF(OR(AO255="",AP255="",$D255=""),"",AO255*(1-AP255/100)-$D255-IF(AO255&lt;=199.99,Kargo!$E$2,IF(AO255&lt;=399.99,Kargo!$E$3,$F255)))</f>
        <v/>
      </c>
      <c r="AR255" s="23">
        <f>IF(AQ255="","",AQ255/AO255)</f>
        <v/>
      </c>
      <c r="AS255" s="24">
        <f>IF(OR(AQ255="",AG255=""),"",AQ255-AG255)</f>
        <v/>
      </c>
    </row>
    <row r="256">
      <c r="A256">
        <f>IF('Komisyon Tarifeleri'!A256="","",'Komisyon Tarifeleri'!A256)</f>
        <v/>
      </c>
      <c r="B256">
        <f>IF('Komisyon Tarifeleri'!B256="","",'Komisyon Tarifeleri'!B256&amp;"")</f>
        <v/>
      </c>
      <c r="C256">
        <f>IF($B256="","",'Komisyon Tarifeleri'!F256)</f>
        <v/>
      </c>
      <c r="D256" s="10">
        <f>IF($B256="","",IFERROR(VLOOKUP($B256,Maliyetler!$A:$E,3,FALSE),""))</f>
        <v/>
      </c>
      <c r="E256">
        <f>IF($B256="","",IFERROR(VLOOKUP($B256,Maliyetler!$A:$E,4,FALSE),1))</f>
        <v/>
      </c>
      <c r="F256" s="10">
        <f>IF($B256="","",IFERROR(VLOOKUP(MIN(20,MAX(1,ROUND($E256,0))),Kargo!$A:$B,2,FALSE),99.46))</f>
        <v/>
      </c>
      <c r="G256" s="10">
        <f>IF($B256="","",IF(IF(N('Komisyon Tarifeleri'!AA256)&gt;='Komisyon Tarifeleri'!I256,'Komisyon Tarifeleri'!AA256,'Komisyon Tarifeleri'!I256)="","",IF(N('Komisyon Tarifeleri'!AA256)&gt;='Komisyon Tarifeleri'!I256,'Komisyon Tarifeleri'!AA256,'Komisyon Tarifeleri'!I256)))</f>
        <v/>
      </c>
      <c r="H256" s="11">
        <f>IF(G256="","",IF($AM$1=2,'Komisyon Tarifeleri'!U256,'Komisyon Tarifeleri'!P256))</f>
        <v/>
      </c>
      <c r="I256" s="10">
        <f>IF(OR(G256="",$D256=""),"",G256*(1-H256/100)-$D256-IF(G256&lt;=199.99,Kargo!$E$2,IF(G256&lt;=399.99,Kargo!$E$3,$F256)))</f>
        <v/>
      </c>
      <c r="J256" s="12">
        <f>IF(I256="","",I256/G256)</f>
        <v/>
      </c>
      <c r="K256" s="10">
        <f>IF($B256="","",IF('Komisyon Tarifeleri'!J256="","",'Komisyon Tarifeleri'!J256))</f>
        <v/>
      </c>
      <c r="L256" s="11">
        <f>IF(K256="","",IF($AM$1=2,'Komisyon Tarifeleri'!V256,'Komisyon Tarifeleri'!Q256))</f>
        <v/>
      </c>
      <c r="M256" s="10">
        <f>IF(OR(K256="",$D256=""),"",K256*(1-L256/100)-$D256-IF(K256&lt;=199.99,Kargo!$E$2,IF(K256&lt;=399.99,Kargo!$E$3,$F256)))</f>
        <v/>
      </c>
      <c r="N256" s="12">
        <f>IF(M256="","",M256/K256)</f>
        <v/>
      </c>
      <c r="O256" s="10">
        <f>IF($B256="","",IF('Komisyon Tarifeleri'!L256="","",'Komisyon Tarifeleri'!L256))</f>
        <v/>
      </c>
      <c r="P256" s="11">
        <f>IF(O256="","",IF($AM$1=2,'Komisyon Tarifeleri'!W256,'Komisyon Tarifeleri'!R256))</f>
        <v/>
      </c>
      <c r="Q256" s="10">
        <f>IF(OR(O256="",$D256=""),"",O256*(1-P256/100)-$D256-IF(O256&lt;=199.99,Kargo!$E$2,IF(O256&lt;=399.99,Kargo!$E$3,$F256)))</f>
        <v/>
      </c>
      <c r="R256" s="12">
        <f>IF(Q256="","",Q256/O256)</f>
        <v/>
      </c>
      <c r="S256" s="10">
        <f>IF($B256="","",IF('Komisyon Tarifeleri'!N256="","",'Komisyon Tarifeleri'!N256))</f>
        <v/>
      </c>
      <c r="T256" s="11">
        <f>IF(S256="","",IF($AM$1=2,'Komisyon Tarifeleri'!X256,'Komisyon Tarifeleri'!S256))</f>
        <v/>
      </c>
      <c r="U256" s="10">
        <f>IF(OR(S256="",$D256=""),"",S256*(1-T256/100)-$D256-IF(S256&lt;=199.99,Kargo!$E$2,IF(S256&lt;=399.99,Kargo!$E$3,$F256)))</f>
        <v/>
      </c>
      <c r="V256" s="12">
        <f>IF(U256="","",U256/S256)</f>
        <v/>
      </c>
      <c r="W256" s="12">
        <f>IF($B256="","",IFERROR(VLOOKUP($C256,Hedefler!$A:$C,2,FALSE),0.04))</f>
        <v/>
      </c>
      <c r="X256" s="12">
        <f>IF($B256="","",IFERROR(VLOOKUP($C256,Hedefler!$A:$C,3,FALSE),0.1))</f>
        <v/>
      </c>
      <c r="Y256" s="13">
        <f>IF($B256="","",IFERROR(VLOOKUP($B256,Maliyetler!$A:$E,5,FALSE),""))</f>
        <v/>
      </c>
      <c r="Z256" s="13">
        <f>IF(OR(Y256="",Y256=0),"",Y256-1)</f>
        <v/>
      </c>
      <c r="AA256" s="14">
        <f>IF(Z256="","",IF(Z256&gt;='Komisyon Tarifeleri'!I256,IF($AM$1=2,'Komisyon Tarifeleri'!U256,'Komisyon Tarifeleri'!P256),IF(Z256&gt;='Komisyon Tarifeleri'!K256,IF($AM$1=2,'Komisyon Tarifeleri'!V256,'Komisyon Tarifeleri'!Q256),IF(Z256&gt;='Komisyon Tarifeleri'!M256,IF($AM$1=2,'Komisyon Tarifeleri'!W256,'Komisyon Tarifeleri'!R256),IF($AM$1=2,'Komisyon Tarifeleri'!X256,'Komisyon Tarifeleri'!S256)))))</f>
        <v/>
      </c>
      <c r="AB256" s="13">
        <f>IF(OR(AA256="",$D256=""),"",Z256*(1-AA256/100)-$D256-IF(Z256&lt;=199.99,Kargo!$E$2,IF(Z256&lt;=399.99,Kargo!$E$3,$F256)))</f>
        <v/>
      </c>
      <c r="AC256" s="15">
        <f>IF(AB256="","",AB256/Z256)</f>
        <v/>
      </c>
      <c r="AD256" s="10">
        <f>IF(OR($D256="",$B256=""),"",IF(AND((1-T256/100-W256)&gt;0,CEILING(($D256+$F256)/(1-T256/100-W256),1)&lt;='Komisyon Tarifeleri'!N256),CEILING(($D256+$F256)/(1-T256/100-W256),1),IF(AND((1-P256/100-W256)&gt;0,CEILING(MAX('Komisyon Tarifeleri'!M256,($D256+$F256)/(1-P256/100-W256)),1)&lt;='Komisyon Tarifeleri'!L256),CEILING(MAX('Komisyon Tarifeleri'!M256,($D256+$F256)/(1-P256/100-W256)),1),IF(AND((1-L256/100-W256)&gt;0,CEILING(MAX('Komisyon Tarifeleri'!K256,($D256+$F256)/(1-L256/100-W256)),1)&lt;='Komisyon Tarifeleri'!J256),CEILING(MAX('Komisyon Tarifeleri'!K256,($D256+$F256)/(1-L256/100-W256)),1),IF((1-H256/100-W256)&gt;0,CEILING(MAX('Komisyon Tarifeleri'!I256,($D256+$F256)/(1-H256/100-W256)),1),"İMKÂNSIZ")))))</f>
        <v/>
      </c>
      <c r="AE256" s="10">
        <f>IF(OR($D256="",$B256=""),"",IF(AND((1-T256/100-X256)&gt;0,CEILING(($D256+$F256)/(1-T256/100-X256),1)&lt;='Komisyon Tarifeleri'!N256),CEILING(($D256+$F256)/(1-T256/100-X256),1),IF(AND((1-P256/100-X256)&gt;0,CEILING(MAX('Komisyon Tarifeleri'!M256,($D256+$F256)/(1-P256/100-X256)),1)&lt;='Komisyon Tarifeleri'!L256),CEILING(MAX('Komisyon Tarifeleri'!M256,($D256+$F256)/(1-P256/100-X256)),1),IF(AND((1-L256/100-X256)&gt;0,CEILING(MAX('Komisyon Tarifeleri'!K256,($D256+$F256)/(1-L256/100-X256)),1)&lt;='Komisyon Tarifeleri'!J256),CEILING(MAX('Komisyon Tarifeleri'!K256,($D256+$F256)/(1-L256/100-X256)),1),IF((1-H256/100-X256)&gt;0,CEILING(MAX('Komisyon Tarifeleri'!I256,($D256+$F256)/(1-H256/100-X256)),1),"İMKÂNSIZ")))))</f>
        <v/>
      </c>
      <c r="AF256" s="16">
        <f>IF($D256="","",IF(AND(Y256&lt;&gt;"",AC256&lt;&gt;"",AC256&gt;=W256),Z256,IF(Y256&lt;&gt;"",AD256,AE256)))</f>
        <v/>
      </c>
      <c r="AG256" s="16">
        <f>IF(OR(AF256="",AF256="İMKÂNSIZ"),"",AF256*(1-IF(AF256&gt;='Komisyon Tarifeleri'!I256,IF($AM$1=2,'Komisyon Tarifeleri'!U256,'Komisyon Tarifeleri'!P256),IF(AF256&gt;='Komisyon Tarifeleri'!K256,IF($AM$1=2,'Komisyon Tarifeleri'!V256,'Komisyon Tarifeleri'!Q256),IF(AF256&gt;='Komisyon Tarifeleri'!M256,IF($AM$1=2,'Komisyon Tarifeleri'!W256,'Komisyon Tarifeleri'!R256),IF($AM$1=2,'Komisyon Tarifeleri'!X256,'Komisyon Tarifeleri'!S256))))/100)-$D256-IF(AF256&lt;=199.99,Kargo!$E$2,IF(AF256&lt;=399.99,Kargo!$E$3,$F256)))</f>
        <v/>
      </c>
      <c r="AH256" s="17">
        <f>IF(AG256="","",AG256/AF256)</f>
        <v/>
      </c>
      <c r="AI256" s="18">
        <f>IF($D256="","",IF(Y256="","BUYBOX YOK → hedef kârla min fiyat",IF(AC256&gt;=W256,"✓ BUYBOX ALTINA GİR","BUYBOX ALTI KÂRSIZ → min kârlı fiyat")))</f>
        <v/>
      </c>
      <c r="AJ256" s="10">
        <f>IF($B256="","",IFERROR(VLOOKUP($B256,Maliyetler!$A:$G,6,FALSE),""))</f>
        <v/>
      </c>
      <c r="AK256">
        <f>IF($B256="","",IFERROR(VLOOKUP($B256,Maliyetler!$A:$G,7,FALSE),""))</f>
        <v/>
      </c>
      <c r="AO256" s="21">
        <f>IF($B256="","",IFERROR(VLOOKUP($B256&amp;"",'Plus Tarifeleri'!$C:$Q,11,FALSE),""))</f>
        <v/>
      </c>
      <c r="AP256" s="22">
        <f>IF(AO256="","",IFERROR(IF($AM$1=2,VLOOKUP($B256&amp;"",'Plus Tarifeleri'!$C:$Q,15,FALSE),VLOOKUP($B256&amp;"",'Plus Tarifeleri'!$C:$Q,13,FALSE)),""))</f>
        <v/>
      </c>
      <c r="AQ256" s="21">
        <f>IF(OR(AO256="",AP256="",$D256=""),"",AO256*(1-AP256/100)-$D256-IF(AO256&lt;=199.99,Kargo!$E$2,IF(AO256&lt;=399.99,Kargo!$E$3,$F256)))</f>
        <v/>
      </c>
      <c r="AR256" s="23">
        <f>IF(AQ256="","",AQ256/AO256)</f>
        <v/>
      </c>
      <c r="AS256" s="24">
        <f>IF(OR(AQ256="",AG256=""),"",AQ256-AG256)</f>
        <v/>
      </c>
    </row>
    <row r="257">
      <c r="A257">
        <f>IF('Komisyon Tarifeleri'!A257="","",'Komisyon Tarifeleri'!A257)</f>
        <v/>
      </c>
      <c r="B257">
        <f>IF('Komisyon Tarifeleri'!B257="","",'Komisyon Tarifeleri'!B257&amp;"")</f>
        <v/>
      </c>
      <c r="C257">
        <f>IF($B257="","",'Komisyon Tarifeleri'!F257)</f>
        <v/>
      </c>
      <c r="D257" s="10">
        <f>IF($B257="","",IFERROR(VLOOKUP($B257,Maliyetler!$A:$E,3,FALSE),""))</f>
        <v/>
      </c>
      <c r="E257">
        <f>IF($B257="","",IFERROR(VLOOKUP($B257,Maliyetler!$A:$E,4,FALSE),1))</f>
        <v/>
      </c>
      <c r="F257" s="10">
        <f>IF($B257="","",IFERROR(VLOOKUP(MIN(20,MAX(1,ROUND($E257,0))),Kargo!$A:$B,2,FALSE),99.46))</f>
        <v/>
      </c>
      <c r="G257" s="10">
        <f>IF($B257="","",IF(IF(N('Komisyon Tarifeleri'!AA257)&gt;='Komisyon Tarifeleri'!I257,'Komisyon Tarifeleri'!AA257,'Komisyon Tarifeleri'!I257)="","",IF(N('Komisyon Tarifeleri'!AA257)&gt;='Komisyon Tarifeleri'!I257,'Komisyon Tarifeleri'!AA257,'Komisyon Tarifeleri'!I257)))</f>
        <v/>
      </c>
      <c r="H257" s="11">
        <f>IF(G257="","",IF($AM$1=2,'Komisyon Tarifeleri'!U257,'Komisyon Tarifeleri'!P257))</f>
        <v/>
      </c>
      <c r="I257" s="10">
        <f>IF(OR(G257="",$D257=""),"",G257*(1-H257/100)-$D257-IF(G257&lt;=199.99,Kargo!$E$2,IF(G257&lt;=399.99,Kargo!$E$3,$F257)))</f>
        <v/>
      </c>
      <c r="J257" s="12">
        <f>IF(I257="","",I257/G257)</f>
        <v/>
      </c>
      <c r="K257" s="10">
        <f>IF($B257="","",IF('Komisyon Tarifeleri'!J257="","",'Komisyon Tarifeleri'!J257))</f>
        <v/>
      </c>
      <c r="L257" s="11">
        <f>IF(K257="","",IF($AM$1=2,'Komisyon Tarifeleri'!V257,'Komisyon Tarifeleri'!Q257))</f>
        <v/>
      </c>
      <c r="M257" s="10">
        <f>IF(OR(K257="",$D257=""),"",K257*(1-L257/100)-$D257-IF(K257&lt;=199.99,Kargo!$E$2,IF(K257&lt;=399.99,Kargo!$E$3,$F257)))</f>
        <v/>
      </c>
      <c r="N257" s="12">
        <f>IF(M257="","",M257/K257)</f>
        <v/>
      </c>
      <c r="O257" s="10">
        <f>IF($B257="","",IF('Komisyon Tarifeleri'!L257="","",'Komisyon Tarifeleri'!L257))</f>
        <v/>
      </c>
      <c r="P257" s="11">
        <f>IF(O257="","",IF($AM$1=2,'Komisyon Tarifeleri'!W257,'Komisyon Tarifeleri'!R257))</f>
        <v/>
      </c>
      <c r="Q257" s="10">
        <f>IF(OR(O257="",$D257=""),"",O257*(1-P257/100)-$D257-IF(O257&lt;=199.99,Kargo!$E$2,IF(O257&lt;=399.99,Kargo!$E$3,$F257)))</f>
        <v/>
      </c>
      <c r="R257" s="12">
        <f>IF(Q257="","",Q257/O257)</f>
        <v/>
      </c>
      <c r="S257" s="10">
        <f>IF($B257="","",IF('Komisyon Tarifeleri'!N257="","",'Komisyon Tarifeleri'!N257))</f>
        <v/>
      </c>
      <c r="T257" s="11">
        <f>IF(S257="","",IF($AM$1=2,'Komisyon Tarifeleri'!X257,'Komisyon Tarifeleri'!S257))</f>
        <v/>
      </c>
      <c r="U257" s="10">
        <f>IF(OR(S257="",$D257=""),"",S257*(1-T257/100)-$D257-IF(S257&lt;=199.99,Kargo!$E$2,IF(S257&lt;=399.99,Kargo!$E$3,$F257)))</f>
        <v/>
      </c>
      <c r="V257" s="12">
        <f>IF(U257="","",U257/S257)</f>
        <v/>
      </c>
      <c r="W257" s="12">
        <f>IF($B257="","",IFERROR(VLOOKUP($C257,Hedefler!$A:$C,2,FALSE),0.04))</f>
        <v/>
      </c>
      <c r="X257" s="12">
        <f>IF($B257="","",IFERROR(VLOOKUP($C257,Hedefler!$A:$C,3,FALSE),0.1))</f>
        <v/>
      </c>
      <c r="Y257" s="13">
        <f>IF($B257="","",IFERROR(VLOOKUP($B257,Maliyetler!$A:$E,5,FALSE),""))</f>
        <v/>
      </c>
      <c r="Z257" s="13">
        <f>IF(OR(Y257="",Y257=0),"",Y257-1)</f>
        <v/>
      </c>
      <c r="AA257" s="14">
        <f>IF(Z257="","",IF(Z257&gt;='Komisyon Tarifeleri'!I257,IF($AM$1=2,'Komisyon Tarifeleri'!U257,'Komisyon Tarifeleri'!P257),IF(Z257&gt;='Komisyon Tarifeleri'!K257,IF($AM$1=2,'Komisyon Tarifeleri'!V257,'Komisyon Tarifeleri'!Q257),IF(Z257&gt;='Komisyon Tarifeleri'!M257,IF($AM$1=2,'Komisyon Tarifeleri'!W257,'Komisyon Tarifeleri'!R257),IF($AM$1=2,'Komisyon Tarifeleri'!X257,'Komisyon Tarifeleri'!S257)))))</f>
        <v/>
      </c>
      <c r="AB257" s="13">
        <f>IF(OR(AA257="",$D257=""),"",Z257*(1-AA257/100)-$D257-IF(Z257&lt;=199.99,Kargo!$E$2,IF(Z257&lt;=399.99,Kargo!$E$3,$F257)))</f>
        <v/>
      </c>
      <c r="AC257" s="15">
        <f>IF(AB257="","",AB257/Z257)</f>
        <v/>
      </c>
      <c r="AD257" s="10">
        <f>IF(OR($D257="",$B257=""),"",IF(AND((1-T257/100-W257)&gt;0,CEILING(($D257+$F257)/(1-T257/100-W257),1)&lt;='Komisyon Tarifeleri'!N257),CEILING(($D257+$F257)/(1-T257/100-W257),1),IF(AND((1-P257/100-W257)&gt;0,CEILING(MAX('Komisyon Tarifeleri'!M257,($D257+$F257)/(1-P257/100-W257)),1)&lt;='Komisyon Tarifeleri'!L257),CEILING(MAX('Komisyon Tarifeleri'!M257,($D257+$F257)/(1-P257/100-W257)),1),IF(AND((1-L257/100-W257)&gt;0,CEILING(MAX('Komisyon Tarifeleri'!K257,($D257+$F257)/(1-L257/100-W257)),1)&lt;='Komisyon Tarifeleri'!J257),CEILING(MAX('Komisyon Tarifeleri'!K257,($D257+$F257)/(1-L257/100-W257)),1),IF((1-H257/100-W257)&gt;0,CEILING(MAX('Komisyon Tarifeleri'!I257,($D257+$F257)/(1-H257/100-W257)),1),"İMKÂNSIZ")))))</f>
        <v/>
      </c>
      <c r="AE257" s="10">
        <f>IF(OR($D257="",$B257=""),"",IF(AND((1-T257/100-X257)&gt;0,CEILING(($D257+$F257)/(1-T257/100-X257),1)&lt;='Komisyon Tarifeleri'!N257),CEILING(($D257+$F257)/(1-T257/100-X257),1),IF(AND((1-P257/100-X257)&gt;0,CEILING(MAX('Komisyon Tarifeleri'!M257,($D257+$F257)/(1-P257/100-X257)),1)&lt;='Komisyon Tarifeleri'!L257),CEILING(MAX('Komisyon Tarifeleri'!M257,($D257+$F257)/(1-P257/100-X257)),1),IF(AND((1-L257/100-X257)&gt;0,CEILING(MAX('Komisyon Tarifeleri'!K257,($D257+$F257)/(1-L257/100-X257)),1)&lt;='Komisyon Tarifeleri'!J257),CEILING(MAX('Komisyon Tarifeleri'!K257,($D257+$F257)/(1-L257/100-X257)),1),IF((1-H257/100-X257)&gt;0,CEILING(MAX('Komisyon Tarifeleri'!I257,($D257+$F257)/(1-H257/100-X257)),1),"İMKÂNSIZ")))))</f>
        <v/>
      </c>
      <c r="AF257" s="16">
        <f>IF($D257="","",IF(AND(Y257&lt;&gt;"",AC257&lt;&gt;"",AC257&gt;=W257),Z257,IF(Y257&lt;&gt;"",AD257,AE257)))</f>
        <v/>
      </c>
      <c r="AG257" s="16">
        <f>IF(OR(AF257="",AF257="İMKÂNSIZ"),"",AF257*(1-IF(AF257&gt;='Komisyon Tarifeleri'!I257,IF($AM$1=2,'Komisyon Tarifeleri'!U257,'Komisyon Tarifeleri'!P257),IF(AF257&gt;='Komisyon Tarifeleri'!K257,IF($AM$1=2,'Komisyon Tarifeleri'!V257,'Komisyon Tarifeleri'!Q257),IF(AF257&gt;='Komisyon Tarifeleri'!M257,IF($AM$1=2,'Komisyon Tarifeleri'!W257,'Komisyon Tarifeleri'!R257),IF($AM$1=2,'Komisyon Tarifeleri'!X257,'Komisyon Tarifeleri'!S257))))/100)-$D257-IF(AF257&lt;=199.99,Kargo!$E$2,IF(AF257&lt;=399.99,Kargo!$E$3,$F257)))</f>
        <v/>
      </c>
      <c r="AH257" s="17">
        <f>IF(AG257="","",AG257/AF257)</f>
        <v/>
      </c>
      <c r="AI257" s="18">
        <f>IF($D257="","",IF(Y257="","BUYBOX YOK → hedef kârla min fiyat",IF(AC257&gt;=W257,"✓ BUYBOX ALTINA GİR","BUYBOX ALTI KÂRSIZ → min kârlı fiyat")))</f>
        <v/>
      </c>
      <c r="AJ257" s="10">
        <f>IF($B257="","",IFERROR(VLOOKUP($B257,Maliyetler!$A:$G,6,FALSE),""))</f>
        <v/>
      </c>
      <c r="AK257">
        <f>IF($B257="","",IFERROR(VLOOKUP($B257,Maliyetler!$A:$G,7,FALSE),""))</f>
        <v/>
      </c>
      <c r="AO257" s="21">
        <f>IF($B257="","",IFERROR(VLOOKUP($B257&amp;"",'Plus Tarifeleri'!$C:$Q,11,FALSE),""))</f>
        <v/>
      </c>
      <c r="AP257" s="22">
        <f>IF(AO257="","",IFERROR(IF($AM$1=2,VLOOKUP($B257&amp;"",'Plus Tarifeleri'!$C:$Q,15,FALSE),VLOOKUP($B257&amp;"",'Plus Tarifeleri'!$C:$Q,13,FALSE)),""))</f>
        <v/>
      </c>
      <c r="AQ257" s="21">
        <f>IF(OR(AO257="",AP257="",$D257=""),"",AO257*(1-AP257/100)-$D257-IF(AO257&lt;=199.99,Kargo!$E$2,IF(AO257&lt;=399.99,Kargo!$E$3,$F257)))</f>
        <v/>
      </c>
      <c r="AR257" s="23">
        <f>IF(AQ257="","",AQ257/AO257)</f>
        <v/>
      </c>
      <c r="AS257" s="24">
        <f>IF(OR(AQ257="",AG257=""),"",AQ257-AG257)</f>
        <v/>
      </c>
    </row>
    <row r="258">
      <c r="A258">
        <f>IF('Komisyon Tarifeleri'!A258="","",'Komisyon Tarifeleri'!A258)</f>
        <v/>
      </c>
      <c r="B258">
        <f>IF('Komisyon Tarifeleri'!B258="","",'Komisyon Tarifeleri'!B258&amp;"")</f>
        <v/>
      </c>
      <c r="C258">
        <f>IF($B258="","",'Komisyon Tarifeleri'!F258)</f>
        <v/>
      </c>
      <c r="D258" s="10">
        <f>IF($B258="","",IFERROR(VLOOKUP($B258,Maliyetler!$A:$E,3,FALSE),""))</f>
        <v/>
      </c>
      <c r="E258">
        <f>IF($B258="","",IFERROR(VLOOKUP($B258,Maliyetler!$A:$E,4,FALSE),1))</f>
        <v/>
      </c>
      <c r="F258" s="10">
        <f>IF($B258="","",IFERROR(VLOOKUP(MIN(20,MAX(1,ROUND($E258,0))),Kargo!$A:$B,2,FALSE),99.46))</f>
        <v/>
      </c>
      <c r="G258" s="10">
        <f>IF($B258="","",IF(IF(N('Komisyon Tarifeleri'!AA258)&gt;='Komisyon Tarifeleri'!I258,'Komisyon Tarifeleri'!AA258,'Komisyon Tarifeleri'!I258)="","",IF(N('Komisyon Tarifeleri'!AA258)&gt;='Komisyon Tarifeleri'!I258,'Komisyon Tarifeleri'!AA258,'Komisyon Tarifeleri'!I258)))</f>
        <v/>
      </c>
      <c r="H258" s="11">
        <f>IF(G258="","",IF($AM$1=2,'Komisyon Tarifeleri'!U258,'Komisyon Tarifeleri'!P258))</f>
        <v/>
      </c>
      <c r="I258" s="10">
        <f>IF(OR(G258="",$D258=""),"",G258*(1-H258/100)-$D258-IF(G258&lt;=199.99,Kargo!$E$2,IF(G258&lt;=399.99,Kargo!$E$3,$F258)))</f>
        <v/>
      </c>
      <c r="J258" s="12">
        <f>IF(I258="","",I258/G258)</f>
        <v/>
      </c>
      <c r="K258" s="10">
        <f>IF($B258="","",IF('Komisyon Tarifeleri'!J258="","",'Komisyon Tarifeleri'!J258))</f>
        <v/>
      </c>
      <c r="L258" s="11">
        <f>IF(K258="","",IF($AM$1=2,'Komisyon Tarifeleri'!V258,'Komisyon Tarifeleri'!Q258))</f>
        <v/>
      </c>
      <c r="M258" s="10">
        <f>IF(OR(K258="",$D258=""),"",K258*(1-L258/100)-$D258-IF(K258&lt;=199.99,Kargo!$E$2,IF(K258&lt;=399.99,Kargo!$E$3,$F258)))</f>
        <v/>
      </c>
      <c r="N258" s="12">
        <f>IF(M258="","",M258/K258)</f>
        <v/>
      </c>
      <c r="O258" s="10">
        <f>IF($B258="","",IF('Komisyon Tarifeleri'!L258="","",'Komisyon Tarifeleri'!L258))</f>
        <v/>
      </c>
      <c r="P258" s="11">
        <f>IF(O258="","",IF($AM$1=2,'Komisyon Tarifeleri'!W258,'Komisyon Tarifeleri'!R258))</f>
        <v/>
      </c>
      <c r="Q258" s="10">
        <f>IF(OR(O258="",$D258=""),"",O258*(1-P258/100)-$D258-IF(O258&lt;=199.99,Kargo!$E$2,IF(O258&lt;=399.99,Kargo!$E$3,$F258)))</f>
        <v/>
      </c>
      <c r="R258" s="12">
        <f>IF(Q258="","",Q258/O258)</f>
        <v/>
      </c>
      <c r="S258" s="10">
        <f>IF($B258="","",IF('Komisyon Tarifeleri'!N258="","",'Komisyon Tarifeleri'!N258))</f>
        <v/>
      </c>
      <c r="T258" s="11">
        <f>IF(S258="","",IF($AM$1=2,'Komisyon Tarifeleri'!X258,'Komisyon Tarifeleri'!S258))</f>
        <v/>
      </c>
      <c r="U258" s="10">
        <f>IF(OR(S258="",$D258=""),"",S258*(1-T258/100)-$D258-IF(S258&lt;=199.99,Kargo!$E$2,IF(S258&lt;=399.99,Kargo!$E$3,$F258)))</f>
        <v/>
      </c>
      <c r="V258" s="12">
        <f>IF(U258="","",U258/S258)</f>
        <v/>
      </c>
      <c r="W258" s="12">
        <f>IF($B258="","",IFERROR(VLOOKUP($C258,Hedefler!$A:$C,2,FALSE),0.04))</f>
        <v/>
      </c>
      <c r="X258" s="12">
        <f>IF($B258="","",IFERROR(VLOOKUP($C258,Hedefler!$A:$C,3,FALSE),0.1))</f>
        <v/>
      </c>
      <c r="Y258" s="13">
        <f>IF($B258="","",IFERROR(VLOOKUP($B258,Maliyetler!$A:$E,5,FALSE),""))</f>
        <v/>
      </c>
      <c r="Z258" s="13">
        <f>IF(OR(Y258="",Y258=0),"",Y258-1)</f>
        <v/>
      </c>
      <c r="AA258" s="14">
        <f>IF(Z258="","",IF(Z258&gt;='Komisyon Tarifeleri'!I258,IF($AM$1=2,'Komisyon Tarifeleri'!U258,'Komisyon Tarifeleri'!P258),IF(Z258&gt;='Komisyon Tarifeleri'!K258,IF($AM$1=2,'Komisyon Tarifeleri'!V258,'Komisyon Tarifeleri'!Q258),IF(Z258&gt;='Komisyon Tarifeleri'!M258,IF($AM$1=2,'Komisyon Tarifeleri'!W258,'Komisyon Tarifeleri'!R258),IF($AM$1=2,'Komisyon Tarifeleri'!X258,'Komisyon Tarifeleri'!S258)))))</f>
        <v/>
      </c>
      <c r="AB258" s="13">
        <f>IF(OR(AA258="",$D258=""),"",Z258*(1-AA258/100)-$D258-IF(Z258&lt;=199.99,Kargo!$E$2,IF(Z258&lt;=399.99,Kargo!$E$3,$F258)))</f>
        <v/>
      </c>
      <c r="AC258" s="15">
        <f>IF(AB258="","",AB258/Z258)</f>
        <v/>
      </c>
      <c r="AD258" s="10">
        <f>IF(OR($D258="",$B258=""),"",IF(AND((1-T258/100-W258)&gt;0,CEILING(($D258+$F258)/(1-T258/100-W258),1)&lt;='Komisyon Tarifeleri'!N258),CEILING(($D258+$F258)/(1-T258/100-W258),1),IF(AND((1-P258/100-W258)&gt;0,CEILING(MAX('Komisyon Tarifeleri'!M258,($D258+$F258)/(1-P258/100-W258)),1)&lt;='Komisyon Tarifeleri'!L258),CEILING(MAX('Komisyon Tarifeleri'!M258,($D258+$F258)/(1-P258/100-W258)),1),IF(AND((1-L258/100-W258)&gt;0,CEILING(MAX('Komisyon Tarifeleri'!K258,($D258+$F258)/(1-L258/100-W258)),1)&lt;='Komisyon Tarifeleri'!J258),CEILING(MAX('Komisyon Tarifeleri'!K258,($D258+$F258)/(1-L258/100-W258)),1),IF((1-H258/100-W258)&gt;0,CEILING(MAX('Komisyon Tarifeleri'!I258,($D258+$F258)/(1-H258/100-W258)),1),"İMKÂNSIZ")))))</f>
        <v/>
      </c>
      <c r="AE258" s="10">
        <f>IF(OR($D258="",$B258=""),"",IF(AND((1-T258/100-X258)&gt;0,CEILING(($D258+$F258)/(1-T258/100-X258),1)&lt;='Komisyon Tarifeleri'!N258),CEILING(($D258+$F258)/(1-T258/100-X258),1),IF(AND((1-P258/100-X258)&gt;0,CEILING(MAX('Komisyon Tarifeleri'!M258,($D258+$F258)/(1-P258/100-X258)),1)&lt;='Komisyon Tarifeleri'!L258),CEILING(MAX('Komisyon Tarifeleri'!M258,($D258+$F258)/(1-P258/100-X258)),1),IF(AND((1-L258/100-X258)&gt;0,CEILING(MAX('Komisyon Tarifeleri'!K258,($D258+$F258)/(1-L258/100-X258)),1)&lt;='Komisyon Tarifeleri'!J258),CEILING(MAX('Komisyon Tarifeleri'!K258,($D258+$F258)/(1-L258/100-X258)),1),IF((1-H258/100-X258)&gt;0,CEILING(MAX('Komisyon Tarifeleri'!I258,($D258+$F258)/(1-H258/100-X258)),1),"İMKÂNSIZ")))))</f>
        <v/>
      </c>
      <c r="AF258" s="16">
        <f>IF($D258="","",IF(AND(Y258&lt;&gt;"",AC258&lt;&gt;"",AC258&gt;=W258),Z258,IF(Y258&lt;&gt;"",AD258,AE258)))</f>
        <v/>
      </c>
      <c r="AG258" s="16">
        <f>IF(OR(AF258="",AF258="İMKÂNSIZ"),"",AF258*(1-IF(AF258&gt;='Komisyon Tarifeleri'!I258,IF($AM$1=2,'Komisyon Tarifeleri'!U258,'Komisyon Tarifeleri'!P258),IF(AF258&gt;='Komisyon Tarifeleri'!K258,IF($AM$1=2,'Komisyon Tarifeleri'!V258,'Komisyon Tarifeleri'!Q258),IF(AF258&gt;='Komisyon Tarifeleri'!M258,IF($AM$1=2,'Komisyon Tarifeleri'!W258,'Komisyon Tarifeleri'!R258),IF($AM$1=2,'Komisyon Tarifeleri'!X258,'Komisyon Tarifeleri'!S258))))/100)-$D258-IF(AF258&lt;=199.99,Kargo!$E$2,IF(AF258&lt;=399.99,Kargo!$E$3,$F258)))</f>
        <v/>
      </c>
      <c r="AH258" s="17">
        <f>IF(AG258="","",AG258/AF258)</f>
        <v/>
      </c>
      <c r="AI258" s="18">
        <f>IF($D258="","",IF(Y258="","BUYBOX YOK → hedef kârla min fiyat",IF(AC258&gt;=W258,"✓ BUYBOX ALTINA GİR","BUYBOX ALTI KÂRSIZ → min kârlı fiyat")))</f>
        <v/>
      </c>
      <c r="AJ258" s="10">
        <f>IF($B258="","",IFERROR(VLOOKUP($B258,Maliyetler!$A:$G,6,FALSE),""))</f>
        <v/>
      </c>
      <c r="AK258">
        <f>IF($B258="","",IFERROR(VLOOKUP($B258,Maliyetler!$A:$G,7,FALSE),""))</f>
        <v/>
      </c>
      <c r="AO258" s="21">
        <f>IF($B258="","",IFERROR(VLOOKUP($B258&amp;"",'Plus Tarifeleri'!$C:$Q,11,FALSE),""))</f>
        <v/>
      </c>
      <c r="AP258" s="22">
        <f>IF(AO258="","",IFERROR(IF($AM$1=2,VLOOKUP($B258&amp;"",'Plus Tarifeleri'!$C:$Q,15,FALSE),VLOOKUP($B258&amp;"",'Plus Tarifeleri'!$C:$Q,13,FALSE)),""))</f>
        <v/>
      </c>
      <c r="AQ258" s="21">
        <f>IF(OR(AO258="",AP258="",$D258=""),"",AO258*(1-AP258/100)-$D258-IF(AO258&lt;=199.99,Kargo!$E$2,IF(AO258&lt;=399.99,Kargo!$E$3,$F258)))</f>
        <v/>
      </c>
      <c r="AR258" s="23">
        <f>IF(AQ258="","",AQ258/AO258)</f>
        <v/>
      </c>
      <c r="AS258" s="24">
        <f>IF(OR(AQ258="",AG258=""),"",AQ258-AG258)</f>
        <v/>
      </c>
    </row>
    <row r="259">
      <c r="A259">
        <f>IF('Komisyon Tarifeleri'!A259="","",'Komisyon Tarifeleri'!A259)</f>
        <v/>
      </c>
      <c r="B259">
        <f>IF('Komisyon Tarifeleri'!B259="","",'Komisyon Tarifeleri'!B259&amp;"")</f>
        <v/>
      </c>
      <c r="C259">
        <f>IF($B259="","",'Komisyon Tarifeleri'!F259)</f>
        <v/>
      </c>
      <c r="D259" s="10">
        <f>IF($B259="","",IFERROR(VLOOKUP($B259,Maliyetler!$A:$E,3,FALSE),""))</f>
        <v/>
      </c>
      <c r="E259">
        <f>IF($B259="","",IFERROR(VLOOKUP($B259,Maliyetler!$A:$E,4,FALSE),1))</f>
        <v/>
      </c>
      <c r="F259" s="10">
        <f>IF($B259="","",IFERROR(VLOOKUP(MIN(20,MAX(1,ROUND($E259,0))),Kargo!$A:$B,2,FALSE),99.46))</f>
        <v/>
      </c>
      <c r="G259" s="10">
        <f>IF($B259="","",IF(IF(N('Komisyon Tarifeleri'!AA259)&gt;='Komisyon Tarifeleri'!I259,'Komisyon Tarifeleri'!AA259,'Komisyon Tarifeleri'!I259)="","",IF(N('Komisyon Tarifeleri'!AA259)&gt;='Komisyon Tarifeleri'!I259,'Komisyon Tarifeleri'!AA259,'Komisyon Tarifeleri'!I259)))</f>
        <v/>
      </c>
      <c r="H259" s="11">
        <f>IF(G259="","",IF($AM$1=2,'Komisyon Tarifeleri'!U259,'Komisyon Tarifeleri'!P259))</f>
        <v/>
      </c>
      <c r="I259" s="10">
        <f>IF(OR(G259="",$D259=""),"",G259*(1-H259/100)-$D259-IF(G259&lt;=199.99,Kargo!$E$2,IF(G259&lt;=399.99,Kargo!$E$3,$F259)))</f>
        <v/>
      </c>
      <c r="J259" s="12">
        <f>IF(I259="","",I259/G259)</f>
        <v/>
      </c>
      <c r="K259" s="10">
        <f>IF($B259="","",IF('Komisyon Tarifeleri'!J259="","",'Komisyon Tarifeleri'!J259))</f>
        <v/>
      </c>
      <c r="L259" s="11">
        <f>IF(K259="","",IF($AM$1=2,'Komisyon Tarifeleri'!V259,'Komisyon Tarifeleri'!Q259))</f>
        <v/>
      </c>
      <c r="M259" s="10">
        <f>IF(OR(K259="",$D259=""),"",K259*(1-L259/100)-$D259-IF(K259&lt;=199.99,Kargo!$E$2,IF(K259&lt;=399.99,Kargo!$E$3,$F259)))</f>
        <v/>
      </c>
      <c r="N259" s="12">
        <f>IF(M259="","",M259/K259)</f>
        <v/>
      </c>
      <c r="O259" s="10">
        <f>IF($B259="","",IF('Komisyon Tarifeleri'!L259="","",'Komisyon Tarifeleri'!L259))</f>
        <v/>
      </c>
      <c r="P259" s="11">
        <f>IF(O259="","",IF($AM$1=2,'Komisyon Tarifeleri'!W259,'Komisyon Tarifeleri'!R259))</f>
        <v/>
      </c>
      <c r="Q259" s="10">
        <f>IF(OR(O259="",$D259=""),"",O259*(1-P259/100)-$D259-IF(O259&lt;=199.99,Kargo!$E$2,IF(O259&lt;=399.99,Kargo!$E$3,$F259)))</f>
        <v/>
      </c>
      <c r="R259" s="12">
        <f>IF(Q259="","",Q259/O259)</f>
        <v/>
      </c>
      <c r="S259" s="10">
        <f>IF($B259="","",IF('Komisyon Tarifeleri'!N259="","",'Komisyon Tarifeleri'!N259))</f>
        <v/>
      </c>
      <c r="T259" s="11">
        <f>IF(S259="","",IF($AM$1=2,'Komisyon Tarifeleri'!X259,'Komisyon Tarifeleri'!S259))</f>
        <v/>
      </c>
      <c r="U259" s="10">
        <f>IF(OR(S259="",$D259=""),"",S259*(1-T259/100)-$D259-IF(S259&lt;=199.99,Kargo!$E$2,IF(S259&lt;=399.99,Kargo!$E$3,$F259)))</f>
        <v/>
      </c>
      <c r="V259" s="12">
        <f>IF(U259="","",U259/S259)</f>
        <v/>
      </c>
      <c r="W259" s="12">
        <f>IF($B259="","",IFERROR(VLOOKUP($C259,Hedefler!$A:$C,2,FALSE),0.04))</f>
        <v/>
      </c>
      <c r="X259" s="12">
        <f>IF($B259="","",IFERROR(VLOOKUP($C259,Hedefler!$A:$C,3,FALSE),0.1))</f>
        <v/>
      </c>
      <c r="Y259" s="13">
        <f>IF($B259="","",IFERROR(VLOOKUP($B259,Maliyetler!$A:$E,5,FALSE),""))</f>
        <v/>
      </c>
      <c r="Z259" s="13">
        <f>IF(OR(Y259="",Y259=0),"",Y259-1)</f>
        <v/>
      </c>
      <c r="AA259" s="14">
        <f>IF(Z259="","",IF(Z259&gt;='Komisyon Tarifeleri'!I259,IF($AM$1=2,'Komisyon Tarifeleri'!U259,'Komisyon Tarifeleri'!P259),IF(Z259&gt;='Komisyon Tarifeleri'!K259,IF($AM$1=2,'Komisyon Tarifeleri'!V259,'Komisyon Tarifeleri'!Q259),IF(Z259&gt;='Komisyon Tarifeleri'!M259,IF($AM$1=2,'Komisyon Tarifeleri'!W259,'Komisyon Tarifeleri'!R259),IF($AM$1=2,'Komisyon Tarifeleri'!X259,'Komisyon Tarifeleri'!S259)))))</f>
        <v/>
      </c>
      <c r="AB259" s="13">
        <f>IF(OR(AA259="",$D259=""),"",Z259*(1-AA259/100)-$D259-IF(Z259&lt;=199.99,Kargo!$E$2,IF(Z259&lt;=399.99,Kargo!$E$3,$F259)))</f>
        <v/>
      </c>
      <c r="AC259" s="15">
        <f>IF(AB259="","",AB259/Z259)</f>
        <v/>
      </c>
      <c r="AD259" s="10">
        <f>IF(OR($D259="",$B259=""),"",IF(AND((1-T259/100-W259)&gt;0,CEILING(($D259+$F259)/(1-T259/100-W259),1)&lt;='Komisyon Tarifeleri'!N259),CEILING(($D259+$F259)/(1-T259/100-W259),1),IF(AND((1-P259/100-W259)&gt;0,CEILING(MAX('Komisyon Tarifeleri'!M259,($D259+$F259)/(1-P259/100-W259)),1)&lt;='Komisyon Tarifeleri'!L259),CEILING(MAX('Komisyon Tarifeleri'!M259,($D259+$F259)/(1-P259/100-W259)),1),IF(AND((1-L259/100-W259)&gt;0,CEILING(MAX('Komisyon Tarifeleri'!K259,($D259+$F259)/(1-L259/100-W259)),1)&lt;='Komisyon Tarifeleri'!J259),CEILING(MAX('Komisyon Tarifeleri'!K259,($D259+$F259)/(1-L259/100-W259)),1),IF((1-H259/100-W259)&gt;0,CEILING(MAX('Komisyon Tarifeleri'!I259,($D259+$F259)/(1-H259/100-W259)),1),"İMKÂNSIZ")))))</f>
        <v/>
      </c>
      <c r="AE259" s="10">
        <f>IF(OR($D259="",$B259=""),"",IF(AND((1-T259/100-X259)&gt;0,CEILING(($D259+$F259)/(1-T259/100-X259),1)&lt;='Komisyon Tarifeleri'!N259),CEILING(($D259+$F259)/(1-T259/100-X259),1),IF(AND((1-P259/100-X259)&gt;0,CEILING(MAX('Komisyon Tarifeleri'!M259,($D259+$F259)/(1-P259/100-X259)),1)&lt;='Komisyon Tarifeleri'!L259),CEILING(MAX('Komisyon Tarifeleri'!M259,($D259+$F259)/(1-P259/100-X259)),1),IF(AND((1-L259/100-X259)&gt;0,CEILING(MAX('Komisyon Tarifeleri'!K259,($D259+$F259)/(1-L259/100-X259)),1)&lt;='Komisyon Tarifeleri'!J259),CEILING(MAX('Komisyon Tarifeleri'!K259,($D259+$F259)/(1-L259/100-X259)),1),IF((1-H259/100-X259)&gt;0,CEILING(MAX('Komisyon Tarifeleri'!I259,($D259+$F259)/(1-H259/100-X259)),1),"İMKÂNSIZ")))))</f>
        <v/>
      </c>
      <c r="AF259" s="16">
        <f>IF($D259="","",IF(AND(Y259&lt;&gt;"",AC259&lt;&gt;"",AC259&gt;=W259),Z259,IF(Y259&lt;&gt;"",AD259,AE259)))</f>
        <v/>
      </c>
      <c r="AG259" s="16">
        <f>IF(OR(AF259="",AF259="İMKÂNSIZ"),"",AF259*(1-IF(AF259&gt;='Komisyon Tarifeleri'!I259,IF($AM$1=2,'Komisyon Tarifeleri'!U259,'Komisyon Tarifeleri'!P259),IF(AF259&gt;='Komisyon Tarifeleri'!K259,IF($AM$1=2,'Komisyon Tarifeleri'!V259,'Komisyon Tarifeleri'!Q259),IF(AF259&gt;='Komisyon Tarifeleri'!M259,IF($AM$1=2,'Komisyon Tarifeleri'!W259,'Komisyon Tarifeleri'!R259),IF($AM$1=2,'Komisyon Tarifeleri'!X259,'Komisyon Tarifeleri'!S259))))/100)-$D259-IF(AF259&lt;=199.99,Kargo!$E$2,IF(AF259&lt;=399.99,Kargo!$E$3,$F259)))</f>
        <v/>
      </c>
      <c r="AH259" s="17">
        <f>IF(AG259="","",AG259/AF259)</f>
        <v/>
      </c>
      <c r="AI259" s="18">
        <f>IF($D259="","",IF(Y259="","BUYBOX YOK → hedef kârla min fiyat",IF(AC259&gt;=W259,"✓ BUYBOX ALTINA GİR","BUYBOX ALTI KÂRSIZ → min kârlı fiyat")))</f>
        <v/>
      </c>
      <c r="AJ259" s="10">
        <f>IF($B259="","",IFERROR(VLOOKUP($B259,Maliyetler!$A:$G,6,FALSE),""))</f>
        <v/>
      </c>
      <c r="AK259">
        <f>IF($B259="","",IFERROR(VLOOKUP($B259,Maliyetler!$A:$G,7,FALSE),""))</f>
        <v/>
      </c>
      <c r="AO259" s="21">
        <f>IF($B259="","",IFERROR(VLOOKUP($B259&amp;"",'Plus Tarifeleri'!$C:$Q,11,FALSE),""))</f>
        <v/>
      </c>
      <c r="AP259" s="22">
        <f>IF(AO259="","",IFERROR(IF($AM$1=2,VLOOKUP($B259&amp;"",'Plus Tarifeleri'!$C:$Q,15,FALSE),VLOOKUP($B259&amp;"",'Plus Tarifeleri'!$C:$Q,13,FALSE)),""))</f>
        <v/>
      </c>
      <c r="AQ259" s="21">
        <f>IF(OR(AO259="",AP259="",$D259=""),"",AO259*(1-AP259/100)-$D259-IF(AO259&lt;=199.99,Kargo!$E$2,IF(AO259&lt;=399.99,Kargo!$E$3,$F259)))</f>
        <v/>
      </c>
      <c r="AR259" s="23">
        <f>IF(AQ259="","",AQ259/AO259)</f>
        <v/>
      </c>
      <c r="AS259" s="24">
        <f>IF(OR(AQ259="",AG259=""),"",AQ259-AG259)</f>
        <v/>
      </c>
    </row>
    <row r="260">
      <c r="A260">
        <f>IF('Komisyon Tarifeleri'!A260="","",'Komisyon Tarifeleri'!A260)</f>
        <v/>
      </c>
      <c r="B260">
        <f>IF('Komisyon Tarifeleri'!B260="","",'Komisyon Tarifeleri'!B260&amp;"")</f>
        <v/>
      </c>
      <c r="C260">
        <f>IF($B260="","",'Komisyon Tarifeleri'!F260)</f>
        <v/>
      </c>
      <c r="D260" s="10">
        <f>IF($B260="","",IFERROR(VLOOKUP($B260,Maliyetler!$A:$E,3,FALSE),""))</f>
        <v/>
      </c>
      <c r="E260">
        <f>IF($B260="","",IFERROR(VLOOKUP($B260,Maliyetler!$A:$E,4,FALSE),1))</f>
        <v/>
      </c>
      <c r="F260" s="10">
        <f>IF($B260="","",IFERROR(VLOOKUP(MIN(20,MAX(1,ROUND($E260,0))),Kargo!$A:$B,2,FALSE),99.46))</f>
        <v/>
      </c>
      <c r="G260" s="10">
        <f>IF($B260="","",IF(IF(N('Komisyon Tarifeleri'!AA260)&gt;='Komisyon Tarifeleri'!I260,'Komisyon Tarifeleri'!AA260,'Komisyon Tarifeleri'!I260)="","",IF(N('Komisyon Tarifeleri'!AA260)&gt;='Komisyon Tarifeleri'!I260,'Komisyon Tarifeleri'!AA260,'Komisyon Tarifeleri'!I260)))</f>
        <v/>
      </c>
      <c r="H260" s="11">
        <f>IF(G260="","",IF($AM$1=2,'Komisyon Tarifeleri'!U260,'Komisyon Tarifeleri'!P260))</f>
        <v/>
      </c>
      <c r="I260" s="10">
        <f>IF(OR(G260="",$D260=""),"",G260*(1-H260/100)-$D260-IF(G260&lt;=199.99,Kargo!$E$2,IF(G260&lt;=399.99,Kargo!$E$3,$F260)))</f>
        <v/>
      </c>
      <c r="J260" s="12">
        <f>IF(I260="","",I260/G260)</f>
        <v/>
      </c>
      <c r="K260" s="10">
        <f>IF($B260="","",IF('Komisyon Tarifeleri'!J260="","",'Komisyon Tarifeleri'!J260))</f>
        <v/>
      </c>
      <c r="L260" s="11">
        <f>IF(K260="","",IF($AM$1=2,'Komisyon Tarifeleri'!V260,'Komisyon Tarifeleri'!Q260))</f>
        <v/>
      </c>
      <c r="M260" s="10">
        <f>IF(OR(K260="",$D260=""),"",K260*(1-L260/100)-$D260-IF(K260&lt;=199.99,Kargo!$E$2,IF(K260&lt;=399.99,Kargo!$E$3,$F260)))</f>
        <v/>
      </c>
      <c r="N260" s="12">
        <f>IF(M260="","",M260/K260)</f>
        <v/>
      </c>
      <c r="O260" s="10">
        <f>IF($B260="","",IF('Komisyon Tarifeleri'!L260="","",'Komisyon Tarifeleri'!L260))</f>
        <v/>
      </c>
      <c r="P260" s="11">
        <f>IF(O260="","",IF($AM$1=2,'Komisyon Tarifeleri'!W260,'Komisyon Tarifeleri'!R260))</f>
        <v/>
      </c>
      <c r="Q260" s="10">
        <f>IF(OR(O260="",$D260=""),"",O260*(1-P260/100)-$D260-IF(O260&lt;=199.99,Kargo!$E$2,IF(O260&lt;=399.99,Kargo!$E$3,$F260)))</f>
        <v/>
      </c>
      <c r="R260" s="12">
        <f>IF(Q260="","",Q260/O260)</f>
        <v/>
      </c>
      <c r="S260" s="10">
        <f>IF($B260="","",IF('Komisyon Tarifeleri'!N260="","",'Komisyon Tarifeleri'!N260))</f>
        <v/>
      </c>
      <c r="T260" s="11">
        <f>IF(S260="","",IF($AM$1=2,'Komisyon Tarifeleri'!X260,'Komisyon Tarifeleri'!S260))</f>
        <v/>
      </c>
      <c r="U260" s="10">
        <f>IF(OR(S260="",$D260=""),"",S260*(1-T260/100)-$D260-IF(S260&lt;=199.99,Kargo!$E$2,IF(S260&lt;=399.99,Kargo!$E$3,$F260)))</f>
        <v/>
      </c>
      <c r="V260" s="12">
        <f>IF(U260="","",U260/S260)</f>
        <v/>
      </c>
      <c r="W260" s="12">
        <f>IF($B260="","",IFERROR(VLOOKUP($C260,Hedefler!$A:$C,2,FALSE),0.04))</f>
        <v/>
      </c>
      <c r="X260" s="12">
        <f>IF($B260="","",IFERROR(VLOOKUP($C260,Hedefler!$A:$C,3,FALSE),0.1))</f>
        <v/>
      </c>
      <c r="Y260" s="13">
        <f>IF($B260="","",IFERROR(VLOOKUP($B260,Maliyetler!$A:$E,5,FALSE),""))</f>
        <v/>
      </c>
      <c r="Z260" s="13">
        <f>IF(OR(Y260="",Y260=0),"",Y260-1)</f>
        <v/>
      </c>
      <c r="AA260" s="14">
        <f>IF(Z260="","",IF(Z260&gt;='Komisyon Tarifeleri'!I260,IF($AM$1=2,'Komisyon Tarifeleri'!U260,'Komisyon Tarifeleri'!P260),IF(Z260&gt;='Komisyon Tarifeleri'!K260,IF($AM$1=2,'Komisyon Tarifeleri'!V260,'Komisyon Tarifeleri'!Q260),IF(Z260&gt;='Komisyon Tarifeleri'!M260,IF($AM$1=2,'Komisyon Tarifeleri'!W260,'Komisyon Tarifeleri'!R260),IF($AM$1=2,'Komisyon Tarifeleri'!X260,'Komisyon Tarifeleri'!S260)))))</f>
        <v/>
      </c>
      <c r="AB260" s="13">
        <f>IF(OR(AA260="",$D260=""),"",Z260*(1-AA260/100)-$D260-IF(Z260&lt;=199.99,Kargo!$E$2,IF(Z260&lt;=399.99,Kargo!$E$3,$F260)))</f>
        <v/>
      </c>
      <c r="AC260" s="15">
        <f>IF(AB260="","",AB260/Z260)</f>
        <v/>
      </c>
      <c r="AD260" s="10">
        <f>IF(OR($D260="",$B260=""),"",IF(AND((1-T260/100-W260)&gt;0,CEILING(($D260+$F260)/(1-T260/100-W260),1)&lt;='Komisyon Tarifeleri'!N260),CEILING(($D260+$F260)/(1-T260/100-W260),1),IF(AND((1-P260/100-W260)&gt;0,CEILING(MAX('Komisyon Tarifeleri'!M260,($D260+$F260)/(1-P260/100-W260)),1)&lt;='Komisyon Tarifeleri'!L260),CEILING(MAX('Komisyon Tarifeleri'!M260,($D260+$F260)/(1-P260/100-W260)),1),IF(AND((1-L260/100-W260)&gt;0,CEILING(MAX('Komisyon Tarifeleri'!K260,($D260+$F260)/(1-L260/100-W260)),1)&lt;='Komisyon Tarifeleri'!J260),CEILING(MAX('Komisyon Tarifeleri'!K260,($D260+$F260)/(1-L260/100-W260)),1),IF((1-H260/100-W260)&gt;0,CEILING(MAX('Komisyon Tarifeleri'!I260,($D260+$F260)/(1-H260/100-W260)),1),"İMKÂNSIZ")))))</f>
        <v/>
      </c>
      <c r="AE260" s="10">
        <f>IF(OR($D260="",$B260=""),"",IF(AND((1-T260/100-X260)&gt;0,CEILING(($D260+$F260)/(1-T260/100-X260),1)&lt;='Komisyon Tarifeleri'!N260),CEILING(($D260+$F260)/(1-T260/100-X260),1),IF(AND((1-P260/100-X260)&gt;0,CEILING(MAX('Komisyon Tarifeleri'!M260,($D260+$F260)/(1-P260/100-X260)),1)&lt;='Komisyon Tarifeleri'!L260),CEILING(MAX('Komisyon Tarifeleri'!M260,($D260+$F260)/(1-P260/100-X260)),1),IF(AND((1-L260/100-X260)&gt;0,CEILING(MAX('Komisyon Tarifeleri'!K260,($D260+$F260)/(1-L260/100-X260)),1)&lt;='Komisyon Tarifeleri'!J260),CEILING(MAX('Komisyon Tarifeleri'!K260,($D260+$F260)/(1-L260/100-X260)),1),IF((1-H260/100-X260)&gt;0,CEILING(MAX('Komisyon Tarifeleri'!I260,($D260+$F260)/(1-H260/100-X260)),1),"İMKÂNSIZ")))))</f>
        <v/>
      </c>
      <c r="AF260" s="16">
        <f>IF($D260="","",IF(AND(Y260&lt;&gt;"",AC260&lt;&gt;"",AC260&gt;=W260),Z260,IF(Y260&lt;&gt;"",AD260,AE260)))</f>
        <v/>
      </c>
      <c r="AG260" s="16">
        <f>IF(OR(AF260="",AF260="İMKÂNSIZ"),"",AF260*(1-IF(AF260&gt;='Komisyon Tarifeleri'!I260,IF($AM$1=2,'Komisyon Tarifeleri'!U260,'Komisyon Tarifeleri'!P260),IF(AF260&gt;='Komisyon Tarifeleri'!K260,IF($AM$1=2,'Komisyon Tarifeleri'!V260,'Komisyon Tarifeleri'!Q260),IF(AF260&gt;='Komisyon Tarifeleri'!M260,IF($AM$1=2,'Komisyon Tarifeleri'!W260,'Komisyon Tarifeleri'!R260),IF($AM$1=2,'Komisyon Tarifeleri'!X260,'Komisyon Tarifeleri'!S260))))/100)-$D260-IF(AF260&lt;=199.99,Kargo!$E$2,IF(AF260&lt;=399.99,Kargo!$E$3,$F260)))</f>
        <v/>
      </c>
      <c r="AH260" s="17">
        <f>IF(AG260="","",AG260/AF260)</f>
        <v/>
      </c>
      <c r="AI260" s="18">
        <f>IF($D260="","",IF(Y260="","BUYBOX YOK → hedef kârla min fiyat",IF(AC260&gt;=W260,"✓ BUYBOX ALTINA GİR","BUYBOX ALTI KÂRSIZ → min kârlı fiyat")))</f>
        <v/>
      </c>
      <c r="AJ260" s="10">
        <f>IF($B260="","",IFERROR(VLOOKUP($B260,Maliyetler!$A:$G,6,FALSE),""))</f>
        <v/>
      </c>
      <c r="AK260">
        <f>IF($B260="","",IFERROR(VLOOKUP($B260,Maliyetler!$A:$G,7,FALSE),""))</f>
        <v/>
      </c>
      <c r="AO260" s="21">
        <f>IF($B260="","",IFERROR(VLOOKUP($B260&amp;"",'Plus Tarifeleri'!$C:$Q,11,FALSE),""))</f>
        <v/>
      </c>
      <c r="AP260" s="22">
        <f>IF(AO260="","",IFERROR(IF($AM$1=2,VLOOKUP($B260&amp;"",'Plus Tarifeleri'!$C:$Q,15,FALSE),VLOOKUP($B260&amp;"",'Plus Tarifeleri'!$C:$Q,13,FALSE)),""))</f>
        <v/>
      </c>
      <c r="AQ260" s="21">
        <f>IF(OR(AO260="",AP260="",$D260=""),"",AO260*(1-AP260/100)-$D260-IF(AO260&lt;=199.99,Kargo!$E$2,IF(AO260&lt;=399.99,Kargo!$E$3,$F260)))</f>
        <v/>
      </c>
      <c r="AR260" s="23">
        <f>IF(AQ260="","",AQ260/AO260)</f>
        <v/>
      </c>
      <c r="AS260" s="24">
        <f>IF(OR(AQ260="",AG260=""),"",AQ260-AG260)</f>
        <v/>
      </c>
    </row>
    <row r="261">
      <c r="A261">
        <f>IF('Komisyon Tarifeleri'!A261="","",'Komisyon Tarifeleri'!A261)</f>
        <v/>
      </c>
      <c r="B261">
        <f>IF('Komisyon Tarifeleri'!B261="","",'Komisyon Tarifeleri'!B261&amp;"")</f>
        <v/>
      </c>
      <c r="C261">
        <f>IF($B261="","",'Komisyon Tarifeleri'!F261)</f>
        <v/>
      </c>
      <c r="D261" s="10">
        <f>IF($B261="","",IFERROR(VLOOKUP($B261,Maliyetler!$A:$E,3,FALSE),""))</f>
        <v/>
      </c>
      <c r="E261">
        <f>IF($B261="","",IFERROR(VLOOKUP($B261,Maliyetler!$A:$E,4,FALSE),1))</f>
        <v/>
      </c>
      <c r="F261" s="10">
        <f>IF($B261="","",IFERROR(VLOOKUP(MIN(20,MAX(1,ROUND($E261,0))),Kargo!$A:$B,2,FALSE),99.46))</f>
        <v/>
      </c>
      <c r="G261" s="10">
        <f>IF($B261="","",IF(IF(N('Komisyon Tarifeleri'!AA261)&gt;='Komisyon Tarifeleri'!I261,'Komisyon Tarifeleri'!AA261,'Komisyon Tarifeleri'!I261)="","",IF(N('Komisyon Tarifeleri'!AA261)&gt;='Komisyon Tarifeleri'!I261,'Komisyon Tarifeleri'!AA261,'Komisyon Tarifeleri'!I261)))</f>
        <v/>
      </c>
      <c r="H261" s="11">
        <f>IF(G261="","",IF($AM$1=2,'Komisyon Tarifeleri'!U261,'Komisyon Tarifeleri'!P261))</f>
        <v/>
      </c>
      <c r="I261" s="10">
        <f>IF(OR(G261="",$D261=""),"",G261*(1-H261/100)-$D261-IF(G261&lt;=199.99,Kargo!$E$2,IF(G261&lt;=399.99,Kargo!$E$3,$F261)))</f>
        <v/>
      </c>
      <c r="J261" s="12">
        <f>IF(I261="","",I261/G261)</f>
        <v/>
      </c>
      <c r="K261" s="10">
        <f>IF($B261="","",IF('Komisyon Tarifeleri'!J261="","",'Komisyon Tarifeleri'!J261))</f>
        <v/>
      </c>
      <c r="L261" s="11">
        <f>IF(K261="","",IF($AM$1=2,'Komisyon Tarifeleri'!V261,'Komisyon Tarifeleri'!Q261))</f>
        <v/>
      </c>
      <c r="M261" s="10">
        <f>IF(OR(K261="",$D261=""),"",K261*(1-L261/100)-$D261-IF(K261&lt;=199.99,Kargo!$E$2,IF(K261&lt;=399.99,Kargo!$E$3,$F261)))</f>
        <v/>
      </c>
      <c r="N261" s="12">
        <f>IF(M261="","",M261/K261)</f>
        <v/>
      </c>
      <c r="O261" s="10">
        <f>IF($B261="","",IF('Komisyon Tarifeleri'!L261="","",'Komisyon Tarifeleri'!L261))</f>
        <v/>
      </c>
      <c r="P261" s="11">
        <f>IF(O261="","",IF($AM$1=2,'Komisyon Tarifeleri'!W261,'Komisyon Tarifeleri'!R261))</f>
        <v/>
      </c>
      <c r="Q261" s="10">
        <f>IF(OR(O261="",$D261=""),"",O261*(1-P261/100)-$D261-IF(O261&lt;=199.99,Kargo!$E$2,IF(O261&lt;=399.99,Kargo!$E$3,$F261)))</f>
        <v/>
      </c>
      <c r="R261" s="12">
        <f>IF(Q261="","",Q261/O261)</f>
        <v/>
      </c>
      <c r="S261" s="10">
        <f>IF($B261="","",IF('Komisyon Tarifeleri'!N261="","",'Komisyon Tarifeleri'!N261))</f>
        <v/>
      </c>
      <c r="T261" s="11">
        <f>IF(S261="","",IF($AM$1=2,'Komisyon Tarifeleri'!X261,'Komisyon Tarifeleri'!S261))</f>
        <v/>
      </c>
      <c r="U261" s="10">
        <f>IF(OR(S261="",$D261=""),"",S261*(1-T261/100)-$D261-IF(S261&lt;=199.99,Kargo!$E$2,IF(S261&lt;=399.99,Kargo!$E$3,$F261)))</f>
        <v/>
      </c>
      <c r="V261" s="12">
        <f>IF(U261="","",U261/S261)</f>
        <v/>
      </c>
      <c r="W261" s="12">
        <f>IF($B261="","",IFERROR(VLOOKUP($C261,Hedefler!$A:$C,2,FALSE),0.04))</f>
        <v/>
      </c>
      <c r="X261" s="12">
        <f>IF($B261="","",IFERROR(VLOOKUP($C261,Hedefler!$A:$C,3,FALSE),0.1))</f>
        <v/>
      </c>
      <c r="Y261" s="13">
        <f>IF($B261="","",IFERROR(VLOOKUP($B261,Maliyetler!$A:$E,5,FALSE),""))</f>
        <v/>
      </c>
      <c r="Z261" s="13">
        <f>IF(OR(Y261="",Y261=0),"",Y261-1)</f>
        <v/>
      </c>
      <c r="AA261" s="14">
        <f>IF(Z261="","",IF(Z261&gt;='Komisyon Tarifeleri'!I261,IF($AM$1=2,'Komisyon Tarifeleri'!U261,'Komisyon Tarifeleri'!P261),IF(Z261&gt;='Komisyon Tarifeleri'!K261,IF($AM$1=2,'Komisyon Tarifeleri'!V261,'Komisyon Tarifeleri'!Q261),IF(Z261&gt;='Komisyon Tarifeleri'!M261,IF($AM$1=2,'Komisyon Tarifeleri'!W261,'Komisyon Tarifeleri'!R261),IF($AM$1=2,'Komisyon Tarifeleri'!X261,'Komisyon Tarifeleri'!S261)))))</f>
        <v/>
      </c>
      <c r="AB261" s="13">
        <f>IF(OR(AA261="",$D261=""),"",Z261*(1-AA261/100)-$D261-IF(Z261&lt;=199.99,Kargo!$E$2,IF(Z261&lt;=399.99,Kargo!$E$3,$F261)))</f>
        <v/>
      </c>
      <c r="AC261" s="15">
        <f>IF(AB261="","",AB261/Z261)</f>
        <v/>
      </c>
      <c r="AD261" s="10">
        <f>IF(OR($D261="",$B261=""),"",IF(AND((1-T261/100-W261)&gt;0,CEILING(($D261+$F261)/(1-T261/100-W261),1)&lt;='Komisyon Tarifeleri'!N261),CEILING(($D261+$F261)/(1-T261/100-W261),1),IF(AND((1-P261/100-W261)&gt;0,CEILING(MAX('Komisyon Tarifeleri'!M261,($D261+$F261)/(1-P261/100-W261)),1)&lt;='Komisyon Tarifeleri'!L261),CEILING(MAX('Komisyon Tarifeleri'!M261,($D261+$F261)/(1-P261/100-W261)),1),IF(AND((1-L261/100-W261)&gt;0,CEILING(MAX('Komisyon Tarifeleri'!K261,($D261+$F261)/(1-L261/100-W261)),1)&lt;='Komisyon Tarifeleri'!J261),CEILING(MAX('Komisyon Tarifeleri'!K261,($D261+$F261)/(1-L261/100-W261)),1),IF((1-H261/100-W261)&gt;0,CEILING(MAX('Komisyon Tarifeleri'!I261,($D261+$F261)/(1-H261/100-W261)),1),"İMKÂNSIZ")))))</f>
        <v/>
      </c>
      <c r="AE261" s="10">
        <f>IF(OR($D261="",$B261=""),"",IF(AND((1-T261/100-X261)&gt;0,CEILING(($D261+$F261)/(1-T261/100-X261),1)&lt;='Komisyon Tarifeleri'!N261),CEILING(($D261+$F261)/(1-T261/100-X261),1),IF(AND((1-P261/100-X261)&gt;0,CEILING(MAX('Komisyon Tarifeleri'!M261,($D261+$F261)/(1-P261/100-X261)),1)&lt;='Komisyon Tarifeleri'!L261),CEILING(MAX('Komisyon Tarifeleri'!M261,($D261+$F261)/(1-P261/100-X261)),1),IF(AND((1-L261/100-X261)&gt;0,CEILING(MAX('Komisyon Tarifeleri'!K261,($D261+$F261)/(1-L261/100-X261)),1)&lt;='Komisyon Tarifeleri'!J261),CEILING(MAX('Komisyon Tarifeleri'!K261,($D261+$F261)/(1-L261/100-X261)),1),IF((1-H261/100-X261)&gt;0,CEILING(MAX('Komisyon Tarifeleri'!I261,($D261+$F261)/(1-H261/100-X261)),1),"İMKÂNSIZ")))))</f>
        <v/>
      </c>
      <c r="AF261" s="16">
        <f>IF($D261="","",IF(AND(Y261&lt;&gt;"",AC261&lt;&gt;"",AC261&gt;=W261),Z261,IF(Y261&lt;&gt;"",AD261,AE261)))</f>
        <v/>
      </c>
      <c r="AG261" s="16">
        <f>IF(OR(AF261="",AF261="İMKÂNSIZ"),"",AF261*(1-IF(AF261&gt;='Komisyon Tarifeleri'!I261,IF($AM$1=2,'Komisyon Tarifeleri'!U261,'Komisyon Tarifeleri'!P261),IF(AF261&gt;='Komisyon Tarifeleri'!K261,IF($AM$1=2,'Komisyon Tarifeleri'!V261,'Komisyon Tarifeleri'!Q261),IF(AF261&gt;='Komisyon Tarifeleri'!M261,IF($AM$1=2,'Komisyon Tarifeleri'!W261,'Komisyon Tarifeleri'!R261),IF($AM$1=2,'Komisyon Tarifeleri'!X261,'Komisyon Tarifeleri'!S261))))/100)-$D261-IF(AF261&lt;=199.99,Kargo!$E$2,IF(AF261&lt;=399.99,Kargo!$E$3,$F261)))</f>
        <v/>
      </c>
      <c r="AH261" s="17">
        <f>IF(AG261="","",AG261/AF261)</f>
        <v/>
      </c>
      <c r="AI261" s="18">
        <f>IF($D261="","",IF(Y261="","BUYBOX YOK → hedef kârla min fiyat",IF(AC261&gt;=W261,"✓ BUYBOX ALTINA GİR","BUYBOX ALTI KÂRSIZ → min kârlı fiyat")))</f>
        <v/>
      </c>
      <c r="AJ261" s="10">
        <f>IF($B261="","",IFERROR(VLOOKUP($B261,Maliyetler!$A:$G,6,FALSE),""))</f>
        <v/>
      </c>
      <c r="AK261">
        <f>IF($B261="","",IFERROR(VLOOKUP($B261,Maliyetler!$A:$G,7,FALSE),""))</f>
        <v/>
      </c>
      <c r="AO261" s="21">
        <f>IF($B261="","",IFERROR(VLOOKUP($B261&amp;"",'Plus Tarifeleri'!$C:$Q,11,FALSE),""))</f>
        <v/>
      </c>
      <c r="AP261" s="22">
        <f>IF(AO261="","",IFERROR(IF($AM$1=2,VLOOKUP($B261&amp;"",'Plus Tarifeleri'!$C:$Q,15,FALSE),VLOOKUP($B261&amp;"",'Plus Tarifeleri'!$C:$Q,13,FALSE)),""))</f>
        <v/>
      </c>
      <c r="AQ261" s="21">
        <f>IF(OR(AO261="",AP261="",$D261=""),"",AO261*(1-AP261/100)-$D261-IF(AO261&lt;=199.99,Kargo!$E$2,IF(AO261&lt;=399.99,Kargo!$E$3,$F261)))</f>
        <v/>
      </c>
      <c r="AR261" s="23">
        <f>IF(AQ261="","",AQ261/AO261)</f>
        <v/>
      </c>
      <c r="AS261" s="24">
        <f>IF(OR(AQ261="",AG261=""),"",AQ261-AG261)</f>
        <v/>
      </c>
    </row>
    <row r="262">
      <c r="A262">
        <f>IF('Komisyon Tarifeleri'!A262="","",'Komisyon Tarifeleri'!A262)</f>
        <v/>
      </c>
      <c r="B262">
        <f>IF('Komisyon Tarifeleri'!B262="","",'Komisyon Tarifeleri'!B262&amp;"")</f>
        <v/>
      </c>
      <c r="C262">
        <f>IF($B262="","",'Komisyon Tarifeleri'!F262)</f>
        <v/>
      </c>
      <c r="D262" s="10">
        <f>IF($B262="","",IFERROR(VLOOKUP($B262,Maliyetler!$A:$E,3,FALSE),""))</f>
        <v/>
      </c>
      <c r="E262">
        <f>IF($B262="","",IFERROR(VLOOKUP($B262,Maliyetler!$A:$E,4,FALSE),1))</f>
        <v/>
      </c>
      <c r="F262" s="10">
        <f>IF($B262="","",IFERROR(VLOOKUP(MIN(20,MAX(1,ROUND($E262,0))),Kargo!$A:$B,2,FALSE),99.46))</f>
        <v/>
      </c>
      <c r="G262" s="10">
        <f>IF($B262="","",IF(IF(N('Komisyon Tarifeleri'!AA262)&gt;='Komisyon Tarifeleri'!I262,'Komisyon Tarifeleri'!AA262,'Komisyon Tarifeleri'!I262)="","",IF(N('Komisyon Tarifeleri'!AA262)&gt;='Komisyon Tarifeleri'!I262,'Komisyon Tarifeleri'!AA262,'Komisyon Tarifeleri'!I262)))</f>
        <v/>
      </c>
      <c r="H262" s="11">
        <f>IF(G262="","",IF($AM$1=2,'Komisyon Tarifeleri'!U262,'Komisyon Tarifeleri'!P262))</f>
        <v/>
      </c>
      <c r="I262" s="10">
        <f>IF(OR(G262="",$D262=""),"",G262*(1-H262/100)-$D262-IF(G262&lt;=199.99,Kargo!$E$2,IF(G262&lt;=399.99,Kargo!$E$3,$F262)))</f>
        <v/>
      </c>
      <c r="J262" s="12">
        <f>IF(I262="","",I262/G262)</f>
        <v/>
      </c>
      <c r="K262" s="10">
        <f>IF($B262="","",IF('Komisyon Tarifeleri'!J262="","",'Komisyon Tarifeleri'!J262))</f>
        <v/>
      </c>
      <c r="L262" s="11">
        <f>IF(K262="","",IF($AM$1=2,'Komisyon Tarifeleri'!V262,'Komisyon Tarifeleri'!Q262))</f>
        <v/>
      </c>
      <c r="M262" s="10">
        <f>IF(OR(K262="",$D262=""),"",K262*(1-L262/100)-$D262-IF(K262&lt;=199.99,Kargo!$E$2,IF(K262&lt;=399.99,Kargo!$E$3,$F262)))</f>
        <v/>
      </c>
      <c r="N262" s="12">
        <f>IF(M262="","",M262/K262)</f>
        <v/>
      </c>
      <c r="O262" s="10">
        <f>IF($B262="","",IF('Komisyon Tarifeleri'!L262="","",'Komisyon Tarifeleri'!L262))</f>
        <v/>
      </c>
      <c r="P262" s="11">
        <f>IF(O262="","",IF($AM$1=2,'Komisyon Tarifeleri'!W262,'Komisyon Tarifeleri'!R262))</f>
        <v/>
      </c>
      <c r="Q262" s="10">
        <f>IF(OR(O262="",$D262=""),"",O262*(1-P262/100)-$D262-IF(O262&lt;=199.99,Kargo!$E$2,IF(O262&lt;=399.99,Kargo!$E$3,$F262)))</f>
        <v/>
      </c>
      <c r="R262" s="12">
        <f>IF(Q262="","",Q262/O262)</f>
        <v/>
      </c>
      <c r="S262" s="10">
        <f>IF($B262="","",IF('Komisyon Tarifeleri'!N262="","",'Komisyon Tarifeleri'!N262))</f>
        <v/>
      </c>
      <c r="T262" s="11">
        <f>IF(S262="","",IF($AM$1=2,'Komisyon Tarifeleri'!X262,'Komisyon Tarifeleri'!S262))</f>
        <v/>
      </c>
      <c r="U262" s="10">
        <f>IF(OR(S262="",$D262=""),"",S262*(1-T262/100)-$D262-IF(S262&lt;=199.99,Kargo!$E$2,IF(S262&lt;=399.99,Kargo!$E$3,$F262)))</f>
        <v/>
      </c>
      <c r="V262" s="12">
        <f>IF(U262="","",U262/S262)</f>
        <v/>
      </c>
      <c r="W262" s="12">
        <f>IF($B262="","",IFERROR(VLOOKUP($C262,Hedefler!$A:$C,2,FALSE),0.04))</f>
        <v/>
      </c>
      <c r="X262" s="12">
        <f>IF($B262="","",IFERROR(VLOOKUP($C262,Hedefler!$A:$C,3,FALSE),0.1))</f>
        <v/>
      </c>
      <c r="Y262" s="13">
        <f>IF($B262="","",IFERROR(VLOOKUP($B262,Maliyetler!$A:$E,5,FALSE),""))</f>
        <v/>
      </c>
      <c r="Z262" s="13">
        <f>IF(OR(Y262="",Y262=0),"",Y262-1)</f>
        <v/>
      </c>
      <c r="AA262" s="14">
        <f>IF(Z262="","",IF(Z262&gt;='Komisyon Tarifeleri'!I262,IF($AM$1=2,'Komisyon Tarifeleri'!U262,'Komisyon Tarifeleri'!P262),IF(Z262&gt;='Komisyon Tarifeleri'!K262,IF($AM$1=2,'Komisyon Tarifeleri'!V262,'Komisyon Tarifeleri'!Q262),IF(Z262&gt;='Komisyon Tarifeleri'!M262,IF($AM$1=2,'Komisyon Tarifeleri'!W262,'Komisyon Tarifeleri'!R262),IF($AM$1=2,'Komisyon Tarifeleri'!X262,'Komisyon Tarifeleri'!S262)))))</f>
        <v/>
      </c>
      <c r="AB262" s="13">
        <f>IF(OR(AA262="",$D262=""),"",Z262*(1-AA262/100)-$D262-IF(Z262&lt;=199.99,Kargo!$E$2,IF(Z262&lt;=399.99,Kargo!$E$3,$F262)))</f>
        <v/>
      </c>
      <c r="AC262" s="15">
        <f>IF(AB262="","",AB262/Z262)</f>
        <v/>
      </c>
      <c r="AD262" s="10">
        <f>IF(OR($D262="",$B262=""),"",IF(AND((1-T262/100-W262)&gt;0,CEILING(($D262+$F262)/(1-T262/100-W262),1)&lt;='Komisyon Tarifeleri'!N262),CEILING(($D262+$F262)/(1-T262/100-W262),1),IF(AND((1-P262/100-W262)&gt;0,CEILING(MAX('Komisyon Tarifeleri'!M262,($D262+$F262)/(1-P262/100-W262)),1)&lt;='Komisyon Tarifeleri'!L262),CEILING(MAX('Komisyon Tarifeleri'!M262,($D262+$F262)/(1-P262/100-W262)),1),IF(AND((1-L262/100-W262)&gt;0,CEILING(MAX('Komisyon Tarifeleri'!K262,($D262+$F262)/(1-L262/100-W262)),1)&lt;='Komisyon Tarifeleri'!J262),CEILING(MAX('Komisyon Tarifeleri'!K262,($D262+$F262)/(1-L262/100-W262)),1),IF((1-H262/100-W262)&gt;0,CEILING(MAX('Komisyon Tarifeleri'!I262,($D262+$F262)/(1-H262/100-W262)),1),"İMKÂNSIZ")))))</f>
        <v/>
      </c>
      <c r="AE262" s="10">
        <f>IF(OR($D262="",$B262=""),"",IF(AND((1-T262/100-X262)&gt;0,CEILING(($D262+$F262)/(1-T262/100-X262),1)&lt;='Komisyon Tarifeleri'!N262),CEILING(($D262+$F262)/(1-T262/100-X262),1),IF(AND((1-P262/100-X262)&gt;0,CEILING(MAX('Komisyon Tarifeleri'!M262,($D262+$F262)/(1-P262/100-X262)),1)&lt;='Komisyon Tarifeleri'!L262),CEILING(MAX('Komisyon Tarifeleri'!M262,($D262+$F262)/(1-P262/100-X262)),1),IF(AND((1-L262/100-X262)&gt;0,CEILING(MAX('Komisyon Tarifeleri'!K262,($D262+$F262)/(1-L262/100-X262)),1)&lt;='Komisyon Tarifeleri'!J262),CEILING(MAX('Komisyon Tarifeleri'!K262,($D262+$F262)/(1-L262/100-X262)),1),IF((1-H262/100-X262)&gt;0,CEILING(MAX('Komisyon Tarifeleri'!I262,($D262+$F262)/(1-H262/100-X262)),1),"İMKÂNSIZ")))))</f>
        <v/>
      </c>
      <c r="AF262" s="16">
        <f>IF($D262="","",IF(AND(Y262&lt;&gt;"",AC262&lt;&gt;"",AC262&gt;=W262),Z262,IF(Y262&lt;&gt;"",AD262,AE262)))</f>
        <v/>
      </c>
      <c r="AG262" s="16">
        <f>IF(OR(AF262="",AF262="İMKÂNSIZ"),"",AF262*(1-IF(AF262&gt;='Komisyon Tarifeleri'!I262,IF($AM$1=2,'Komisyon Tarifeleri'!U262,'Komisyon Tarifeleri'!P262),IF(AF262&gt;='Komisyon Tarifeleri'!K262,IF($AM$1=2,'Komisyon Tarifeleri'!V262,'Komisyon Tarifeleri'!Q262),IF(AF262&gt;='Komisyon Tarifeleri'!M262,IF($AM$1=2,'Komisyon Tarifeleri'!W262,'Komisyon Tarifeleri'!R262),IF($AM$1=2,'Komisyon Tarifeleri'!X262,'Komisyon Tarifeleri'!S262))))/100)-$D262-IF(AF262&lt;=199.99,Kargo!$E$2,IF(AF262&lt;=399.99,Kargo!$E$3,$F262)))</f>
        <v/>
      </c>
      <c r="AH262" s="17">
        <f>IF(AG262="","",AG262/AF262)</f>
        <v/>
      </c>
      <c r="AI262" s="18">
        <f>IF($D262="","",IF(Y262="","BUYBOX YOK → hedef kârla min fiyat",IF(AC262&gt;=W262,"✓ BUYBOX ALTINA GİR","BUYBOX ALTI KÂRSIZ → min kârlı fiyat")))</f>
        <v/>
      </c>
      <c r="AJ262" s="10">
        <f>IF($B262="","",IFERROR(VLOOKUP($B262,Maliyetler!$A:$G,6,FALSE),""))</f>
        <v/>
      </c>
      <c r="AK262">
        <f>IF($B262="","",IFERROR(VLOOKUP($B262,Maliyetler!$A:$G,7,FALSE),""))</f>
        <v/>
      </c>
      <c r="AO262" s="21">
        <f>IF($B262="","",IFERROR(VLOOKUP($B262&amp;"",'Plus Tarifeleri'!$C:$Q,11,FALSE),""))</f>
        <v/>
      </c>
      <c r="AP262" s="22">
        <f>IF(AO262="","",IFERROR(IF($AM$1=2,VLOOKUP($B262&amp;"",'Plus Tarifeleri'!$C:$Q,15,FALSE),VLOOKUP($B262&amp;"",'Plus Tarifeleri'!$C:$Q,13,FALSE)),""))</f>
        <v/>
      </c>
      <c r="AQ262" s="21">
        <f>IF(OR(AO262="",AP262="",$D262=""),"",AO262*(1-AP262/100)-$D262-IF(AO262&lt;=199.99,Kargo!$E$2,IF(AO262&lt;=399.99,Kargo!$E$3,$F262)))</f>
        <v/>
      </c>
      <c r="AR262" s="23">
        <f>IF(AQ262="","",AQ262/AO262)</f>
        <v/>
      </c>
      <c r="AS262" s="24">
        <f>IF(OR(AQ262="",AG262=""),"",AQ262-AG262)</f>
        <v/>
      </c>
    </row>
    <row r="263">
      <c r="A263">
        <f>IF('Komisyon Tarifeleri'!A263="","",'Komisyon Tarifeleri'!A263)</f>
        <v/>
      </c>
      <c r="B263">
        <f>IF('Komisyon Tarifeleri'!B263="","",'Komisyon Tarifeleri'!B263&amp;"")</f>
        <v/>
      </c>
      <c r="C263">
        <f>IF($B263="","",'Komisyon Tarifeleri'!F263)</f>
        <v/>
      </c>
      <c r="D263" s="10">
        <f>IF($B263="","",IFERROR(VLOOKUP($B263,Maliyetler!$A:$E,3,FALSE),""))</f>
        <v/>
      </c>
      <c r="E263">
        <f>IF($B263="","",IFERROR(VLOOKUP($B263,Maliyetler!$A:$E,4,FALSE),1))</f>
        <v/>
      </c>
      <c r="F263" s="10">
        <f>IF($B263="","",IFERROR(VLOOKUP(MIN(20,MAX(1,ROUND($E263,0))),Kargo!$A:$B,2,FALSE),99.46))</f>
        <v/>
      </c>
      <c r="G263" s="10">
        <f>IF($B263="","",IF(IF(N('Komisyon Tarifeleri'!AA263)&gt;='Komisyon Tarifeleri'!I263,'Komisyon Tarifeleri'!AA263,'Komisyon Tarifeleri'!I263)="","",IF(N('Komisyon Tarifeleri'!AA263)&gt;='Komisyon Tarifeleri'!I263,'Komisyon Tarifeleri'!AA263,'Komisyon Tarifeleri'!I263)))</f>
        <v/>
      </c>
      <c r="H263" s="11">
        <f>IF(G263="","",IF($AM$1=2,'Komisyon Tarifeleri'!U263,'Komisyon Tarifeleri'!P263))</f>
        <v/>
      </c>
      <c r="I263" s="10">
        <f>IF(OR(G263="",$D263=""),"",G263*(1-H263/100)-$D263-IF(G263&lt;=199.99,Kargo!$E$2,IF(G263&lt;=399.99,Kargo!$E$3,$F263)))</f>
        <v/>
      </c>
      <c r="J263" s="12">
        <f>IF(I263="","",I263/G263)</f>
        <v/>
      </c>
      <c r="K263" s="10">
        <f>IF($B263="","",IF('Komisyon Tarifeleri'!J263="","",'Komisyon Tarifeleri'!J263))</f>
        <v/>
      </c>
      <c r="L263" s="11">
        <f>IF(K263="","",IF($AM$1=2,'Komisyon Tarifeleri'!V263,'Komisyon Tarifeleri'!Q263))</f>
        <v/>
      </c>
      <c r="M263" s="10">
        <f>IF(OR(K263="",$D263=""),"",K263*(1-L263/100)-$D263-IF(K263&lt;=199.99,Kargo!$E$2,IF(K263&lt;=399.99,Kargo!$E$3,$F263)))</f>
        <v/>
      </c>
      <c r="N263" s="12">
        <f>IF(M263="","",M263/K263)</f>
        <v/>
      </c>
      <c r="O263" s="10">
        <f>IF($B263="","",IF('Komisyon Tarifeleri'!L263="","",'Komisyon Tarifeleri'!L263))</f>
        <v/>
      </c>
      <c r="P263" s="11">
        <f>IF(O263="","",IF($AM$1=2,'Komisyon Tarifeleri'!W263,'Komisyon Tarifeleri'!R263))</f>
        <v/>
      </c>
      <c r="Q263" s="10">
        <f>IF(OR(O263="",$D263=""),"",O263*(1-P263/100)-$D263-IF(O263&lt;=199.99,Kargo!$E$2,IF(O263&lt;=399.99,Kargo!$E$3,$F263)))</f>
        <v/>
      </c>
      <c r="R263" s="12">
        <f>IF(Q263="","",Q263/O263)</f>
        <v/>
      </c>
      <c r="S263" s="10">
        <f>IF($B263="","",IF('Komisyon Tarifeleri'!N263="","",'Komisyon Tarifeleri'!N263))</f>
        <v/>
      </c>
      <c r="T263" s="11">
        <f>IF(S263="","",IF($AM$1=2,'Komisyon Tarifeleri'!X263,'Komisyon Tarifeleri'!S263))</f>
        <v/>
      </c>
      <c r="U263" s="10">
        <f>IF(OR(S263="",$D263=""),"",S263*(1-T263/100)-$D263-IF(S263&lt;=199.99,Kargo!$E$2,IF(S263&lt;=399.99,Kargo!$E$3,$F263)))</f>
        <v/>
      </c>
      <c r="V263" s="12">
        <f>IF(U263="","",U263/S263)</f>
        <v/>
      </c>
      <c r="W263" s="12">
        <f>IF($B263="","",IFERROR(VLOOKUP($C263,Hedefler!$A:$C,2,FALSE),0.04))</f>
        <v/>
      </c>
      <c r="X263" s="12">
        <f>IF($B263="","",IFERROR(VLOOKUP($C263,Hedefler!$A:$C,3,FALSE),0.1))</f>
        <v/>
      </c>
      <c r="Y263" s="13">
        <f>IF($B263="","",IFERROR(VLOOKUP($B263,Maliyetler!$A:$E,5,FALSE),""))</f>
        <v/>
      </c>
      <c r="Z263" s="13">
        <f>IF(OR(Y263="",Y263=0),"",Y263-1)</f>
        <v/>
      </c>
      <c r="AA263" s="14">
        <f>IF(Z263="","",IF(Z263&gt;='Komisyon Tarifeleri'!I263,IF($AM$1=2,'Komisyon Tarifeleri'!U263,'Komisyon Tarifeleri'!P263),IF(Z263&gt;='Komisyon Tarifeleri'!K263,IF($AM$1=2,'Komisyon Tarifeleri'!V263,'Komisyon Tarifeleri'!Q263),IF(Z263&gt;='Komisyon Tarifeleri'!M263,IF($AM$1=2,'Komisyon Tarifeleri'!W263,'Komisyon Tarifeleri'!R263),IF($AM$1=2,'Komisyon Tarifeleri'!X263,'Komisyon Tarifeleri'!S263)))))</f>
        <v/>
      </c>
      <c r="AB263" s="13">
        <f>IF(OR(AA263="",$D263=""),"",Z263*(1-AA263/100)-$D263-IF(Z263&lt;=199.99,Kargo!$E$2,IF(Z263&lt;=399.99,Kargo!$E$3,$F263)))</f>
        <v/>
      </c>
      <c r="AC263" s="15">
        <f>IF(AB263="","",AB263/Z263)</f>
        <v/>
      </c>
      <c r="AD263" s="10">
        <f>IF(OR($D263="",$B263=""),"",IF(AND((1-T263/100-W263)&gt;0,CEILING(($D263+$F263)/(1-T263/100-W263),1)&lt;='Komisyon Tarifeleri'!N263),CEILING(($D263+$F263)/(1-T263/100-W263),1),IF(AND((1-P263/100-W263)&gt;0,CEILING(MAX('Komisyon Tarifeleri'!M263,($D263+$F263)/(1-P263/100-W263)),1)&lt;='Komisyon Tarifeleri'!L263),CEILING(MAX('Komisyon Tarifeleri'!M263,($D263+$F263)/(1-P263/100-W263)),1),IF(AND((1-L263/100-W263)&gt;0,CEILING(MAX('Komisyon Tarifeleri'!K263,($D263+$F263)/(1-L263/100-W263)),1)&lt;='Komisyon Tarifeleri'!J263),CEILING(MAX('Komisyon Tarifeleri'!K263,($D263+$F263)/(1-L263/100-W263)),1),IF((1-H263/100-W263)&gt;0,CEILING(MAX('Komisyon Tarifeleri'!I263,($D263+$F263)/(1-H263/100-W263)),1),"İMKÂNSIZ")))))</f>
        <v/>
      </c>
      <c r="AE263" s="10">
        <f>IF(OR($D263="",$B263=""),"",IF(AND((1-T263/100-X263)&gt;0,CEILING(($D263+$F263)/(1-T263/100-X263),1)&lt;='Komisyon Tarifeleri'!N263),CEILING(($D263+$F263)/(1-T263/100-X263),1),IF(AND((1-P263/100-X263)&gt;0,CEILING(MAX('Komisyon Tarifeleri'!M263,($D263+$F263)/(1-P263/100-X263)),1)&lt;='Komisyon Tarifeleri'!L263),CEILING(MAX('Komisyon Tarifeleri'!M263,($D263+$F263)/(1-P263/100-X263)),1),IF(AND((1-L263/100-X263)&gt;0,CEILING(MAX('Komisyon Tarifeleri'!K263,($D263+$F263)/(1-L263/100-X263)),1)&lt;='Komisyon Tarifeleri'!J263),CEILING(MAX('Komisyon Tarifeleri'!K263,($D263+$F263)/(1-L263/100-X263)),1),IF((1-H263/100-X263)&gt;0,CEILING(MAX('Komisyon Tarifeleri'!I263,($D263+$F263)/(1-H263/100-X263)),1),"İMKÂNSIZ")))))</f>
        <v/>
      </c>
      <c r="AF263" s="16">
        <f>IF($D263="","",IF(AND(Y263&lt;&gt;"",AC263&lt;&gt;"",AC263&gt;=W263),Z263,IF(Y263&lt;&gt;"",AD263,AE263)))</f>
        <v/>
      </c>
      <c r="AG263" s="16">
        <f>IF(OR(AF263="",AF263="İMKÂNSIZ"),"",AF263*(1-IF(AF263&gt;='Komisyon Tarifeleri'!I263,IF($AM$1=2,'Komisyon Tarifeleri'!U263,'Komisyon Tarifeleri'!P263),IF(AF263&gt;='Komisyon Tarifeleri'!K263,IF($AM$1=2,'Komisyon Tarifeleri'!V263,'Komisyon Tarifeleri'!Q263),IF(AF263&gt;='Komisyon Tarifeleri'!M263,IF($AM$1=2,'Komisyon Tarifeleri'!W263,'Komisyon Tarifeleri'!R263),IF($AM$1=2,'Komisyon Tarifeleri'!X263,'Komisyon Tarifeleri'!S263))))/100)-$D263-IF(AF263&lt;=199.99,Kargo!$E$2,IF(AF263&lt;=399.99,Kargo!$E$3,$F263)))</f>
        <v/>
      </c>
      <c r="AH263" s="17">
        <f>IF(AG263="","",AG263/AF263)</f>
        <v/>
      </c>
      <c r="AI263" s="18">
        <f>IF($D263="","",IF(Y263="","BUYBOX YOK → hedef kârla min fiyat",IF(AC263&gt;=W263,"✓ BUYBOX ALTINA GİR","BUYBOX ALTI KÂRSIZ → min kârlı fiyat")))</f>
        <v/>
      </c>
      <c r="AJ263" s="10">
        <f>IF($B263="","",IFERROR(VLOOKUP($B263,Maliyetler!$A:$G,6,FALSE),""))</f>
        <v/>
      </c>
      <c r="AK263">
        <f>IF($B263="","",IFERROR(VLOOKUP($B263,Maliyetler!$A:$G,7,FALSE),""))</f>
        <v/>
      </c>
      <c r="AO263" s="21">
        <f>IF($B263="","",IFERROR(VLOOKUP($B263&amp;"",'Plus Tarifeleri'!$C:$Q,11,FALSE),""))</f>
        <v/>
      </c>
      <c r="AP263" s="22">
        <f>IF(AO263="","",IFERROR(IF($AM$1=2,VLOOKUP($B263&amp;"",'Plus Tarifeleri'!$C:$Q,15,FALSE),VLOOKUP($B263&amp;"",'Plus Tarifeleri'!$C:$Q,13,FALSE)),""))</f>
        <v/>
      </c>
      <c r="AQ263" s="21">
        <f>IF(OR(AO263="",AP263="",$D263=""),"",AO263*(1-AP263/100)-$D263-IF(AO263&lt;=199.99,Kargo!$E$2,IF(AO263&lt;=399.99,Kargo!$E$3,$F263)))</f>
        <v/>
      </c>
      <c r="AR263" s="23">
        <f>IF(AQ263="","",AQ263/AO263)</f>
        <v/>
      </c>
      <c r="AS263" s="24">
        <f>IF(OR(AQ263="",AG263=""),"",AQ263-AG263)</f>
        <v/>
      </c>
    </row>
    <row r="264">
      <c r="A264">
        <f>IF('Komisyon Tarifeleri'!A264="","",'Komisyon Tarifeleri'!A264)</f>
        <v/>
      </c>
      <c r="B264">
        <f>IF('Komisyon Tarifeleri'!B264="","",'Komisyon Tarifeleri'!B264&amp;"")</f>
        <v/>
      </c>
      <c r="C264">
        <f>IF($B264="","",'Komisyon Tarifeleri'!F264)</f>
        <v/>
      </c>
      <c r="D264" s="10">
        <f>IF($B264="","",IFERROR(VLOOKUP($B264,Maliyetler!$A:$E,3,FALSE),""))</f>
        <v/>
      </c>
      <c r="E264">
        <f>IF($B264="","",IFERROR(VLOOKUP($B264,Maliyetler!$A:$E,4,FALSE),1))</f>
        <v/>
      </c>
      <c r="F264" s="10">
        <f>IF($B264="","",IFERROR(VLOOKUP(MIN(20,MAX(1,ROUND($E264,0))),Kargo!$A:$B,2,FALSE),99.46))</f>
        <v/>
      </c>
      <c r="G264" s="10">
        <f>IF($B264="","",IF(IF(N('Komisyon Tarifeleri'!AA264)&gt;='Komisyon Tarifeleri'!I264,'Komisyon Tarifeleri'!AA264,'Komisyon Tarifeleri'!I264)="","",IF(N('Komisyon Tarifeleri'!AA264)&gt;='Komisyon Tarifeleri'!I264,'Komisyon Tarifeleri'!AA264,'Komisyon Tarifeleri'!I264)))</f>
        <v/>
      </c>
      <c r="H264" s="11">
        <f>IF(G264="","",IF($AM$1=2,'Komisyon Tarifeleri'!U264,'Komisyon Tarifeleri'!P264))</f>
        <v/>
      </c>
      <c r="I264" s="10">
        <f>IF(OR(G264="",$D264=""),"",G264*(1-H264/100)-$D264-IF(G264&lt;=199.99,Kargo!$E$2,IF(G264&lt;=399.99,Kargo!$E$3,$F264)))</f>
        <v/>
      </c>
      <c r="J264" s="12">
        <f>IF(I264="","",I264/G264)</f>
        <v/>
      </c>
      <c r="K264" s="10">
        <f>IF($B264="","",IF('Komisyon Tarifeleri'!J264="","",'Komisyon Tarifeleri'!J264))</f>
        <v/>
      </c>
      <c r="L264" s="11">
        <f>IF(K264="","",IF($AM$1=2,'Komisyon Tarifeleri'!V264,'Komisyon Tarifeleri'!Q264))</f>
        <v/>
      </c>
      <c r="M264" s="10">
        <f>IF(OR(K264="",$D264=""),"",K264*(1-L264/100)-$D264-IF(K264&lt;=199.99,Kargo!$E$2,IF(K264&lt;=399.99,Kargo!$E$3,$F264)))</f>
        <v/>
      </c>
      <c r="N264" s="12">
        <f>IF(M264="","",M264/K264)</f>
        <v/>
      </c>
      <c r="O264" s="10">
        <f>IF($B264="","",IF('Komisyon Tarifeleri'!L264="","",'Komisyon Tarifeleri'!L264))</f>
        <v/>
      </c>
      <c r="P264" s="11">
        <f>IF(O264="","",IF($AM$1=2,'Komisyon Tarifeleri'!W264,'Komisyon Tarifeleri'!R264))</f>
        <v/>
      </c>
      <c r="Q264" s="10">
        <f>IF(OR(O264="",$D264=""),"",O264*(1-P264/100)-$D264-IF(O264&lt;=199.99,Kargo!$E$2,IF(O264&lt;=399.99,Kargo!$E$3,$F264)))</f>
        <v/>
      </c>
      <c r="R264" s="12">
        <f>IF(Q264="","",Q264/O264)</f>
        <v/>
      </c>
      <c r="S264" s="10">
        <f>IF($B264="","",IF('Komisyon Tarifeleri'!N264="","",'Komisyon Tarifeleri'!N264))</f>
        <v/>
      </c>
      <c r="T264" s="11">
        <f>IF(S264="","",IF($AM$1=2,'Komisyon Tarifeleri'!X264,'Komisyon Tarifeleri'!S264))</f>
        <v/>
      </c>
      <c r="U264" s="10">
        <f>IF(OR(S264="",$D264=""),"",S264*(1-T264/100)-$D264-IF(S264&lt;=199.99,Kargo!$E$2,IF(S264&lt;=399.99,Kargo!$E$3,$F264)))</f>
        <v/>
      </c>
      <c r="V264" s="12">
        <f>IF(U264="","",U264/S264)</f>
        <v/>
      </c>
      <c r="W264" s="12">
        <f>IF($B264="","",IFERROR(VLOOKUP($C264,Hedefler!$A:$C,2,FALSE),0.04))</f>
        <v/>
      </c>
      <c r="X264" s="12">
        <f>IF($B264="","",IFERROR(VLOOKUP($C264,Hedefler!$A:$C,3,FALSE),0.1))</f>
        <v/>
      </c>
      <c r="Y264" s="13">
        <f>IF($B264="","",IFERROR(VLOOKUP($B264,Maliyetler!$A:$E,5,FALSE),""))</f>
        <v/>
      </c>
      <c r="Z264" s="13">
        <f>IF(OR(Y264="",Y264=0),"",Y264-1)</f>
        <v/>
      </c>
      <c r="AA264" s="14">
        <f>IF(Z264="","",IF(Z264&gt;='Komisyon Tarifeleri'!I264,IF($AM$1=2,'Komisyon Tarifeleri'!U264,'Komisyon Tarifeleri'!P264),IF(Z264&gt;='Komisyon Tarifeleri'!K264,IF($AM$1=2,'Komisyon Tarifeleri'!V264,'Komisyon Tarifeleri'!Q264),IF(Z264&gt;='Komisyon Tarifeleri'!M264,IF($AM$1=2,'Komisyon Tarifeleri'!W264,'Komisyon Tarifeleri'!R264),IF($AM$1=2,'Komisyon Tarifeleri'!X264,'Komisyon Tarifeleri'!S264)))))</f>
        <v/>
      </c>
      <c r="AB264" s="13">
        <f>IF(OR(AA264="",$D264=""),"",Z264*(1-AA264/100)-$D264-IF(Z264&lt;=199.99,Kargo!$E$2,IF(Z264&lt;=399.99,Kargo!$E$3,$F264)))</f>
        <v/>
      </c>
      <c r="AC264" s="15">
        <f>IF(AB264="","",AB264/Z264)</f>
        <v/>
      </c>
      <c r="AD264" s="10">
        <f>IF(OR($D264="",$B264=""),"",IF(AND((1-T264/100-W264)&gt;0,CEILING(($D264+$F264)/(1-T264/100-W264),1)&lt;='Komisyon Tarifeleri'!N264),CEILING(($D264+$F264)/(1-T264/100-W264),1),IF(AND((1-P264/100-W264)&gt;0,CEILING(MAX('Komisyon Tarifeleri'!M264,($D264+$F264)/(1-P264/100-W264)),1)&lt;='Komisyon Tarifeleri'!L264),CEILING(MAX('Komisyon Tarifeleri'!M264,($D264+$F264)/(1-P264/100-W264)),1),IF(AND((1-L264/100-W264)&gt;0,CEILING(MAX('Komisyon Tarifeleri'!K264,($D264+$F264)/(1-L264/100-W264)),1)&lt;='Komisyon Tarifeleri'!J264),CEILING(MAX('Komisyon Tarifeleri'!K264,($D264+$F264)/(1-L264/100-W264)),1),IF((1-H264/100-W264)&gt;0,CEILING(MAX('Komisyon Tarifeleri'!I264,($D264+$F264)/(1-H264/100-W264)),1),"İMKÂNSIZ")))))</f>
        <v/>
      </c>
      <c r="AE264" s="10">
        <f>IF(OR($D264="",$B264=""),"",IF(AND((1-T264/100-X264)&gt;0,CEILING(($D264+$F264)/(1-T264/100-X264),1)&lt;='Komisyon Tarifeleri'!N264),CEILING(($D264+$F264)/(1-T264/100-X264),1),IF(AND((1-P264/100-X264)&gt;0,CEILING(MAX('Komisyon Tarifeleri'!M264,($D264+$F264)/(1-P264/100-X264)),1)&lt;='Komisyon Tarifeleri'!L264),CEILING(MAX('Komisyon Tarifeleri'!M264,($D264+$F264)/(1-P264/100-X264)),1),IF(AND((1-L264/100-X264)&gt;0,CEILING(MAX('Komisyon Tarifeleri'!K264,($D264+$F264)/(1-L264/100-X264)),1)&lt;='Komisyon Tarifeleri'!J264),CEILING(MAX('Komisyon Tarifeleri'!K264,($D264+$F264)/(1-L264/100-X264)),1),IF((1-H264/100-X264)&gt;0,CEILING(MAX('Komisyon Tarifeleri'!I264,($D264+$F264)/(1-H264/100-X264)),1),"İMKÂNSIZ")))))</f>
        <v/>
      </c>
      <c r="AF264" s="16">
        <f>IF($D264="","",IF(AND(Y264&lt;&gt;"",AC264&lt;&gt;"",AC264&gt;=W264),Z264,IF(Y264&lt;&gt;"",AD264,AE264)))</f>
        <v/>
      </c>
      <c r="AG264" s="16">
        <f>IF(OR(AF264="",AF264="İMKÂNSIZ"),"",AF264*(1-IF(AF264&gt;='Komisyon Tarifeleri'!I264,IF($AM$1=2,'Komisyon Tarifeleri'!U264,'Komisyon Tarifeleri'!P264),IF(AF264&gt;='Komisyon Tarifeleri'!K264,IF($AM$1=2,'Komisyon Tarifeleri'!V264,'Komisyon Tarifeleri'!Q264),IF(AF264&gt;='Komisyon Tarifeleri'!M264,IF($AM$1=2,'Komisyon Tarifeleri'!W264,'Komisyon Tarifeleri'!R264),IF($AM$1=2,'Komisyon Tarifeleri'!X264,'Komisyon Tarifeleri'!S264))))/100)-$D264-IF(AF264&lt;=199.99,Kargo!$E$2,IF(AF264&lt;=399.99,Kargo!$E$3,$F264)))</f>
        <v/>
      </c>
      <c r="AH264" s="17">
        <f>IF(AG264="","",AG264/AF264)</f>
        <v/>
      </c>
      <c r="AI264" s="18">
        <f>IF($D264="","",IF(Y264="","BUYBOX YOK → hedef kârla min fiyat",IF(AC264&gt;=W264,"✓ BUYBOX ALTINA GİR","BUYBOX ALTI KÂRSIZ → min kârlı fiyat")))</f>
        <v/>
      </c>
      <c r="AJ264" s="10">
        <f>IF($B264="","",IFERROR(VLOOKUP($B264,Maliyetler!$A:$G,6,FALSE),""))</f>
        <v/>
      </c>
      <c r="AK264">
        <f>IF($B264="","",IFERROR(VLOOKUP($B264,Maliyetler!$A:$G,7,FALSE),""))</f>
        <v/>
      </c>
      <c r="AO264" s="21">
        <f>IF($B264="","",IFERROR(VLOOKUP($B264&amp;"",'Plus Tarifeleri'!$C:$Q,11,FALSE),""))</f>
        <v/>
      </c>
      <c r="AP264" s="22">
        <f>IF(AO264="","",IFERROR(IF($AM$1=2,VLOOKUP($B264&amp;"",'Plus Tarifeleri'!$C:$Q,15,FALSE),VLOOKUP($B264&amp;"",'Plus Tarifeleri'!$C:$Q,13,FALSE)),""))</f>
        <v/>
      </c>
      <c r="AQ264" s="21">
        <f>IF(OR(AO264="",AP264="",$D264=""),"",AO264*(1-AP264/100)-$D264-IF(AO264&lt;=199.99,Kargo!$E$2,IF(AO264&lt;=399.99,Kargo!$E$3,$F264)))</f>
        <v/>
      </c>
      <c r="AR264" s="23">
        <f>IF(AQ264="","",AQ264/AO264)</f>
        <v/>
      </c>
      <c r="AS264" s="24">
        <f>IF(OR(AQ264="",AG264=""),"",AQ264-AG264)</f>
        <v/>
      </c>
    </row>
    <row r="265">
      <c r="A265">
        <f>IF('Komisyon Tarifeleri'!A265="","",'Komisyon Tarifeleri'!A265)</f>
        <v/>
      </c>
      <c r="B265">
        <f>IF('Komisyon Tarifeleri'!B265="","",'Komisyon Tarifeleri'!B265&amp;"")</f>
        <v/>
      </c>
      <c r="C265">
        <f>IF($B265="","",'Komisyon Tarifeleri'!F265)</f>
        <v/>
      </c>
      <c r="D265" s="10">
        <f>IF($B265="","",IFERROR(VLOOKUP($B265,Maliyetler!$A:$E,3,FALSE),""))</f>
        <v/>
      </c>
      <c r="E265">
        <f>IF($B265="","",IFERROR(VLOOKUP($B265,Maliyetler!$A:$E,4,FALSE),1))</f>
        <v/>
      </c>
      <c r="F265" s="10">
        <f>IF($B265="","",IFERROR(VLOOKUP(MIN(20,MAX(1,ROUND($E265,0))),Kargo!$A:$B,2,FALSE),99.46))</f>
        <v/>
      </c>
      <c r="G265" s="10">
        <f>IF($B265="","",IF(IF(N('Komisyon Tarifeleri'!AA265)&gt;='Komisyon Tarifeleri'!I265,'Komisyon Tarifeleri'!AA265,'Komisyon Tarifeleri'!I265)="","",IF(N('Komisyon Tarifeleri'!AA265)&gt;='Komisyon Tarifeleri'!I265,'Komisyon Tarifeleri'!AA265,'Komisyon Tarifeleri'!I265)))</f>
        <v/>
      </c>
      <c r="H265" s="11">
        <f>IF(G265="","",IF($AM$1=2,'Komisyon Tarifeleri'!U265,'Komisyon Tarifeleri'!P265))</f>
        <v/>
      </c>
      <c r="I265" s="10">
        <f>IF(OR(G265="",$D265=""),"",G265*(1-H265/100)-$D265-IF(G265&lt;=199.99,Kargo!$E$2,IF(G265&lt;=399.99,Kargo!$E$3,$F265)))</f>
        <v/>
      </c>
      <c r="J265" s="12">
        <f>IF(I265="","",I265/G265)</f>
        <v/>
      </c>
      <c r="K265" s="10">
        <f>IF($B265="","",IF('Komisyon Tarifeleri'!J265="","",'Komisyon Tarifeleri'!J265))</f>
        <v/>
      </c>
      <c r="L265" s="11">
        <f>IF(K265="","",IF($AM$1=2,'Komisyon Tarifeleri'!V265,'Komisyon Tarifeleri'!Q265))</f>
        <v/>
      </c>
      <c r="M265" s="10">
        <f>IF(OR(K265="",$D265=""),"",K265*(1-L265/100)-$D265-IF(K265&lt;=199.99,Kargo!$E$2,IF(K265&lt;=399.99,Kargo!$E$3,$F265)))</f>
        <v/>
      </c>
      <c r="N265" s="12">
        <f>IF(M265="","",M265/K265)</f>
        <v/>
      </c>
      <c r="O265" s="10">
        <f>IF($B265="","",IF('Komisyon Tarifeleri'!L265="","",'Komisyon Tarifeleri'!L265))</f>
        <v/>
      </c>
      <c r="P265" s="11">
        <f>IF(O265="","",IF($AM$1=2,'Komisyon Tarifeleri'!W265,'Komisyon Tarifeleri'!R265))</f>
        <v/>
      </c>
      <c r="Q265" s="10">
        <f>IF(OR(O265="",$D265=""),"",O265*(1-P265/100)-$D265-IF(O265&lt;=199.99,Kargo!$E$2,IF(O265&lt;=399.99,Kargo!$E$3,$F265)))</f>
        <v/>
      </c>
      <c r="R265" s="12">
        <f>IF(Q265="","",Q265/O265)</f>
        <v/>
      </c>
      <c r="S265" s="10">
        <f>IF($B265="","",IF('Komisyon Tarifeleri'!N265="","",'Komisyon Tarifeleri'!N265))</f>
        <v/>
      </c>
      <c r="T265" s="11">
        <f>IF(S265="","",IF($AM$1=2,'Komisyon Tarifeleri'!X265,'Komisyon Tarifeleri'!S265))</f>
        <v/>
      </c>
      <c r="U265" s="10">
        <f>IF(OR(S265="",$D265=""),"",S265*(1-T265/100)-$D265-IF(S265&lt;=199.99,Kargo!$E$2,IF(S265&lt;=399.99,Kargo!$E$3,$F265)))</f>
        <v/>
      </c>
      <c r="V265" s="12">
        <f>IF(U265="","",U265/S265)</f>
        <v/>
      </c>
      <c r="W265" s="12">
        <f>IF($B265="","",IFERROR(VLOOKUP($C265,Hedefler!$A:$C,2,FALSE),0.04))</f>
        <v/>
      </c>
      <c r="X265" s="12">
        <f>IF($B265="","",IFERROR(VLOOKUP($C265,Hedefler!$A:$C,3,FALSE),0.1))</f>
        <v/>
      </c>
      <c r="Y265" s="13">
        <f>IF($B265="","",IFERROR(VLOOKUP($B265,Maliyetler!$A:$E,5,FALSE),""))</f>
        <v/>
      </c>
      <c r="Z265" s="13">
        <f>IF(OR(Y265="",Y265=0),"",Y265-1)</f>
        <v/>
      </c>
      <c r="AA265" s="14">
        <f>IF(Z265="","",IF(Z265&gt;='Komisyon Tarifeleri'!I265,IF($AM$1=2,'Komisyon Tarifeleri'!U265,'Komisyon Tarifeleri'!P265),IF(Z265&gt;='Komisyon Tarifeleri'!K265,IF($AM$1=2,'Komisyon Tarifeleri'!V265,'Komisyon Tarifeleri'!Q265),IF(Z265&gt;='Komisyon Tarifeleri'!M265,IF($AM$1=2,'Komisyon Tarifeleri'!W265,'Komisyon Tarifeleri'!R265),IF($AM$1=2,'Komisyon Tarifeleri'!X265,'Komisyon Tarifeleri'!S265)))))</f>
        <v/>
      </c>
      <c r="AB265" s="13">
        <f>IF(OR(AA265="",$D265=""),"",Z265*(1-AA265/100)-$D265-IF(Z265&lt;=199.99,Kargo!$E$2,IF(Z265&lt;=399.99,Kargo!$E$3,$F265)))</f>
        <v/>
      </c>
      <c r="AC265" s="15">
        <f>IF(AB265="","",AB265/Z265)</f>
        <v/>
      </c>
      <c r="AD265" s="10">
        <f>IF(OR($D265="",$B265=""),"",IF(AND((1-T265/100-W265)&gt;0,CEILING(($D265+$F265)/(1-T265/100-W265),1)&lt;='Komisyon Tarifeleri'!N265),CEILING(($D265+$F265)/(1-T265/100-W265),1),IF(AND((1-P265/100-W265)&gt;0,CEILING(MAX('Komisyon Tarifeleri'!M265,($D265+$F265)/(1-P265/100-W265)),1)&lt;='Komisyon Tarifeleri'!L265),CEILING(MAX('Komisyon Tarifeleri'!M265,($D265+$F265)/(1-P265/100-W265)),1),IF(AND((1-L265/100-W265)&gt;0,CEILING(MAX('Komisyon Tarifeleri'!K265,($D265+$F265)/(1-L265/100-W265)),1)&lt;='Komisyon Tarifeleri'!J265),CEILING(MAX('Komisyon Tarifeleri'!K265,($D265+$F265)/(1-L265/100-W265)),1),IF((1-H265/100-W265)&gt;0,CEILING(MAX('Komisyon Tarifeleri'!I265,($D265+$F265)/(1-H265/100-W265)),1),"İMKÂNSIZ")))))</f>
        <v/>
      </c>
      <c r="AE265" s="10">
        <f>IF(OR($D265="",$B265=""),"",IF(AND((1-T265/100-X265)&gt;0,CEILING(($D265+$F265)/(1-T265/100-X265),1)&lt;='Komisyon Tarifeleri'!N265),CEILING(($D265+$F265)/(1-T265/100-X265),1),IF(AND((1-P265/100-X265)&gt;0,CEILING(MAX('Komisyon Tarifeleri'!M265,($D265+$F265)/(1-P265/100-X265)),1)&lt;='Komisyon Tarifeleri'!L265),CEILING(MAX('Komisyon Tarifeleri'!M265,($D265+$F265)/(1-P265/100-X265)),1),IF(AND((1-L265/100-X265)&gt;0,CEILING(MAX('Komisyon Tarifeleri'!K265,($D265+$F265)/(1-L265/100-X265)),1)&lt;='Komisyon Tarifeleri'!J265),CEILING(MAX('Komisyon Tarifeleri'!K265,($D265+$F265)/(1-L265/100-X265)),1),IF((1-H265/100-X265)&gt;0,CEILING(MAX('Komisyon Tarifeleri'!I265,($D265+$F265)/(1-H265/100-X265)),1),"İMKÂNSIZ")))))</f>
        <v/>
      </c>
      <c r="AF265" s="16">
        <f>IF($D265="","",IF(AND(Y265&lt;&gt;"",AC265&lt;&gt;"",AC265&gt;=W265),Z265,IF(Y265&lt;&gt;"",AD265,AE265)))</f>
        <v/>
      </c>
      <c r="AG265" s="16">
        <f>IF(OR(AF265="",AF265="İMKÂNSIZ"),"",AF265*(1-IF(AF265&gt;='Komisyon Tarifeleri'!I265,IF($AM$1=2,'Komisyon Tarifeleri'!U265,'Komisyon Tarifeleri'!P265),IF(AF265&gt;='Komisyon Tarifeleri'!K265,IF($AM$1=2,'Komisyon Tarifeleri'!V265,'Komisyon Tarifeleri'!Q265),IF(AF265&gt;='Komisyon Tarifeleri'!M265,IF($AM$1=2,'Komisyon Tarifeleri'!W265,'Komisyon Tarifeleri'!R265),IF($AM$1=2,'Komisyon Tarifeleri'!X265,'Komisyon Tarifeleri'!S265))))/100)-$D265-IF(AF265&lt;=199.99,Kargo!$E$2,IF(AF265&lt;=399.99,Kargo!$E$3,$F265)))</f>
        <v/>
      </c>
      <c r="AH265" s="17">
        <f>IF(AG265="","",AG265/AF265)</f>
        <v/>
      </c>
      <c r="AI265" s="18">
        <f>IF($D265="","",IF(Y265="","BUYBOX YOK → hedef kârla min fiyat",IF(AC265&gt;=W265,"✓ BUYBOX ALTINA GİR","BUYBOX ALTI KÂRSIZ → min kârlı fiyat")))</f>
        <v/>
      </c>
      <c r="AJ265" s="10">
        <f>IF($B265="","",IFERROR(VLOOKUP($B265,Maliyetler!$A:$G,6,FALSE),""))</f>
        <v/>
      </c>
      <c r="AK265">
        <f>IF($B265="","",IFERROR(VLOOKUP($B265,Maliyetler!$A:$G,7,FALSE),""))</f>
        <v/>
      </c>
      <c r="AO265" s="21">
        <f>IF($B265="","",IFERROR(VLOOKUP($B265&amp;"",'Plus Tarifeleri'!$C:$Q,11,FALSE),""))</f>
        <v/>
      </c>
      <c r="AP265" s="22">
        <f>IF(AO265="","",IFERROR(IF($AM$1=2,VLOOKUP($B265&amp;"",'Plus Tarifeleri'!$C:$Q,15,FALSE),VLOOKUP($B265&amp;"",'Plus Tarifeleri'!$C:$Q,13,FALSE)),""))</f>
        <v/>
      </c>
      <c r="AQ265" s="21">
        <f>IF(OR(AO265="",AP265="",$D265=""),"",AO265*(1-AP265/100)-$D265-IF(AO265&lt;=199.99,Kargo!$E$2,IF(AO265&lt;=399.99,Kargo!$E$3,$F265)))</f>
        <v/>
      </c>
      <c r="AR265" s="23">
        <f>IF(AQ265="","",AQ265/AO265)</f>
        <v/>
      </c>
      <c r="AS265" s="24">
        <f>IF(OR(AQ265="",AG265=""),"",AQ265-AG265)</f>
        <v/>
      </c>
    </row>
    <row r="266">
      <c r="A266">
        <f>IF('Komisyon Tarifeleri'!A266="","",'Komisyon Tarifeleri'!A266)</f>
        <v/>
      </c>
      <c r="B266">
        <f>IF('Komisyon Tarifeleri'!B266="","",'Komisyon Tarifeleri'!B266&amp;"")</f>
        <v/>
      </c>
      <c r="C266">
        <f>IF($B266="","",'Komisyon Tarifeleri'!F266)</f>
        <v/>
      </c>
      <c r="D266" s="10">
        <f>IF($B266="","",IFERROR(VLOOKUP($B266,Maliyetler!$A:$E,3,FALSE),""))</f>
        <v/>
      </c>
      <c r="E266">
        <f>IF($B266="","",IFERROR(VLOOKUP($B266,Maliyetler!$A:$E,4,FALSE),1))</f>
        <v/>
      </c>
      <c r="F266" s="10">
        <f>IF($B266="","",IFERROR(VLOOKUP(MIN(20,MAX(1,ROUND($E266,0))),Kargo!$A:$B,2,FALSE),99.46))</f>
        <v/>
      </c>
      <c r="G266" s="10">
        <f>IF($B266="","",IF(IF(N('Komisyon Tarifeleri'!AA266)&gt;='Komisyon Tarifeleri'!I266,'Komisyon Tarifeleri'!AA266,'Komisyon Tarifeleri'!I266)="","",IF(N('Komisyon Tarifeleri'!AA266)&gt;='Komisyon Tarifeleri'!I266,'Komisyon Tarifeleri'!AA266,'Komisyon Tarifeleri'!I266)))</f>
        <v/>
      </c>
      <c r="H266" s="11">
        <f>IF(G266="","",IF($AM$1=2,'Komisyon Tarifeleri'!U266,'Komisyon Tarifeleri'!P266))</f>
        <v/>
      </c>
      <c r="I266" s="10">
        <f>IF(OR(G266="",$D266=""),"",G266*(1-H266/100)-$D266-IF(G266&lt;=199.99,Kargo!$E$2,IF(G266&lt;=399.99,Kargo!$E$3,$F266)))</f>
        <v/>
      </c>
      <c r="J266" s="12">
        <f>IF(I266="","",I266/G266)</f>
        <v/>
      </c>
      <c r="K266" s="10">
        <f>IF($B266="","",IF('Komisyon Tarifeleri'!J266="","",'Komisyon Tarifeleri'!J266))</f>
        <v/>
      </c>
      <c r="L266" s="11">
        <f>IF(K266="","",IF($AM$1=2,'Komisyon Tarifeleri'!V266,'Komisyon Tarifeleri'!Q266))</f>
        <v/>
      </c>
      <c r="M266" s="10">
        <f>IF(OR(K266="",$D266=""),"",K266*(1-L266/100)-$D266-IF(K266&lt;=199.99,Kargo!$E$2,IF(K266&lt;=399.99,Kargo!$E$3,$F266)))</f>
        <v/>
      </c>
      <c r="N266" s="12">
        <f>IF(M266="","",M266/K266)</f>
        <v/>
      </c>
      <c r="O266" s="10">
        <f>IF($B266="","",IF('Komisyon Tarifeleri'!L266="","",'Komisyon Tarifeleri'!L266))</f>
        <v/>
      </c>
      <c r="P266" s="11">
        <f>IF(O266="","",IF($AM$1=2,'Komisyon Tarifeleri'!W266,'Komisyon Tarifeleri'!R266))</f>
        <v/>
      </c>
      <c r="Q266" s="10">
        <f>IF(OR(O266="",$D266=""),"",O266*(1-P266/100)-$D266-IF(O266&lt;=199.99,Kargo!$E$2,IF(O266&lt;=399.99,Kargo!$E$3,$F266)))</f>
        <v/>
      </c>
      <c r="R266" s="12">
        <f>IF(Q266="","",Q266/O266)</f>
        <v/>
      </c>
      <c r="S266" s="10">
        <f>IF($B266="","",IF('Komisyon Tarifeleri'!N266="","",'Komisyon Tarifeleri'!N266))</f>
        <v/>
      </c>
      <c r="T266" s="11">
        <f>IF(S266="","",IF($AM$1=2,'Komisyon Tarifeleri'!X266,'Komisyon Tarifeleri'!S266))</f>
        <v/>
      </c>
      <c r="U266" s="10">
        <f>IF(OR(S266="",$D266=""),"",S266*(1-T266/100)-$D266-IF(S266&lt;=199.99,Kargo!$E$2,IF(S266&lt;=399.99,Kargo!$E$3,$F266)))</f>
        <v/>
      </c>
      <c r="V266" s="12">
        <f>IF(U266="","",U266/S266)</f>
        <v/>
      </c>
      <c r="W266" s="12">
        <f>IF($B266="","",IFERROR(VLOOKUP($C266,Hedefler!$A:$C,2,FALSE),0.04))</f>
        <v/>
      </c>
      <c r="X266" s="12">
        <f>IF($B266="","",IFERROR(VLOOKUP($C266,Hedefler!$A:$C,3,FALSE),0.1))</f>
        <v/>
      </c>
      <c r="Y266" s="13">
        <f>IF($B266="","",IFERROR(VLOOKUP($B266,Maliyetler!$A:$E,5,FALSE),""))</f>
        <v/>
      </c>
      <c r="Z266" s="13">
        <f>IF(OR(Y266="",Y266=0),"",Y266-1)</f>
        <v/>
      </c>
      <c r="AA266" s="14">
        <f>IF(Z266="","",IF(Z266&gt;='Komisyon Tarifeleri'!I266,IF($AM$1=2,'Komisyon Tarifeleri'!U266,'Komisyon Tarifeleri'!P266),IF(Z266&gt;='Komisyon Tarifeleri'!K266,IF($AM$1=2,'Komisyon Tarifeleri'!V266,'Komisyon Tarifeleri'!Q266),IF(Z266&gt;='Komisyon Tarifeleri'!M266,IF($AM$1=2,'Komisyon Tarifeleri'!W266,'Komisyon Tarifeleri'!R266),IF($AM$1=2,'Komisyon Tarifeleri'!X266,'Komisyon Tarifeleri'!S266)))))</f>
        <v/>
      </c>
      <c r="AB266" s="13">
        <f>IF(OR(AA266="",$D266=""),"",Z266*(1-AA266/100)-$D266-IF(Z266&lt;=199.99,Kargo!$E$2,IF(Z266&lt;=399.99,Kargo!$E$3,$F266)))</f>
        <v/>
      </c>
      <c r="AC266" s="15">
        <f>IF(AB266="","",AB266/Z266)</f>
        <v/>
      </c>
      <c r="AD266" s="10">
        <f>IF(OR($D266="",$B266=""),"",IF(AND((1-T266/100-W266)&gt;0,CEILING(($D266+$F266)/(1-T266/100-W266),1)&lt;='Komisyon Tarifeleri'!N266),CEILING(($D266+$F266)/(1-T266/100-W266),1),IF(AND((1-P266/100-W266)&gt;0,CEILING(MAX('Komisyon Tarifeleri'!M266,($D266+$F266)/(1-P266/100-W266)),1)&lt;='Komisyon Tarifeleri'!L266),CEILING(MAX('Komisyon Tarifeleri'!M266,($D266+$F266)/(1-P266/100-W266)),1),IF(AND((1-L266/100-W266)&gt;0,CEILING(MAX('Komisyon Tarifeleri'!K266,($D266+$F266)/(1-L266/100-W266)),1)&lt;='Komisyon Tarifeleri'!J266),CEILING(MAX('Komisyon Tarifeleri'!K266,($D266+$F266)/(1-L266/100-W266)),1),IF((1-H266/100-W266)&gt;0,CEILING(MAX('Komisyon Tarifeleri'!I266,($D266+$F266)/(1-H266/100-W266)),1),"İMKÂNSIZ")))))</f>
        <v/>
      </c>
      <c r="AE266" s="10">
        <f>IF(OR($D266="",$B266=""),"",IF(AND((1-T266/100-X266)&gt;0,CEILING(($D266+$F266)/(1-T266/100-X266),1)&lt;='Komisyon Tarifeleri'!N266),CEILING(($D266+$F266)/(1-T266/100-X266),1),IF(AND((1-P266/100-X266)&gt;0,CEILING(MAX('Komisyon Tarifeleri'!M266,($D266+$F266)/(1-P266/100-X266)),1)&lt;='Komisyon Tarifeleri'!L266),CEILING(MAX('Komisyon Tarifeleri'!M266,($D266+$F266)/(1-P266/100-X266)),1),IF(AND((1-L266/100-X266)&gt;0,CEILING(MAX('Komisyon Tarifeleri'!K266,($D266+$F266)/(1-L266/100-X266)),1)&lt;='Komisyon Tarifeleri'!J266),CEILING(MAX('Komisyon Tarifeleri'!K266,($D266+$F266)/(1-L266/100-X266)),1),IF((1-H266/100-X266)&gt;0,CEILING(MAX('Komisyon Tarifeleri'!I266,($D266+$F266)/(1-H266/100-X266)),1),"İMKÂNSIZ")))))</f>
        <v/>
      </c>
      <c r="AF266" s="16">
        <f>IF($D266="","",IF(AND(Y266&lt;&gt;"",AC266&lt;&gt;"",AC266&gt;=W266),Z266,IF(Y266&lt;&gt;"",AD266,AE266)))</f>
        <v/>
      </c>
      <c r="AG266" s="16">
        <f>IF(OR(AF266="",AF266="İMKÂNSIZ"),"",AF266*(1-IF(AF266&gt;='Komisyon Tarifeleri'!I266,IF($AM$1=2,'Komisyon Tarifeleri'!U266,'Komisyon Tarifeleri'!P266),IF(AF266&gt;='Komisyon Tarifeleri'!K266,IF($AM$1=2,'Komisyon Tarifeleri'!V266,'Komisyon Tarifeleri'!Q266),IF(AF266&gt;='Komisyon Tarifeleri'!M266,IF($AM$1=2,'Komisyon Tarifeleri'!W266,'Komisyon Tarifeleri'!R266),IF($AM$1=2,'Komisyon Tarifeleri'!X266,'Komisyon Tarifeleri'!S266))))/100)-$D266-IF(AF266&lt;=199.99,Kargo!$E$2,IF(AF266&lt;=399.99,Kargo!$E$3,$F266)))</f>
        <v/>
      </c>
      <c r="AH266" s="17">
        <f>IF(AG266="","",AG266/AF266)</f>
        <v/>
      </c>
      <c r="AI266" s="18">
        <f>IF($D266="","",IF(Y266="","BUYBOX YOK → hedef kârla min fiyat",IF(AC266&gt;=W266,"✓ BUYBOX ALTINA GİR","BUYBOX ALTI KÂRSIZ → min kârlı fiyat")))</f>
        <v/>
      </c>
      <c r="AJ266" s="10">
        <f>IF($B266="","",IFERROR(VLOOKUP($B266,Maliyetler!$A:$G,6,FALSE),""))</f>
        <v/>
      </c>
      <c r="AK266">
        <f>IF($B266="","",IFERROR(VLOOKUP($B266,Maliyetler!$A:$G,7,FALSE),""))</f>
        <v/>
      </c>
      <c r="AO266" s="21">
        <f>IF($B266="","",IFERROR(VLOOKUP($B266&amp;"",'Plus Tarifeleri'!$C:$Q,11,FALSE),""))</f>
        <v/>
      </c>
      <c r="AP266" s="22">
        <f>IF(AO266="","",IFERROR(IF($AM$1=2,VLOOKUP($B266&amp;"",'Plus Tarifeleri'!$C:$Q,15,FALSE),VLOOKUP($B266&amp;"",'Plus Tarifeleri'!$C:$Q,13,FALSE)),""))</f>
        <v/>
      </c>
      <c r="AQ266" s="21">
        <f>IF(OR(AO266="",AP266="",$D266=""),"",AO266*(1-AP266/100)-$D266-IF(AO266&lt;=199.99,Kargo!$E$2,IF(AO266&lt;=399.99,Kargo!$E$3,$F266)))</f>
        <v/>
      </c>
      <c r="AR266" s="23">
        <f>IF(AQ266="","",AQ266/AO266)</f>
        <v/>
      </c>
      <c r="AS266" s="24">
        <f>IF(OR(AQ266="",AG266=""),"",AQ266-AG266)</f>
        <v/>
      </c>
    </row>
    <row r="267">
      <c r="A267">
        <f>IF('Komisyon Tarifeleri'!A267="","",'Komisyon Tarifeleri'!A267)</f>
        <v/>
      </c>
      <c r="B267">
        <f>IF('Komisyon Tarifeleri'!B267="","",'Komisyon Tarifeleri'!B267&amp;"")</f>
        <v/>
      </c>
      <c r="C267">
        <f>IF($B267="","",'Komisyon Tarifeleri'!F267)</f>
        <v/>
      </c>
      <c r="D267" s="10">
        <f>IF($B267="","",IFERROR(VLOOKUP($B267,Maliyetler!$A:$E,3,FALSE),""))</f>
        <v/>
      </c>
      <c r="E267">
        <f>IF($B267="","",IFERROR(VLOOKUP($B267,Maliyetler!$A:$E,4,FALSE),1))</f>
        <v/>
      </c>
      <c r="F267" s="10">
        <f>IF($B267="","",IFERROR(VLOOKUP(MIN(20,MAX(1,ROUND($E267,0))),Kargo!$A:$B,2,FALSE),99.46))</f>
        <v/>
      </c>
      <c r="G267" s="10">
        <f>IF($B267="","",IF(IF(N('Komisyon Tarifeleri'!AA267)&gt;='Komisyon Tarifeleri'!I267,'Komisyon Tarifeleri'!AA267,'Komisyon Tarifeleri'!I267)="","",IF(N('Komisyon Tarifeleri'!AA267)&gt;='Komisyon Tarifeleri'!I267,'Komisyon Tarifeleri'!AA267,'Komisyon Tarifeleri'!I267)))</f>
        <v/>
      </c>
      <c r="H267" s="11">
        <f>IF(G267="","",IF($AM$1=2,'Komisyon Tarifeleri'!U267,'Komisyon Tarifeleri'!P267))</f>
        <v/>
      </c>
      <c r="I267" s="10">
        <f>IF(OR(G267="",$D267=""),"",G267*(1-H267/100)-$D267-IF(G267&lt;=199.99,Kargo!$E$2,IF(G267&lt;=399.99,Kargo!$E$3,$F267)))</f>
        <v/>
      </c>
      <c r="J267" s="12">
        <f>IF(I267="","",I267/G267)</f>
        <v/>
      </c>
      <c r="K267" s="10">
        <f>IF($B267="","",IF('Komisyon Tarifeleri'!J267="","",'Komisyon Tarifeleri'!J267))</f>
        <v/>
      </c>
      <c r="L267" s="11">
        <f>IF(K267="","",IF($AM$1=2,'Komisyon Tarifeleri'!V267,'Komisyon Tarifeleri'!Q267))</f>
        <v/>
      </c>
      <c r="M267" s="10">
        <f>IF(OR(K267="",$D267=""),"",K267*(1-L267/100)-$D267-IF(K267&lt;=199.99,Kargo!$E$2,IF(K267&lt;=399.99,Kargo!$E$3,$F267)))</f>
        <v/>
      </c>
      <c r="N267" s="12">
        <f>IF(M267="","",M267/K267)</f>
        <v/>
      </c>
      <c r="O267" s="10">
        <f>IF($B267="","",IF('Komisyon Tarifeleri'!L267="","",'Komisyon Tarifeleri'!L267))</f>
        <v/>
      </c>
      <c r="P267" s="11">
        <f>IF(O267="","",IF($AM$1=2,'Komisyon Tarifeleri'!W267,'Komisyon Tarifeleri'!R267))</f>
        <v/>
      </c>
      <c r="Q267" s="10">
        <f>IF(OR(O267="",$D267=""),"",O267*(1-P267/100)-$D267-IF(O267&lt;=199.99,Kargo!$E$2,IF(O267&lt;=399.99,Kargo!$E$3,$F267)))</f>
        <v/>
      </c>
      <c r="R267" s="12">
        <f>IF(Q267="","",Q267/O267)</f>
        <v/>
      </c>
      <c r="S267" s="10">
        <f>IF($B267="","",IF('Komisyon Tarifeleri'!N267="","",'Komisyon Tarifeleri'!N267))</f>
        <v/>
      </c>
      <c r="T267" s="11">
        <f>IF(S267="","",IF($AM$1=2,'Komisyon Tarifeleri'!X267,'Komisyon Tarifeleri'!S267))</f>
        <v/>
      </c>
      <c r="U267" s="10">
        <f>IF(OR(S267="",$D267=""),"",S267*(1-T267/100)-$D267-IF(S267&lt;=199.99,Kargo!$E$2,IF(S267&lt;=399.99,Kargo!$E$3,$F267)))</f>
        <v/>
      </c>
      <c r="V267" s="12">
        <f>IF(U267="","",U267/S267)</f>
        <v/>
      </c>
      <c r="W267" s="12">
        <f>IF($B267="","",IFERROR(VLOOKUP($C267,Hedefler!$A:$C,2,FALSE),0.04))</f>
        <v/>
      </c>
      <c r="X267" s="12">
        <f>IF($B267="","",IFERROR(VLOOKUP($C267,Hedefler!$A:$C,3,FALSE),0.1))</f>
        <v/>
      </c>
      <c r="Y267" s="13">
        <f>IF($B267="","",IFERROR(VLOOKUP($B267,Maliyetler!$A:$E,5,FALSE),""))</f>
        <v/>
      </c>
      <c r="Z267" s="13">
        <f>IF(OR(Y267="",Y267=0),"",Y267-1)</f>
        <v/>
      </c>
      <c r="AA267" s="14">
        <f>IF(Z267="","",IF(Z267&gt;='Komisyon Tarifeleri'!I267,IF($AM$1=2,'Komisyon Tarifeleri'!U267,'Komisyon Tarifeleri'!P267),IF(Z267&gt;='Komisyon Tarifeleri'!K267,IF($AM$1=2,'Komisyon Tarifeleri'!V267,'Komisyon Tarifeleri'!Q267),IF(Z267&gt;='Komisyon Tarifeleri'!M267,IF($AM$1=2,'Komisyon Tarifeleri'!W267,'Komisyon Tarifeleri'!R267),IF($AM$1=2,'Komisyon Tarifeleri'!X267,'Komisyon Tarifeleri'!S267)))))</f>
        <v/>
      </c>
      <c r="AB267" s="13">
        <f>IF(OR(AA267="",$D267=""),"",Z267*(1-AA267/100)-$D267-IF(Z267&lt;=199.99,Kargo!$E$2,IF(Z267&lt;=399.99,Kargo!$E$3,$F267)))</f>
        <v/>
      </c>
      <c r="AC267" s="15">
        <f>IF(AB267="","",AB267/Z267)</f>
        <v/>
      </c>
      <c r="AD267" s="10">
        <f>IF(OR($D267="",$B267=""),"",IF(AND((1-T267/100-W267)&gt;0,CEILING(($D267+$F267)/(1-T267/100-W267),1)&lt;='Komisyon Tarifeleri'!N267),CEILING(($D267+$F267)/(1-T267/100-W267),1),IF(AND((1-P267/100-W267)&gt;0,CEILING(MAX('Komisyon Tarifeleri'!M267,($D267+$F267)/(1-P267/100-W267)),1)&lt;='Komisyon Tarifeleri'!L267),CEILING(MAX('Komisyon Tarifeleri'!M267,($D267+$F267)/(1-P267/100-W267)),1),IF(AND((1-L267/100-W267)&gt;0,CEILING(MAX('Komisyon Tarifeleri'!K267,($D267+$F267)/(1-L267/100-W267)),1)&lt;='Komisyon Tarifeleri'!J267),CEILING(MAX('Komisyon Tarifeleri'!K267,($D267+$F267)/(1-L267/100-W267)),1),IF((1-H267/100-W267)&gt;0,CEILING(MAX('Komisyon Tarifeleri'!I267,($D267+$F267)/(1-H267/100-W267)),1),"İMKÂNSIZ")))))</f>
        <v/>
      </c>
      <c r="AE267" s="10">
        <f>IF(OR($D267="",$B267=""),"",IF(AND((1-T267/100-X267)&gt;0,CEILING(($D267+$F267)/(1-T267/100-X267),1)&lt;='Komisyon Tarifeleri'!N267),CEILING(($D267+$F267)/(1-T267/100-X267),1),IF(AND((1-P267/100-X267)&gt;0,CEILING(MAX('Komisyon Tarifeleri'!M267,($D267+$F267)/(1-P267/100-X267)),1)&lt;='Komisyon Tarifeleri'!L267),CEILING(MAX('Komisyon Tarifeleri'!M267,($D267+$F267)/(1-P267/100-X267)),1),IF(AND((1-L267/100-X267)&gt;0,CEILING(MAX('Komisyon Tarifeleri'!K267,($D267+$F267)/(1-L267/100-X267)),1)&lt;='Komisyon Tarifeleri'!J267),CEILING(MAX('Komisyon Tarifeleri'!K267,($D267+$F267)/(1-L267/100-X267)),1),IF((1-H267/100-X267)&gt;0,CEILING(MAX('Komisyon Tarifeleri'!I267,($D267+$F267)/(1-H267/100-X267)),1),"İMKÂNSIZ")))))</f>
        <v/>
      </c>
      <c r="AF267" s="16">
        <f>IF($D267="","",IF(AND(Y267&lt;&gt;"",AC267&lt;&gt;"",AC267&gt;=W267),Z267,IF(Y267&lt;&gt;"",AD267,AE267)))</f>
        <v/>
      </c>
      <c r="AG267" s="16">
        <f>IF(OR(AF267="",AF267="İMKÂNSIZ"),"",AF267*(1-IF(AF267&gt;='Komisyon Tarifeleri'!I267,IF($AM$1=2,'Komisyon Tarifeleri'!U267,'Komisyon Tarifeleri'!P267),IF(AF267&gt;='Komisyon Tarifeleri'!K267,IF($AM$1=2,'Komisyon Tarifeleri'!V267,'Komisyon Tarifeleri'!Q267),IF(AF267&gt;='Komisyon Tarifeleri'!M267,IF($AM$1=2,'Komisyon Tarifeleri'!W267,'Komisyon Tarifeleri'!R267),IF($AM$1=2,'Komisyon Tarifeleri'!X267,'Komisyon Tarifeleri'!S267))))/100)-$D267-IF(AF267&lt;=199.99,Kargo!$E$2,IF(AF267&lt;=399.99,Kargo!$E$3,$F267)))</f>
        <v/>
      </c>
      <c r="AH267" s="17">
        <f>IF(AG267="","",AG267/AF267)</f>
        <v/>
      </c>
      <c r="AI267" s="18">
        <f>IF($D267="","",IF(Y267="","BUYBOX YOK → hedef kârla min fiyat",IF(AC267&gt;=W267,"✓ BUYBOX ALTINA GİR","BUYBOX ALTI KÂRSIZ → min kârlı fiyat")))</f>
        <v/>
      </c>
      <c r="AJ267" s="10">
        <f>IF($B267="","",IFERROR(VLOOKUP($B267,Maliyetler!$A:$G,6,FALSE),""))</f>
        <v/>
      </c>
      <c r="AK267">
        <f>IF($B267="","",IFERROR(VLOOKUP($B267,Maliyetler!$A:$G,7,FALSE),""))</f>
        <v/>
      </c>
      <c r="AO267" s="21">
        <f>IF($B267="","",IFERROR(VLOOKUP($B267&amp;"",'Plus Tarifeleri'!$C:$Q,11,FALSE),""))</f>
        <v/>
      </c>
      <c r="AP267" s="22">
        <f>IF(AO267="","",IFERROR(IF($AM$1=2,VLOOKUP($B267&amp;"",'Plus Tarifeleri'!$C:$Q,15,FALSE),VLOOKUP($B267&amp;"",'Plus Tarifeleri'!$C:$Q,13,FALSE)),""))</f>
        <v/>
      </c>
      <c r="AQ267" s="21">
        <f>IF(OR(AO267="",AP267="",$D267=""),"",AO267*(1-AP267/100)-$D267-IF(AO267&lt;=199.99,Kargo!$E$2,IF(AO267&lt;=399.99,Kargo!$E$3,$F267)))</f>
        <v/>
      </c>
      <c r="AR267" s="23">
        <f>IF(AQ267="","",AQ267/AO267)</f>
        <v/>
      </c>
      <c r="AS267" s="24">
        <f>IF(OR(AQ267="",AG267=""),"",AQ267-AG267)</f>
        <v/>
      </c>
    </row>
    <row r="268">
      <c r="A268">
        <f>IF('Komisyon Tarifeleri'!A268="","",'Komisyon Tarifeleri'!A268)</f>
        <v/>
      </c>
      <c r="B268">
        <f>IF('Komisyon Tarifeleri'!B268="","",'Komisyon Tarifeleri'!B268&amp;"")</f>
        <v/>
      </c>
      <c r="C268">
        <f>IF($B268="","",'Komisyon Tarifeleri'!F268)</f>
        <v/>
      </c>
      <c r="D268" s="10">
        <f>IF($B268="","",IFERROR(VLOOKUP($B268,Maliyetler!$A:$E,3,FALSE),""))</f>
        <v/>
      </c>
      <c r="E268">
        <f>IF($B268="","",IFERROR(VLOOKUP($B268,Maliyetler!$A:$E,4,FALSE),1))</f>
        <v/>
      </c>
      <c r="F268" s="10">
        <f>IF($B268="","",IFERROR(VLOOKUP(MIN(20,MAX(1,ROUND($E268,0))),Kargo!$A:$B,2,FALSE),99.46))</f>
        <v/>
      </c>
      <c r="G268" s="10">
        <f>IF($B268="","",IF(IF(N('Komisyon Tarifeleri'!AA268)&gt;='Komisyon Tarifeleri'!I268,'Komisyon Tarifeleri'!AA268,'Komisyon Tarifeleri'!I268)="","",IF(N('Komisyon Tarifeleri'!AA268)&gt;='Komisyon Tarifeleri'!I268,'Komisyon Tarifeleri'!AA268,'Komisyon Tarifeleri'!I268)))</f>
        <v/>
      </c>
      <c r="H268" s="11">
        <f>IF(G268="","",IF($AM$1=2,'Komisyon Tarifeleri'!U268,'Komisyon Tarifeleri'!P268))</f>
        <v/>
      </c>
      <c r="I268" s="10">
        <f>IF(OR(G268="",$D268=""),"",G268*(1-H268/100)-$D268-IF(G268&lt;=199.99,Kargo!$E$2,IF(G268&lt;=399.99,Kargo!$E$3,$F268)))</f>
        <v/>
      </c>
      <c r="J268" s="12">
        <f>IF(I268="","",I268/G268)</f>
        <v/>
      </c>
      <c r="K268" s="10">
        <f>IF($B268="","",IF('Komisyon Tarifeleri'!J268="","",'Komisyon Tarifeleri'!J268))</f>
        <v/>
      </c>
      <c r="L268" s="11">
        <f>IF(K268="","",IF($AM$1=2,'Komisyon Tarifeleri'!V268,'Komisyon Tarifeleri'!Q268))</f>
        <v/>
      </c>
      <c r="M268" s="10">
        <f>IF(OR(K268="",$D268=""),"",K268*(1-L268/100)-$D268-IF(K268&lt;=199.99,Kargo!$E$2,IF(K268&lt;=399.99,Kargo!$E$3,$F268)))</f>
        <v/>
      </c>
      <c r="N268" s="12">
        <f>IF(M268="","",M268/K268)</f>
        <v/>
      </c>
      <c r="O268" s="10">
        <f>IF($B268="","",IF('Komisyon Tarifeleri'!L268="","",'Komisyon Tarifeleri'!L268))</f>
        <v/>
      </c>
      <c r="P268" s="11">
        <f>IF(O268="","",IF($AM$1=2,'Komisyon Tarifeleri'!W268,'Komisyon Tarifeleri'!R268))</f>
        <v/>
      </c>
      <c r="Q268" s="10">
        <f>IF(OR(O268="",$D268=""),"",O268*(1-P268/100)-$D268-IF(O268&lt;=199.99,Kargo!$E$2,IF(O268&lt;=399.99,Kargo!$E$3,$F268)))</f>
        <v/>
      </c>
      <c r="R268" s="12">
        <f>IF(Q268="","",Q268/O268)</f>
        <v/>
      </c>
      <c r="S268" s="10">
        <f>IF($B268="","",IF('Komisyon Tarifeleri'!N268="","",'Komisyon Tarifeleri'!N268))</f>
        <v/>
      </c>
      <c r="T268" s="11">
        <f>IF(S268="","",IF($AM$1=2,'Komisyon Tarifeleri'!X268,'Komisyon Tarifeleri'!S268))</f>
        <v/>
      </c>
      <c r="U268" s="10">
        <f>IF(OR(S268="",$D268=""),"",S268*(1-T268/100)-$D268-IF(S268&lt;=199.99,Kargo!$E$2,IF(S268&lt;=399.99,Kargo!$E$3,$F268)))</f>
        <v/>
      </c>
      <c r="V268" s="12">
        <f>IF(U268="","",U268/S268)</f>
        <v/>
      </c>
      <c r="W268" s="12">
        <f>IF($B268="","",IFERROR(VLOOKUP($C268,Hedefler!$A:$C,2,FALSE),0.04))</f>
        <v/>
      </c>
      <c r="X268" s="12">
        <f>IF($B268="","",IFERROR(VLOOKUP($C268,Hedefler!$A:$C,3,FALSE),0.1))</f>
        <v/>
      </c>
      <c r="Y268" s="13">
        <f>IF($B268="","",IFERROR(VLOOKUP($B268,Maliyetler!$A:$E,5,FALSE),""))</f>
        <v/>
      </c>
      <c r="Z268" s="13">
        <f>IF(OR(Y268="",Y268=0),"",Y268-1)</f>
        <v/>
      </c>
      <c r="AA268" s="14">
        <f>IF(Z268="","",IF(Z268&gt;='Komisyon Tarifeleri'!I268,IF($AM$1=2,'Komisyon Tarifeleri'!U268,'Komisyon Tarifeleri'!P268),IF(Z268&gt;='Komisyon Tarifeleri'!K268,IF($AM$1=2,'Komisyon Tarifeleri'!V268,'Komisyon Tarifeleri'!Q268),IF(Z268&gt;='Komisyon Tarifeleri'!M268,IF($AM$1=2,'Komisyon Tarifeleri'!W268,'Komisyon Tarifeleri'!R268),IF($AM$1=2,'Komisyon Tarifeleri'!X268,'Komisyon Tarifeleri'!S268)))))</f>
        <v/>
      </c>
      <c r="AB268" s="13">
        <f>IF(OR(AA268="",$D268=""),"",Z268*(1-AA268/100)-$D268-IF(Z268&lt;=199.99,Kargo!$E$2,IF(Z268&lt;=399.99,Kargo!$E$3,$F268)))</f>
        <v/>
      </c>
      <c r="AC268" s="15">
        <f>IF(AB268="","",AB268/Z268)</f>
        <v/>
      </c>
      <c r="AD268" s="10">
        <f>IF(OR($D268="",$B268=""),"",IF(AND((1-T268/100-W268)&gt;0,CEILING(($D268+$F268)/(1-T268/100-W268),1)&lt;='Komisyon Tarifeleri'!N268),CEILING(($D268+$F268)/(1-T268/100-W268),1),IF(AND((1-P268/100-W268)&gt;0,CEILING(MAX('Komisyon Tarifeleri'!M268,($D268+$F268)/(1-P268/100-W268)),1)&lt;='Komisyon Tarifeleri'!L268),CEILING(MAX('Komisyon Tarifeleri'!M268,($D268+$F268)/(1-P268/100-W268)),1),IF(AND((1-L268/100-W268)&gt;0,CEILING(MAX('Komisyon Tarifeleri'!K268,($D268+$F268)/(1-L268/100-W268)),1)&lt;='Komisyon Tarifeleri'!J268),CEILING(MAX('Komisyon Tarifeleri'!K268,($D268+$F268)/(1-L268/100-W268)),1),IF((1-H268/100-W268)&gt;0,CEILING(MAX('Komisyon Tarifeleri'!I268,($D268+$F268)/(1-H268/100-W268)),1),"İMKÂNSIZ")))))</f>
        <v/>
      </c>
      <c r="AE268" s="10">
        <f>IF(OR($D268="",$B268=""),"",IF(AND((1-T268/100-X268)&gt;0,CEILING(($D268+$F268)/(1-T268/100-X268),1)&lt;='Komisyon Tarifeleri'!N268),CEILING(($D268+$F268)/(1-T268/100-X268),1),IF(AND((1-P268/100-X268)&gt;0,CEILING(MAX('Komisyon Tarifeleri'!M268,($D268+$F268)/(1-P268/100-X268)),1)&lt;='Komisyon Tarifeleri'!L268),CEILING(MAX('Komisyon Tarifeleri'!M268,($D268+$F268)/(1-P268/100-X268)),1),IF(AND((1-L268/100-X268)&gt;0,CEILING(MAX('Komisyon Tarifeleri'!K268,($D268+$F268)/(1-L268/100-X268)),1)&lt;='Komisyon Tarifeleri'!J268),CEILING(MAX('Komisyon Tarifeleri'!K268,($D268+$F268)/(1-L268/100-X268)),1),IF((1-H268/100-X268)&gt;0,CEILING(MAX('Komisyon Tarifeleri'!I268,($D268+$F268)/(1-H268/100-X268)),1),"İMKÂNSIZ")))))</f>
        <v/>
      </c>
      <c r="AF268" s="16">
        <f>IF($D268="","",IF(AND(Y268&lt;&gt;"",AC268&lt;&gt;"",AC268&gt;=W268),Z268,IF(Y268&lt;&gt;"",AD268,AE268)))</f>
        <v/>
      </c>
      <c r="AG268" s="16">
        <f>IF(OR(AF268="",AF268="İMKÂNSIZ"),"",AF268*(1-IF(AF268&gt;='Komisyon Tarifeleri'!I268,IF($AM$1=2,'Komisyon Tarifeleri'!U268,'Komisyon Tarifeleri'!P268),IF(AF268&gt;='Komisyon Tarifeleri'!K268,IF($AM$1=2,'Komisyon Tarifeleri'!V268,'Komisyon Tarifeleri'!Q268),IF(AF268&gt;='Komisyon Tarifeleri'!M268,IF($AM$1=2,'Komisyon Tarifeleri'!W268,'Komisyon Tarifeleri'!R268),IF($AM$1=2,'Komisyon Tarifeleri'!X268,'Komisyon Tarifeleri'!S268))))/100)-$D268-IF(AF268&lt;=199.99,Kargo!$E$2,IF(AF268&lt;=399.99,Kargo!$E$3,$F268)))</f>
        <v/>
      </c>
      <c r="AH268" s="17">
        <f>IF(AG268="","",AG268/AF268)</f>
        <v/>
      </c>
      <c r="AI268" s="18">
        <f>IF($D268="","",IF(Y268="","BUYBOX YOK → hedef kârla min fiyat",IF(AC268&gt;=W268,"✓ BUYBOX ALTINA GİR","BUYBOX ALTI KÂRSIZ → min kârlı fiyat")))</f>
        <v/>
      </c>
      <c r="AJ268" s="10">
        <f>IF($B268="","",IFERROR(VLOOKUP($B268,Maliyetler!$A:$G,6,FALSE),""))</f>
        <v/>
      </c>
      <c r="AK268">
        <f>IF($B268="","",IFERROR(VLOOKUP($B268,Maliyetler!$A:$G,7,FALSE),""))</f>
        <v/>
      </c>
      <c r="AO268" s="21">
        <f>IF($B268="","",IFERROR(VLOOKUP($B268&amp;"",'Plus Tarifeleri'!$C:$Q,11,FALSE),""))</f>
        <v/>
      </c>
      <c r="AP268" s="22">
        <f>IF(AO268="","",IFERROR(IF($AM$1=2,VLOOKUP($B268&amp;"",'Plus Tarifeleri'!$C:$Q,15,FALSE),VLOOKUP($B268&amp;"",'Plus Tarifeleri'!$C:$Q,13,FALSE)),""))</f>
        <v/>
      </c>
      <c r="AQ268" s="21">
        <f>IF(OR(AO268="",AP268="",$D268=""),"",AO268*(1-AP268/100)-$D268-IF(AO268&lt;=199.99,Kargo!$E$2,IF(AO268&lt;=399.99,Kargo!$E$3,$F268)))</f>
        <v/>
      </c>
      <c r="AR268" s="23">
        <f>IF(AQ268="","",AQ268/AO268)</f>
        <v/>
      </c>
      <c r="AS268" s="24">
        <f>IF(OR(AQ268="",AG268=""),"",AQ268-AG268)</f>
        <v/>
      </c>
    </row>
    <row r="269">
      <c r="A269">
        <f>IF('Komisyon Tarifeleri'!A269="","",'Komisyon Tarifeleri'!A269)</f>
        <v/>
      </c>
      <c r="B269">
        <f>IF('Komisyon Tarifeleri'!B269="","",'Komisyon Tarifeleri'!B269&amp;"")</f>
        <v/>
      </c>
      <c r="C269">
        <f>IF($B269="","",'Komisyon Tarifeleri'!F269)</f>
        <v/>
      </c>
      <c r="D269" s="10">
        <f>IF($B269="","",IFERROR(VLOOKUP($B269,Maliyetler!$A:$E,3,FALSE),""))</f>
        <v/>
      </c>
      <c r="E269">
        <f>IF($B269="","",IFERROR(VLOOKUP($B269,Maliyetler!$A:$E,4,FALSE),1))</f>
        <v/>
      </c>
      <c r="F269" s="10">
        <f>IF($B269="","",IFERROR(VLOOKUP(MIN(20,MAX(1,ROUND($E269,0))),Kargo!$A:$B,2,FALSE),99.46))</f>
        <v/>
      </c>
      <c r="G269" s="10">
        <f>IF($B269="","",IF(IF(N('Komisyon Tarifeleri'!AA269)&gt;='Komisyon Tarifeleri'!I269,'Komisyon Tarifeleri'!AA269,'Komisyon Tarifeleri'!I269)="","",IF(N('Komisyon Tarifeleri'!AA269)&gt;='Komisyon Tarifeleri'!I269,'Komisyon Tarifeleri'!AA269,'Komisyon Tarifeleri'!I269)))</f>
        <v/>
      </c>
      <c r="H269" s="11">
        <f>IF(G269="","",IF($AM$1=2,'Komisyon Tarifeleri'!U269,'Komisyon Tarifeleri'!P269))</f>
        <v/>
      </c>
      <c r="I269" s="10">
        <f>IF(OR(G269="",$D269=""),"",G269*(1-H269/100)-$D269-IF(G269&lt;=199.99,Kargo!$E$2,IF(G269&lt;=399.99,Kargo!$E$3,$F269)))</f>
        <v/>
      </c>
      <c r="J269" s="12">
        <f>IF(I269="","",I269/G269)</f>
        <v/>
      </c>
      <c r="K269" s="10">
        <f>IF($B269="","",IF('Komisyon Tarifeleri'!J269="","",'Komisyon Tarifeleri'!J269))</f>
        <v/>
      </c>
      <c r="L269" s="11">
        <f>IF(K269="","",IF($AM$1=2,'Komisyon Tarifeleri'!V269,'Komisyon Tarifeleri'!Q269))</f>
        <v/>
      </c>
      <c r="M269" s="10">
        <f>IF(OR(K269="",$D269=""),"",K269*(1-L269/100)-$D269-IF(K269&lt;=199.99,Kargo!$E$2,IF(K269&lt;=399.99,Kargo!$E$3,$F269)))</f>
        <v/>
      </c>
      <c r="N269" s="12">
        <f>IF(M269="","",M269/K269)</f>
        <v/>
      </c>
      <c r="O269" s="10">
        <f>IF($B269="","",IF('Komisyon Tarifeleri'!L269="","",'Komisyon Tarifeleri'!L269))</f>
        <v/>
      </c>
      <c r="P269" s="11">
        <f>IF(O269="","",IF($AM$1=2,'Komisyon Tarifeleri'!W269,'Komisyon Tarifeleri'!R269))</f>
        <v/>
      </c>
      <c r="Q269" s="10">
        <f>IF(OR(O269="",$D269=""),"",O269*(1-P269/100)-$D269-IF(O269&lt;=199.99,Kargo!$E$2,IF(O269&lt;=399.99,Kargo!$E$3,$F269)))</f>
        <v/>
      </c>
      <c r="R269" s="12">
        <f>IF(Q269="","",Q269/O269)</f>
        <v/>
      </c>
      <c r="S269" s="10">
        <f>IF($B269="","",IF('Komisyon Tarifeleri'!N269="","",'Komisyon Tarifeleri'!N269))</f>
        <v/>
      </c>
      <c r="T269" s="11">
        <f>IF(S269="","",IF($AM$1=2,'Komisyon Tarifeleri'!X269,'Komisyon Tarifeleri'!S269))</f>
        <v/>
      </c>
      <c r="U269" s="10">
        <f>IF(OR(S269="",$D269=""),"",S269*(1-T269/100)-$D269-IF(S269&lt;=199.99,Kargo!$E$2,IF(S269&lt;=399.99,Kargo!$E$3,$F269)))</f>
        <v/>
      </c>
      <c r="V269" s="12">
        <f>IF(U269="","",U269/S269)</f>
        <v/>
      </c>
      <c r="W269" s="12">
        <f>IF($B269="","",IFERROR(VLOOKUP($C269,Hedefler!$A:$C,2,FALSE),0.04))</f>
        <v/>
      </c>
      <c r="X269" s="12">
        <f>IF($B269="","",IFERROR(VLOOKUP($C269,Hedefler!$A:$C,3,FALSE),0.1))</f>
        <v/>
      </c>
      <c r="Y269" s="13">
        <f>IF($B269="","",IFERROR(VLOOKUP($B269,Maliyetler!$A:$E,5,FALSE),""))</f>
        <v/>
      </c>
      <c r="Z269" s="13">
        <f>IF(OR(Y269="",Y269=0),"",Y269-1)</f>
        <v/>
      </c>
      <c r="AA269" s="14">
        <f>IF(Z269="","",IF(Z269&gt;='Komisyon Tarifeleri'!I269,IF($AM$1=2,'Komisyon Tarifeleri'!U269,'Komisyon Tarifeleri'!P269),IF(Z269&gt;='Komisyon Tarifeleri'!K269,IF($AM$1=2,'Komisyon Tarifeleri'!V269,'Komisyon Tarifeleri'!Q269),IF(Z269&gt;='Komisyon Tarifeleri'!M269,IF($AM$1=2,'Komisyon Tarifeleri'!W269,'Komisyon Tarifeleri'!R269),IF($AM$1=2,'Komisyon Tarifeleri'!X269,'Komisyon Tarifeleri'!S269)))))</f>
        <v/>
      </c>
      <c r="AB269" s="13">
        <f>IF(OR(AA269="",$D269=""),"",Z269*(1-AA269/100)-$D269-IF(Z269&lt;=199.99,Kargo!$E$2,IF(Z269&lt;=399.99,Kargo!$E$3,$F269)))</f>
        <v/>
      </c>
      <c r="AC269" s="15">
        <f>IF(AB269="","",AB269/Z269)</f>
        <v/>
      </c>
      <c r="AD269" s="10">
        <f>IF(OR($D269="",$B269=""),"",IF(AND((1-T269/100-W269)&gt;0,CEILING(($D269+$F269)/(1-T269/100-W269),1)&lt;='Komisyon Tarifeleri'!N269),CEILING(($D269+$F269)/(1-T269/100-W269),1),IF(AND((1-P269/100-W269)&gt;0,CEILING(MAX('Komisyon Tarifeleri'!M269,($D269+$F269)/(1-P269/100-W269)),1)&lt;='Komisyon Tarifeleri'!L269),CEILING(MAX('Komisyon Tarifeleri'!M269,($D269+$F269)/(1-P269/100-W269)),1),IF(AND((1-L269/100-W269)&gt;0,CEILING(MAX('Komisyon Tarifeleri'!K269,($D269+$F269)/(1-L269/100-W269)),1)&lt;='Komisyon Tarifeleri'!J269),CEILING(MAX('Komisyon Tarifeleri'!K269,($D269+$F269)/(1-L269/100-W269)),1),IF((1-H269/100-W269)&gt;0,CEILING(MAX('Komisyon Tarifeleri'!I269,($D269+$F269)/(1-H269/100-W269)),1),"İMKÂNSIZ")))))</f>
        <v/>
      </c>
      <c r="AE269" s="10">
        <f>IF(OR($D269="",$B269=""),"",IF(AND((1-T269/100-X269)&gt;0,CEILING(($D269+$F269)/(1-T269/100-X269),1)&lt;='Komisyon Tarifeleri'!N269),CEILING(($D269+$F269)/(1-T269/100-X269),1),IF(AND((1-P269/100-X269)&gt;0,CEILING(MAX('Komisyon Tarifeleri'!M269,($D269+$F269)/(1-P269/100-X269)),1)&lt;='Komisyon Tarifeleri'!L269),CEILING(MAX('Komisyon Tarifeleri'!M269,($D269+$F269)/(1-P269/100-X269)),1),IF(AND((1-L269/100-X269)&gt;0,CEILING(MAX('Komisyon Tarifeleri'!K269,($D269+$F269)/(1-L269/100-X269)),1)&lt;='Komisyon Tarifeleri'!J269),CEILING(MAX('Komisyon Tarifeleri'!K269,($D269+$F269)/(1-L269/100-X269)),1),IF((1-H269/100-X269)&gt;0,CEILING(MAX('Komisyon Tarifeleri'!I269,($D269+$F269)/(1-H269/100-X269)),1),"İMKÂNSIZ")))))</f>
        <v/>
      </c>
      <c r="AF269" s="16">
        <f>IF($D269="","",IF(AND(Y269&lt;&gt;"",AC269&lt;&gt;"",AC269&gt;=W269),Z269,IF(Y269&lt;&gt;"",AD269,AE269)))</f>
        <v/>
      </c>
      <c r="AG269" s="16">
        <f>IF(OR(AF269="",AF269="İMKÂNSIZ"),"",AF269*(1-IF(AF269&gt;='Komisyon Tarifeleri'!I269,IF($AM$1=2,'Komisyon Tarifeleri'!U269,'Komisyon Tarifeleri'!P269),IF(AF269&gt;='Komisyon Tarifeleri'!K269,IF($AM$1=2,'Komisyon Tarifeleri'!V269,'Komisyon Tarifeleri'!Q269),IF(AF269&gt;='Komisyon Tarifeleri'!M269,IF($AM$1=2,'Komisyon Tarifeleri'!W269,'Komisyon Tarifeleri'!R269),IF($AM$1=2,'Komisyon Tarifeleri'!X269,'Komisyon Tarifeleri'!S269))))/100)-$D269-IF(AF269&lt;=199.99,Kargo!$E$2,IF(AF269&lt;=399.99,Kargo!$E$3,$F269)))</f>
        <v/>
      </c>
      <c r="AH269" s="17">
        <f>IF(AG269="","",AG269/AF269)</f>
        <v/>
      </c>
      <c r="AI269" s="18">
        <f>IF($D269="","",IF(Y269="","BUYBOX YOK → hedef kârla min fiyat",IF(AC269&gt;=W269,"✓ BUYBOX ALTINA GİR","BUYBOX ALTI KÂRSIZ → min kârlı fiyat")))</f>
        <v/>
      </c>
      <c r="AJ269" s="10">
        <f>IF($B269="","",IFERROR(VLOOKUP($B269,Maliyetler!$A:$G,6,FALSE),""))</f>
        <v/>
      </c>
      <c r="AK269">
        <f>IF($B269="","",IFERROR(VLOOKUP($B269,Maliyetler!$A:$G,7,FALSE),""))</f>
        <v/>
      </c>
      <c r="AO269" s="21">
        <f>IF($B269="","",IFERROR(VLOOKUP($B269&amp;"",'Plus Tarifeleri'!$C:$Q,11,FALSE),""))</f>
        <v/>
      </c>
      <c r="AP269" s="22">
        <f>IF(AO269="","",IFERROR(IF($AM$1=2,VLOOKUP($B269&amp;"",'Plus Tarifeleri'!$C:$Q,15,FALSE),VLOOKUP($B269&amp;"",'Plus Tarifeleri'!$C:$Q,13,FALSE)),""))</f>
        <v/>
      </c>
      <c r="AQ269" s="21">
        <f>IF(OR(AO269="",AP269="",$D269=""),"",AO269*(1-AP269/100)-$D269-IF(AO269&lt;=199.99,Kargo!$E$2,IF(AO269&lt;=399.99,Kargo!$E$3,$F269)))</f>
        <v/>
      </c>
      <c r="AR269" s="23">
        <f>IF(AQ269="","",AQ269/AO269)</f>
        <v/>
      </c>
      <c r="AS269" s="24">
        <f>IF(OR(AQ269="",AG269=""),"",AQ269-AG269)</f>
        <v/>
      </c>
    </row>
    <row r="270">
      <c r="A270">
        <f>IF('Komisyon Tarifeleri'!A270="","",'Komisyon Tarifeleri'!A270)</f>
        <v/>
      </c>
      <c r="B270">
        <f>IF('Komisyon Tarifeleri'!B270="","",'Komisyon Tarifeleri'!B270&amp;"")</f>
        <v/>
      </c>
      <c r="C270">
        <f>IF($B270="","",'Komisyon Tarifeleri'!F270)</f>
        <v/>
      </c>
      <c r="D270" s="10">
        <f>IF($B270="","",IFERROR(VLOOKUP($B270,Maliyetler!$A:$E,3,FALSE),""))</f>
        <v/>
      </c>
      <c r="E270">
        <f>IF($B270="","",IFERROR(VLOOKUP($B270,Maliyetler!$A:$E,4,FALSE),1))</f>
        <v/>
      </c>
      <c r="F270" s="10">
        <f>IF($B270="","",IFERROR(VLOOKUP(MIN(20,MAX(1,ROUND($E270,0))),Kargo!$A:$B,2,FALSE),99.46))</f>
        <v/>
      </c>
      <c r="G270" s="10">
        <f>IF($B270="","",IF(IF(N('Komisyon Tarifeleri'!AA270)&gt;='Komisyon Tarifeleri'!I270,'Komisyon Tarifeleri'!AA270,'Komisyon Tarifeleri'!I270)="","",IF(N('Komisyon Tarifeleri'!AA270)&gt;='Komisyon Tarifeleri'!I270,'Komisyon Tarifeleri'!AA270,'Komisyon Tarifeleri'!I270)))</f>
        <v/>
      </c>
      <c r="H270" s="11">
        <f>IF(G270="","",IF($AM$1=2,'Komisyon Tarifeleri'!U270,'Komisyon Tarifeleri'!P270))</f>
        <v/>
      </c>
      <c r="I270" s="10">
        <f>IF(OR(G270="",$D270=""),"",G270*(1-H270/100)-$D270-IF(G270&lt;=199.99,Kargo!$E$2,IF(G270&lt;=399.99,Kargo!$E$3,$F270)))</f>
        <v/>
      </c>
      <c r="J270" s="12">
        <f>IF(I270="","",I270/G270)</f>
        <v/>
      </c>
      <c r="K270" s="10">
        <f>IF($B270="","",IF('Komisyon Tarifeleri'!J270="","",'Komisyon Tarifeleri'!J270))</f>
        <v/>
      </c>
      <c r="L270" s="11">
        <f>IF(K270="","",IF($AM$1=2,'Komisyon Tarifeleri'!V270,'Komisyon Tarifeleri'!Q270))</f>
        <v/>
      </c>
      <c r="M270" s="10">
        <f>IF(OR(K270="",$D270=""),"",K270*(1-L270/100)-$D270-IF(K270&lt;=199.99,Kargo!$E$2,IF(K270&lt;=399.99,Kargo!$E$3,$F270)))</f>
        <v/>
      </c>
      <c r="N270" s="12">
        <f>IF(M270="","",M270/K270)</f>
        <v/>
      </c>
      <c r="O270" s="10">
        <f>IF($B270="","",IF('Komisyon Tarifeleri'!L270="","",'Komisyon Tarifeleri'!L270))</f>
        <v/>
      </c>
      <c r="P270" s="11">
        <f>IF(O270="","",IF($AM$1=2,'Komisyon Tarifeleri'!W270,'Komisyon Tarifeleri'!R270))</f>
        <v/>
      </c>
      <c r="Q270" s="10">
        <f>IF(OR(O270="",$D270=""),"",O270*(1-P270/100)-$D270-IF(O270&lt;=199.99,Kargo!$E$2,IF(O270&lt;=399.99,Kargo!$E$3,$F270)))</f>
        <v/>
      </c>
      <c r="R270" s="12">
        <f>IF(Q270="","",Q270/O270)</f>
        <v/>
      </c>
      <c r="S270" s="10">
        <f>IF($B270="","",IF('Komisyon Tarifeleri'!N270="","",'Komisyon Tarifeleri'!N270))</f>
        <v/>
      </c>
      <c r="T270" s="11">
        <f>IF(S270="","",IF($AM$1=2,'Komisyon Tarifeleri'!X270,'Komisyon Tarifeleri'!S270))</f>
        <v/>
      </c>
      <c r="U270" s="10">
        <f>IF(OR(S270="",$D270=""),"",S270*(1-T270/100)-$D270-IF(S270&lt;=199.99,Kargo!$E$2,IF(S270&lt;=399.99,Kargo!$E$3,$F270)))</f>
        <v/>
      </c>
      <c r="V270" s="12">
        <f>IF(U270="","",U270/S270)</f>
        <v/>
      </c>
      <c r="W270" s="12">
        <f>IF($B270="","",IFERROR(VLOOKUP($C270,Hedefler!$A:$C,2,FALSE),0.04))</f>
        <v/>
      </c>
      <c r="X270" s="12">
        <f>IF($B270="","",IFERROR(VLOOKUP($C270,Hedefler!$A:$C,3,FALSE),0.1))</f>
        <v/>
      </c>
      <c r="Y270" s="13">
        <f>IF($B270="","",IFERROR(VLOOKUP($B270,Maliyetler!$A:$E,5,FALSE),""))</f>
        <v/>
      </c>
      <c r="Z270" s="13">
        <f>IF(OR(Y270="",Y270=0),"",Y270-1)</f>
        <v/>
      </c>
      <c r="AA270" s="14">
        <f>IF(Z270="","",IF(Z270&gt;='Komisyon Tarifeleri'!I270,IF($AM$1=2,'Komisyon Tarifeleri'!U270,'Komisyon Tarifeleri'!P270),IF(Z270&gt;='Komisyon Tarifeleri'!K270,IF($AM$1=2,'Komisyon Tarifeleri'!V270,'Komisyon Tarifeleri'!Q270),IF(Z270&gt;='Komisyon Tarifeleri'!M270,IF($AM$1=2,'Komisyon Tarifeleri'!W270,'Komisyon Tarifeleri'!R270),IF($AM$1=2,'Komisyon Tarifeleri'!X270,'Komisyon Tarifeleri'!S270)))))</f>
        <v/>
      </c>
      <c r="AB270" s="13">
        <f>IF(OR(AA270="",$D270=""),"",Z270*(1-AA270/100)-$D270-IF(Z270&lt;=199.99,Kargo!$E$2,IF(Z270&lt;=399.99,Kargo!$E$3,$F270)))</f>
        <v/>
      </c>
      <c r="AC270" s="15">
        <f>IF(AB270="","",AB270/Z270)</f>
        <v/>
      </c>
      <c r="AD270" s="10">
        <f>IF(OR($D270="",$B270=""),"",IF(AND((1-T270/100-W270)&gt;0,CEILING(($D270+$F270)/(1-T270/100-W270),1)&lt;='Komisyon Tarifeleri'!N270),CEILING(($D270+$F270)/(1-T270/100-W270),1),IF(AND((1-P270/100-W270)&gt;0,CEILING(MAX('Komisyon Tarifeleri'!M270,($D270+$F270)/(1-P270/100-W270)),1)&lt;='Komisyon Tarifeleri'!L270),CEILING(MAX('Komisyon Tarifeleri'!M270,($D270+$F270)/(1-P270/100-W270)),1),IF(AND((1-L270/100-W270)&gt;0,CEILING(MAX('Komisyon Tarifeleri'!K270,($D270+$F270)/(1-L270/100-W270)),1)&lt;='Komisyon Tarifeleri'!J270),CEILING(MAX('Komisyon Tarifeleri'!K270,($D270+$F270)/(1-L270/100-W270)),1),IF((1-H270/100-W270)&gt;0,CEILING(MAX('Komisyon Tarifeleri'!I270,($D270+$F270)/(1-H270/100-W270)),1),"İMKÂNSIZ")))))</f>
        <v/>
      </c>
      <c r="AE270" s="10">
        <f>IF(OR($D270="",$B270=""),"",IF(AND((1-T270/100-X270)&gt;0,CEILING(($D270+$F270)/(1-T270/100-X270),1)&lt;='Komisyon Tarifeleri'!N270),CEILING(($D270+$F270)/(1-T270/100-X270),1),IF(AND((1-P270/100-X270)&gt;0,CEILING(MAX('Komisyon Tarifeleri'!M270,($D270+$F270)/(1-P270/100-X270)),1)&lt;='Komisyon Tarifeleri'!L270),CEILING(MAX('Komisyon Tarifeleri'!M270,($D270+$F270)/(1-P270/100-X270)),1),IF(AND((1-L270/100-X270)&gt;0,CEILING(MAX('Komisyon Tarifeleri'!K270,($D270+$F270)/(1-L270/100-X270)),1)&lt;='Komisyon Tarifeleri'!J270),CEILING(MAX('Komisyon Tarifeleri'!K270,($D270+$F270)/(1-L270/100-X270)),1),IF((1-H270/100-X270)&gt;0,CEILING(MAX('Komisyon Tarifeleri'!I270,($D270+$F270)/(1-H270/100-X270)),1),"İMKÂNSIZ")))))</f>
        <v/>
      </c>
      <c r="AF270" s="16">
        <f>IF($D270="","",IF(AND(Y270&lt;&gt;"",AC270&lt;&gt;"",AC270&gt;=W270),Z270,IF(Y270&lt;&gt;"",AD270,AE270)))</f>
        <v/>
      </c>
      <c r="AG270" s="16">
        <f>IF(OR(AF270="",AF270="İMKÂNSIZ"),"",AF270*(1-IF(AF270&gt;='Komisyon Tarifeleri'!I270,IF($AM$1=2,'Komisyon Tarifeleri'!U270,'Komisyon Tarifeleri'!P270),IF(AF270&gt;='Komisyon Tarifeleri'!K270,IF($AM$1=2,'Komisyon Tarifeleri'!V270,'Komisyon Tarifeleri'!Q270),IF(AF270&gt;='Komisyon Tarifeleri'!M270,IF($AM$1=2,'Komisyon Tarifeleri'!W270,'Komisyon Tarifeleri'!R270),IF($AM$1=2,'Komisyon Tarifeleri'!X270,'Komisyon Tarifeleri'!S270))))/100)-$D270-IF(AF270&lt;=199.99,Kargo!$E$2,IF(AF270&lt;=399.99,Kargo!$E$3,$F270)))</f>
        <v/>
      </c>
      <c r="AH270" s="17">
        <f>IF(AG270="","",AG270/AF270)</f>
        <v/>
      </c>
      <c r="AI270" s="18">
        <f>IF($D270="","",IF(Y270="","BUYBOX YOK → hedef kârla min fiyat",IF(AC270&gt;=W270,"✓ BUYBOX ALTINA GİR","BUYBOX ALTI KÂRSIZ → min kârlı fiyat")))</f>
        <v/>
      </c>
      <c r="AJ270" s="10">
        <f>IF($B270="","",IFERROR(VLOOKUP($B270,Maliyetler!$A:$G,6,FALSE),""))</f>
        <v/>
      </c>
      <c r="AK270">
        <f>IF($B270="","",IFERROR(VLOOKUP($B270,Maliyetler!$A:$G,7,FALSE),""))</f>
        <v/>
      </c>
      <c r="AO270" s="21">
        <f>IF($B270="","",IFERROR(VLOOKUP($B270&amp;"",'Plus Tarifeleri'!$C:$Q,11,FALSE),""))</f>
        <v/>
      </c>
      <c r="AP270" s="22">
        <f>IF(AO270="","",IFERROR(IF($AM$1=2,VLOOKUP($B270&amp;"",'Plus Tarifeleri'!$C:$Q,15,FALSE),VLOOKUP($B270&amp;"",'Plus Tarifeleri'!$C:$Q,13,FALSE)),""))</f>
        <v/>
      </c>
      <c r="AQ270" s="21">
        <f>IF(OR(AO270="",AP270="",$D270=""),"",AO270*(1-AP270/100)-$D270-IF(AO270&lt;=199.99,Kargo!$E$2,IF(AO270&lt;=399.99,Kargo!$E$3,$F270)))</f>
        <v/>
      </c>
      <c r="AR270" s="23">
        <f>IF(AQ270="","",AQ270/AO270)</f>
        <v/>
      </c>
      <c r="AS270" s="24">
        <f>IF(OR(AQ270="",AG270=""),"",AQ270-AG270)</f>
        <v/>
      </c>
    </row>
    <row r="271">
      <c r="A271">
        <f>IF('Komisyon Tarifeleri'!A271="","",'Komisyon Tarifeleri'!A271)</f>
        <v/>
      </c>
      <c r="B271">
        <f>IF('Komisyon Tarifeleri'!B271="","",'Komisyon Tarifeleri'!B271&amp;"")</f>
        <v/>
      </c>
      <c r="C271">
        <f>IF($B271="","",'Komisyon Tarifeleri'!F271)</f>
        <v/>
      </c>
      <c r="D271" s="10">
        <f>IF($B271="","",IFERROR(VLOOKUP($B271,Maliyetler!$A:$E,3,FALSE),""))</f>
        <v/>
      </c>
      <c r="E271">
        <f>IF($B271="","",IFERROR(VLOOKUP($B271,Maliyetler!$A:$E,4,FALSE),1))</f>
        <v/>
      </c>
      <c r="F271" s="10">
        <f>IF($B271="","",IFERROR(VLOOKUP(MIN(20,MAX(1,ROUND($E271,0))),Kargo!$A:$B,2,FALSE),99.46))</f>
        <v/>
      </c>
      <c r="G271" s="10">
        <f>IF($B271="","",IF(IF(N('Komisyon Tarifeleri'!AA271)&gt;='Komisyon Tarifeleri'!I271,'Komisyon Tarifeleri'!AA271,'Komisyon Tarifeleri'!I271)="","",IF(N('Komisyon Tarifeleri'!AA271)&gt;='Komisyon Tarifeleri'!I271,'Komisyon Tarifeleri'!AA271,'Komisyon Tarifeleri'!I271)))</f>
        <v/>
      </c>
      <c r="H271" s="11">
        <f>IF(G271="","",IF($AM$1=2,'Komisyon Tarifeleri'!U271,'Komisyon Tarifeleri'!P271))</f>
        <v/>
      </c>
      <c r="I271" s="10">
        <f>IF(OR(G271="",$D271=""),"",G271*(1-H271/100)-$D271-IF(G271&lt;=199.99,Kargo!$E$2,IF(G271&lt;=399.99,Kargo!$E$3,$F271)))</f>
        <v/>
      </c>
      <c r="J271" s="12">
        <f>IF(I271="","",I271/G271)</f>
        <v/>
      </c>
      <c r="K271" s="10">
        <f>IF($B271="","",IF('Komisyon Tarifeleri'!J271="","",'Komisyon Tarifeleri'!J271))</f>
        <v/>
      </c>
      <c r="L271" s="11">
        <f>IF(K271="","",IF($AM$1=2,'Komisyon Tarifeleri'!V271,'Komisyon Tarifeleri'!Q271))</f>
        <v/>
      </c>
      <c r="M271" s="10">
        <f>IF(OR(K271="",$D271=""),"",K271*(1-L271/100)-$D271-IF(K271&lt;=199.99,Kargo!$E$2,IF(K271&lt;=399.99,Kargo!$E$3,$F271)))</f>
        <v/>
      </c>
      <c r="N271" s="12">
        <f>IF(M271="","",M271/K271)</f>
        <v/>
      </c>
      <c r="O271" s="10">
        <f>IF($B271="","",IF('Komisyon Tarifeleri'!L271="","",'Komisyon Tarifeleri'!L271))</f>
        <v/>
      </c>
      <c r="P271" s="11">
        <f>IF(O271="","",IF($AM$1=2,'Komisyon Tarifeleri'!W271,'Komisyon Tarifeleri'!R271))</f>
        <v/>
      </c>
      <c r="Q271" s="10">
        <f>IF(OR(O271="",$D271=""),"",O271*(1-P271/100)-$D271-IF(O271&lt;=199.99,Kargo!$E$2,IF(O271&lt;=399.99,Kargo!$E$3,$F271)))</f>
        <v/>
      </c>
      <c r="R271" s="12">
        <f>IF(Q271="","",Q271/O271)</f>
        <v/>
      </c>
      <c r="S271" s="10">
        <f>IF($B271="","",IF('Komisyon Tarifeleri'!N271="","",'Komisyon Tarifeleri'!N271))</f>
        <v/>
      </c>
      <c r="T271" s="11">
        <f>IF(S271="","",IF($AM$1=2,'Komisyon Tarifeleri'!X271,'Komisyon Tarifeleri'!S271))</f>
        <v/>
      </c>
      <c r="U271" s="10">
        <f>IF(OR(S271="",$D271=""),"",S271*(1-T271/100)-$D271-IF(S271&lt;=199.99,Kargo!$E$2,IF(S271&lt;=399.99,Kargo!$E$3,$F271)))</f>
        <v/>
      </c>
      <c r="V271" s="12">
        <f>IF(U271="","",U271/S271)</f>
        <v/>
      </c>
      <c r="W271" s="12">
        <f>IF($B271="","",IFERROR(VLOOKUP($C271,Hedefler!$A:$C,2,FALSE),0.04))</f>
        <v/>
      </c>
      <c r="X271" s="12">
        <f>IF($B271="","",IFERROR(VLOOKUP($C271,Hedefler!$A:$C,3,FALSE),0.1))</f>
        <v/>
      </c>
      <c r="Y271" s="13">
        <f>IF($B271="","",IFERROR(VLOOKUP($B271,Maliyetler!$A:$E,5,FALSE),""))</f>
        <v/>
      </c>
      <c r="Z271" s="13">
        <f>IF(OR(Y271="",Y271=0),"",Y271-1)</f>
        <v/>
      </c>
      <c r="AA271" s="14">
        <f>IF(Z271="","",IF(Z271&gt;='Komisyon Tarifeleri'!I271,IF($AM$1=2,'Komisyon Tarifeleri'!U271,'Komisyon Tarifeleri'!P271),IF(Z271&gt;='Komisyon Tarifeleri'!K271,IF($AM$1=2,'Komisyon Tarifeleri'!V271,'Komisyon Tarifeleri'!Q271),IF(Z271&gt;='Komisyon Tarifeleri'!M271,IF($AM$1=2,'Komisyon Tarifeleri'!W271,'Komisyon Tarifeleri'!R271),IF($AM$1=2,'Komisyon Tarifeleri'!X271,'Komisyon Tarifeleri'!S271)))))</f>
        <v/>
      </c>
      <c r="AB271" s="13">
        <f>IF(OR(AA271="",$D271=""),"",Z271*(1-AA271/100)-$D271-IF(Z271&lt;=199.99,Kargo!$E$2,IF(Z271&lt;=399.99,Kargo!$E$3,$F271)))</f>
        <v/>
      </c>
      <c r="AC271" s="15">
        <f>IF(AB271="","",AB271/Z271)</f>
        <v/>
      </c>
      <c r="AD271" s="10">
        <f>IF(OR($D271="",$B271=""),"",IF(AND((1-T271/100-W271)&gt;0,CEILING(($D271+$F271)/(1-T271/100-W271),1)&lt;='Komisyon Tarifeleri'!N271),CEILING(($D271+$F271)/(1-T271/100-W271),1),IF(AND((1-P271/100-W271)&gt;0,CEILING(MAX('Komisyon Tarifeleri'!M271,($D271+$F271)/(1-P271/100-W271)),1)&lt;='Komisyon Tarifeleri'!L271),CEILING(MAX('Komisyon Tarifeleri'!M271,($D271+$F271)/(1-P271/100-W271)),1),IF(AND((1-L271/100-W271)&gt;0,CEILING(MAX('Komisyon Tarifeleri'!K271,($D271+$F271)/(1-L271/100-W271)),1)&lt;='Komisyon Tarifeleri'!J271),CEILING(MAX('Komisyon Tarifeleri'!K271,($D271+$F271)/(1-L271/100-W271)),1),IF((1-H271/100-W271)&gt;0,CEILING(MAX('Komisyon Tarifeleri'!I271,($D271+$F271)/(1-H271/100-W271)),1),"İMKÂNSIZ")))))</f>
        <v/>
      </c>
      <c r="AE271" s="10">
        <f>IF(OR($D271="",$B271=""),"",IF(AND((1-T271/100-X271)&gt;0,CEILING(($D271+$F271)/(1-T271/100-X271),1)&lt;='Komisyon Tarifeleri'!N271),CEILING(($D271+$F271)/(1-T271/100-X271),1),IF(AND((1-P271/100-X271)&gt;0,CEILING(MAX('Komisyon Tarifeleri'!M271,($D271+$F271)/(1-P271/100-X271)),1)&lt;='Komisyon Tarifeleri'!L271),CEILING(MAX('Komisyon Tarifeleri'!M271,($D271+$F271)/(1-P271/100-X271)),1),IF(AND((1-L271/100-X271)&gt;0,CEILING(MAX('Komisyon Tarifeleri'!K271,($D271+$F271)/(1-L271/100-X271)),1)&lt;='Komisyon Tarifeleri'!J271),CEILING(MAX('Komisyon Tarifeleri'!K271,($D271+$F271)/(1-L271/100-X271)),1),IF((1-H271/100-X271)&gt;0,CEILING(MAX('Komisyon Tarifeleri'!I271,($D271+$F271)/(1-H271/100-X271)),1),"İMKÂNSIZ")))))</f>
        <v/>
      </c>
      <c r="AF271" s="16">
        <f>IF($D271="","",IF(AND(Y271&lt;&gt;"",AC271&lt;&gt;"",AC271&gt;=W271),Z271,IF(Y271&lt;&gt;"",AD271,AE271)))</f>
        <v/>
      </c>
      <c r="AG271" s="16">
        <f>IF(OR(AF271="",AF271="İMKÂNSIZ"),"",AF271*(1-IF(AF271&gt;='Komisyon Tarifeleri'!I271,IF($AM$1=2,'Komisyon Tarifeleri'!U271,'Komisyon Tarifeleri'!P271),IF(AF271&gt;='Komisyon Tarifeleri'!K271,IF($AM$1=2,'Komisyon Tarifeleri'!V271,'Komisyon Tarifeleri'!Q271),IF(AF271&gt;='Komisyon Tarifeleri'!M271,IF($AM$1=2,'Komisyon Tarifeleri'!W271,'Komisyon Tarifeleri'!R271),IF($AM$1=2,'Komisyon Tarifeleri'!X271,'Komisyon Tarifeleri'!S271))))/100)-$D271-IF(AF271&lt;=199.99,Kargo!$E$2,IF(AF271&lt;=399.99,Kargo!$E$3,$F271)))</f>
        <v/>
      </c>
      <c r="AH271" s="17">
        <f>IF(AG271="","",AG271/AF271)</f>
        <v/>
      </c>
      <c r="AI271" s="18">
        <f>IF($D271="","",IF(Y271="","BUYBOX YOK → hedef kârla min fiyat",IF(AC271&gt;=W271,"✓ BUYBOX ALTINA GİR","BUYBOX ALTI KÂRSIZ → min kârlı fiyat")))</f>
        <v/>
      </c>
      <c r="AJ271" s="10">
        <f>IF($B271="","",IFERROR(VLOOKUP($B271,Maliyetler!$A:$G,6,FALSE),""))</f>
        <v/>
      </c>
      <c r="AK271">
        <f>IF($B271="","",IFERROR(VLOOKUP($B271,Maliyetler!$A:$G,7,FALSE),""))</f>
        <v/>
      </c>
      <c r="AO271" s="21">
        <f>IF($B271="","",IFERROR(VLOOKUP($B271&amp;"",'Plus Tarifeleri'!$C:$Q,11,FALSE),""))</f>
        <v/>
      </c>
      <c r="AP271" s="22">
        <f>IF(AO271="","",IFERROR(IF($AM$1=2,VLOOKUP($B271&amp;"",'Plus Tarifeleri'!$C:$Q,15,FALSE),VLOOKUP($B271&amp;"",'Plus Tarifeleri'!$C:$Q,13,FALSE)),""))</f>
        <v/>
      </c>
      <c r="AQ271" s="21">
        <f>IF(OR(AO271="",AP271="",$D271=""),"",AO271*(1-AP271/100)-$D271-IF(AO271&lt;=199.99,Kargo!$E$2,IF(AO271&lt;=399.99,Kargo!$E$3,$F271)))</f>
        <v/>
      </c>
      <c r="AR271" s="23">
        <f>IF(AQ271="","",AQ271/AO271)</f>
        <v/>
      </c>
      <c r="AS271" s="24">
        <f>IF(OR(AQ271="",AG271=""),"",AQ271-AG271)</f>
        <v/>
      </c>
    </row>
    <row r="272">
      <c r="A272">
        <f>IF('Komisyon Tarifeleri'!A272="","",'Komisyon Tarifeleri'!A272)</f>
        <v/>
      </c>
      <c r="B272">
        <f>IF('Komisyon Tarifeleri'!B272="","",'Komisyon Tarifeleri'!B272&amp;"")</f>
        <v/>
      </c>
      <c r="C272">
        <f>IF($B272="","",'Komisyon Tarifeleri'!F272)</f>
        <v/>
      </c>
      <c r="D272" s="10">
        <f>IF($B272="","",IFERROR(VLOOKUP($B272,Maliyetler!$A:$E,3,FALSE),""))</f>
        <v/>
      </c>
      <c r="E272">
        <f>IF($B272="","",IFERROR(VLOOKUP($B272,Maliyetler!$A:$E,4,FALSE),1))</f>
        <v/>
      </c>
      <c r="F272" s="10">
        <f>IF($B272="","",IFERROR(VLOOKUP(MIN(20,MAX(1,ROUND($E272,0))),Kargo!$A:$B,2,FALSE),99.46))</f>
        <v/>
      </c>
      <c r="G272" s="10">
        <f>IF($B272="","",IF(IF(N('Komisyon Tarifeleri'!AA272)&gt;='Komisyon Tarifeleri'!I272,'Komisyon Tarifeleri'!AA272,'Komisyon Tarifeleri'!I272)="","",IF(N('Komisyon Tarifeleri'!AA272)&gt;='Komisyon Tarifeleri'!I272,'Komisyon Tarifeleri'!AA272,'Komisyon Tarifeleri'!I272)))</f>
        <v/>
      </c>
      <c r="H272" s="11">
        <f>IF(G272="","",IF($AM$1=2,'Komisyon Tarifeleri'!U272,'Komisyon Tarifeleri'!P272))</f>
        <v/>
      </c>
      <c r="I272" s="10">
        <f>IF(OR(G272="",$D272=""),"",G272*(1-H272/100)-$D272-IF(G272&lt;=199.99,Kargo!$E$2,IF(G272&lt;=399.99,Kargo!$E$3,$F272)))</f>
        <v/>
      </c>
      <c r="J272" s="12">
        <f>IF(I272="","",I272/G272)</f>
        <v/>
      </c>
      <c r="K272" s="10">
        <f>IF($B272="","",IF('Komisyon Tarifeleri'!J272="","",'Komisyon Tarifeleri'!J272))</f>
        <v/>
      </c>
      <c r="L272" s="11">
        <f>IF(K272="","",IF($AM$1=2,'Komisyon Tarifeleri'!V272,'Komisyon Tarifeleri'!Q272))</f>
        <v/>
      </c>
      <c r="M272" s="10">
        <f>IF(OR(K272="",$D272=""),"",K272*(1-L272/100)-$D272-IF(K272&lt;=199.99,Kargo!$E$2,IF(K272&lt;=399.99,Kargo!$E$3,$F272)))</f>
        <v/>
      </c>
      <c r="N272" s="12">
        <f>IF(M272="","",M272/K272)</f>
        <v/>
      </c>
      <c r="O272" s="10">
        <f>IF($B272="","",IF('Komisyon Tarifeleri'!L272="","",'Komisyon Tarifeleri'!L272))</f>
        <v/>
      </c>
      <c r="P272" s="11">
        <f>IF(O272="","",IF($AM$1=2,'Komisyon Tarifeleri'!W272,'Komisyon Tarifeleri'!R272))</f>
        <v/>
      </c>
      <c r="Q272" s="10">
        <f>IF(OR(O272="",$D272=""),"",O272*(1-P272/100)-$D272-IF(O272&lt;=199.99,Kargo!$E$2,IF(O272&lt;=399.99,Kargo!$E$3,$F272)))</f>
        <v/>
      </c>
      <c r="R272" s="12">
        <f>IF(Q272="","",Q272/O272)</f>
        <v/>
      </c>
      <c r="S272" s="10">
        <f>IF($B272="","",IF('Komisyon Tarifeleri'!N272="","",'Komisyon Tarifeleri'!N272))</f>
        <v/>
      </c>
      <c r="T272" s="11">
        <f>IF(S272="","",IF($AM$1=2,'Komisyon Tarifeleri'!X272,'Komisyon Tarifeleri'!S272))</f>
        <v/>
      </c>
      <c r="U272" s="10">
        <f>IF(OR(S272="",$D272=""),"",S272*(1-T272/100)-$D272-IF(S272&lt;=199.99,Kargo!$E$2,IF(S272&lt;=399.99,Kargo!$E$3,$F272)))</f>
        <v/>
      </c>
      <c r="V272" s="12">
        <f>IF(U272="","",U272/S272)</f>
        <v/>
      </c>
      <c r="W272" s="12">
        <f>IF($B272="","",IFERROR(VLOOKUP($C272,Hedefler!$A:$C,2,FALSE),0.04))</f>
        <v/>
      </c>
      <c r="X272" s="12">
        <f>IF($B272="","",IFERROR(VLOOKUP($C272,Hedefler!$A:$C,3,FALSE),0.1))</f>
        <v/>
      </c>
      <c r="Y272" s="13">
        <f>IF($B272="","",IFERROR(VLOOKUP($B272,Maliyetler!$A:$E,5,FALSE),""))</f>
        <v/>
      </c>
      <c r="Z272" s="13">
        <f>IF(OR(Y272="",Y272=0),"",Y272-1)</f>
        <v/>
      </c>
      <c r="AA272" s="14">
        <f>IF(Z272="","",IF(Z272&gt;='Komisyon Tarifeleri'!I272,IF($AM$1=2,'Komisyon Tarifeleri'!U272,'Komisyon Tarifeleri'!P272),IF(Z272&gt;='Komisyon Tarifeleri'!K272,IF($AM$1=2,'Komisyon Tarifeleri'!V272,'Komisyon Tarifeleri'!Q272),IF(Z272&gt;='Komisyon Tarifeleri'!M272,IF($AM$1=2,'Komisyon Tarifeleri'!W272,'Komisyon Tarifeleri'!R272),IF($AM$1=2,'Komisyon Tarifeleri'!X272,'Komisyon Tarifeleri'!S272)))))</f>
        <v/>
      </c>
      <c r="AB272" s="13">
        <f>IF(OR(AA272="",$D272=""),"",Z272*(1-AA272/100)-$D272-IF(Z272&lt;=199.99,Kargo!$E$2,IF(Z272&lt;=399.99,Kargo!$E$3,$F272)))</f>
        <v/>
      </c>
      <c r="AC272" s="15">
        <f>IF(AB272="","",AB272/Z272)</f>
        <v/>
      </c>
      <c r="AD272" s="10">
        <f>IF(OR($D272="",$B272=""),"",IF(AND((1-T272/100-W272)&gt;0,CEILING(($D272+$F272)/(1-T272/100-W272),1)&lt;='Komisyon Tarifeleri'!N272),CEILING(($D272+$F272)/(1-T272/100-W272),1),IF(AND((1-P272/100-W272)&gt;0,CEILING(MAX('Komisyon Tarifeleri'!M272,($D272+$F272)/(1-P272/100-W272)),1)&lt;='Komisyon Tarifeleri'!L272),CEILING(MAX('Komisyon Tarifeleri'!M272,($D272+$F272)/(1-P272/100-W272)),1),IF(AND((1-L272/100-W272)&gt;0,CEILING(MAX('Komisyon Tarifeleri'!K272,($D272+$F272)/(1-L272/100-W272)),1)&lt;='Komisyon Tarifeleri'!J272),CEILING(MAX('Komisyon Tarifeleri'!K272,($D272+$F272)/(1-L272/100-W272)),1),IF((1-H272/100-W272)&gt;0,CEILING(MAX('Komisyon Tarifeleri'!I272,($D272+$F272)/(1-H272/100-W272)),1),"İMKÂNSIZ")))))</f>
        <v/>
      </c>
      <c r="AE272" s="10">
        <f>IF(OR($D272="",$B272=""),"",IF(AND((1-T272/100-X272)&gt;0,CEILING(($D272+$F272)/(1-T272/100-X272),1)&lt;='Komisyon Tarifeleri'!N272),CEILING(($D272+$F272)/(1-T272/100-X272),1),IF(AND((1-P272/100-X272)&gt;0,CEILING(MAX('Komisyon Tarifeleri'!M272,($D272+$F272)/(1-P272/100-X272)),1)&lt;='Komisyon Tarifeleri'!L272),CEILING(MAX('Komisyon Tarifeleri'!M272,($D272+$F272)/(1-P272/100-X272)),1),IF(AND((1-L272/100-X272)&gt;0,CEILING(MAX('Komisyon Tarifeleri'!K272,($D272+$F272)/(1-L272/100-X272)),1)&lt;='Komisyon Tarifeleri'!J272),CEILING(MAX('Komisyon Tarifeleri'!K272,($D272+$F272)/(1-L272/100-X272)),1),IF((1-H272/100-X272)&gt;0,CEILING(MAX('Komisyon Tarifeleri'!I272,($D272+$F272)/(1-H272/100-X272)),1),"İMKÂNSIZ")))))</f>
        <v/>
      </c>
      <c r="AF272" s="16">
        <f>IF($D272="","",IF(AND(Y272&lt;&gt;"",AC272&lt;&gt;"",AC272&gt;=W272),Z272,IF(Y272&lt;&gt;"",AD272,AE272)))</f>
        <v/>
      </c>
      <c r="AG272" s="16">
        <f>IF(OR(AF272="",AF272="İMKÂNSIZ"),"",AF272*(1-IF(AF272&gt;='Komisyon Tarifeleri'!I272,IF($AM$1=2,'Komisyon Tarifeleri'!U272,'Komisyon Tarifeleri'!P272),IF(AF272&gt;='Komisyon Tarifeleri'!K272,IF($AM$1=2,'Komisyon Tarifeleri'!V272,'Komisyon Tarifeleri'!Q272),IF(AF272&gt;='Komisyon Tarifeleri'!M272,IF($AM$1=2,'Komisyon Tarifeleri'!W272,'Komisyon Tarifeleri'!R272),IF($AM$1=2,'Komisyon Tarifeleri'!X272,'Komisyon Tarifeleri'!S272))))/100)-$D272-IF(AF272&lt;=199.99,Kargo!$E$2,IF(AF272&lt;=399.99,Kargo!$E$3,$F272)))</f>
        <v/>
      </c>
      <c r="AH272" s="17">
        <f>IF(AG272="","",AG272/AF272)</f>
        <v/>
      </c>
      <c r="AI272" s="18">
        <f>IF($D272="","",IF(Y272="","BUYBOX YOK → hedef kârla min fiyat",IF(AC272&gt;=W272,"✓ BUYBOX ALTINA GİR","BUYBOX ALTI KÂRSIZ → min kârlı fiyat")))</f>
        <v/>
      </c>
      <c r="AJ272" s="10">
        <f>IF($B272="","",IFERROR(VLOOKUP($B272,Maliyetler!$A:$G,6,FALSE),""))</f>
        <v/>
      </c>
      <c r="AK272">
        <f>IF($B272="","",IFERROR(VLOOKUP($B272,Maliyetler!$A:$G,7,FALSE),""))</f>
        <v/>
      </c>
      <c r="AO272" s="21">
        <f>IF($B272="","",IFERROR(VLOOKUP($B272&amp;"",'Plus Tarifeleri'!$C:$Q,11,FALSE),""))</f>
        <v/>
      </c>
      <c r="AP272" s="22">
        <f>IF(AO272="","",IFERROR(IF($AM$1=2,VLOOKUP($B272&amp;"",'Plus Tarifeleri'!$C:$Q,15,FALSE),VLOOKUP($B272&amp;"",'Plus Tarifeleri'!$C:$Q,13,FALSE)),""))</f>
        <v/>
      </c>
      <c r="AQ272" s="21">
        <f>IF(OR(AO272="",AP272="",$D272=""),"",AO272*(1-AP272/100)-$D272-IF(AO272&lt;=199.99,Kargo!$E$2,IF(AO272&lt;=399.99,Kargo!$E$3,$F272)))</f>
        <v/>
      </c>
      <c r="AR272" s="23">
        <f>IF(AQ272="","",AQ272/AO272)</f>
        <v/>
      </c>
      <c r="AS272" s="24">
        <f>IF(OR(AQ272="",AG272=""),"",AQ272-AG272)</f>
        <v/>
      </c>
    </row>
    <row r="273">
      <c r="A273">
        <f>IF('Komisyon Tarifeleri'!A273="","",'Komisyon Tarifeleri'!A273)</f>
        <v/>
      </c>
      <c r="B273">
        <f>IF('Komisyon Tarifeleri'!B273="","",'Komisyon Tarifeleri'!B273&amp;"")</f>
        <v/>
      </c>
      <c r="C273">
        <f>IF($B273="","",'Komisyon Tarifeleri'!F273)</f>
        <v/>
      </c>
      <c r="D273" s="10">
        <f>IF($B273="","",IFERROR(VLOOKUP($B273,Maliyetler!$A:$E,3,FALSE),""))</f>
        <v/>
      </c>
      <c r="E273">
        <f>IF($B273="","",IFERROR(VLOOKUP($B273,Maliyetler!$A:$E,4,FALSE),1))</f>
        <v/>
      </c>
      <c r="F273" s="10">
        <f>IF($B273="","",IFERROR(VLOOKUP(MIN(20,MAX(1,ROUND($E273,0))),Kargo!$A:$B,2,FALSE),99.46))</f>
        <v/>
      </c>
      <c r="G273" s="10">
        <f>IF($B273="","",IF(IF(N('Komisyon Tarifeleri'!AA273)&gt;='Komisyon Tarifeleri'!I273,'Komisyon Tarifeleri'!AA273,'Komisyon Tarifeleri'!I273)="","",IF(N('Komisyon Tarifeleri'!AA273)&gt;='Komisyon Tarifeleri'!I273,'Komisyon Tarifeleri'!AA273,'Komisyon Tarifeleri'!I273)))</f>
        <v/>
      </c>
      <c r="H273" s="11">
        <f>IF(G273="","",IF($AM$1=2,'Komisyon Tarifeleri'!U273,'Komisyon Tarifeleri'!P273))</f>
        <v/>
      </c>
      <c r="I273" s="10">
        <f>IF(OR(G273="",$D273=""),"",G273*(1-H273/100)-$D273-IF(G273&lt;=199.99,Kargo!$E$2,IF(G273&lt;=399.99,Kargo!$E$3,$F273)))</f>
        <v/>
      </c>
      <c r="J273" s="12">
        <f>IF(I273="","",I273/G273)</f>
        <v/>
      </c>
      <c r="K273" s="10">
        <f>IF($B273="","",IF('Komisyon Tarifeleri'!J273="","",'Komisyon Tarifeleri'!J273))</f>
        <v/>
      </c>
      <c r="L273" s="11">
        <f>IF(K273="","",IF($AM$1=2,'Komisyon Tarifeleri'!V273,'Komisyon Tarifeleri'!Q273))</f>
        <v/>
      </c>
      <c r="M273" s="10">
        <f>IF(OR(K273="",$D273=""),"",K273*(1-L273/100)-$D273-IF(K273&lt;=199.99,Kargo!$E$2,IF(K273&lt;=399.99,Kargo!$E$3,$F273)))</f>
        <v/>
      </c>
      <c r="N273" s="12">
        <f>IF(M273="","",M273/K273)</f>
        <v/>
      </c>
      <c r="O273" s="10">
        <f>IF($B273="","",IF('Komisyon Tarifeleri'!L273="","",'Komisyon Tarifeleri'!L273))</f>
        <v/>
      </c>
      <c r="P273" s="11">
        <f>IF(O273="","",IF($AM$1=2,'Komisyon Tarifeleri'!W273,'Komisyon Tarifeleri'!R273))</f>
        <v/>
      </c>
      <c r="Q273" s="10">
        <f>IF(OR(O273="",$D273=""),"",O273*(1-P273/100)-$D273-IF(O273&lt;=199.99,Kargo!$E$2,IF(O273&lt;=399.99,Kargo!$E$3,$F273)))</f>
        <v/>
      </c>
      <c r="R273" s="12">
        <f>IF(Q273="","",Q273/O273)</f>
        <v/>
      </c>
      <c r="S273" s="10">
        <f>IF($B273="","",IF('Komisyon Tarifeleri'!N273="","",'Komisyon Tarifeleri'!N273))</f>
        <v/>
      </c>
      <c r="T273" s="11">
        <f>IF(S273="","",IF($AM$1=2,'Komisyon Tarifeleri'!X273,'Komisyon Tarifeleri'!S273))</f>
        <v/>
      </c>
      <c r="U273" s="10">
        <f>IF(OR(S273="",$D273=""),"",S273*(1-T273/100)-$D273-IF(S273&lt;=199.99,Kargo!$E$2,IF(S273&lt;=399.99,Kargo!$E$3,$F273)))</f>
        <v/>
      </c>
      <c r="V273" s="12">
        <f>IF(U273="","",U273/S273)</f>
        <v/>
      </c>
      <c r="W273" s="12">
        <f>IF($B273="","",IFERROR(VLOOKUP($C273,Hedefler!$A:$C,2,FALSE),0.04))</f>
        <v/>
      </c>
      <c r="X273" s="12">
        <f>IF($B273="","",IFERROR(VLOOKUP($C273,Hedefler!$A:$C,3,FALSE),0.1))</f>
        <v/>
      </c>
      <c r="Y273" s="13">
        <f>IF($B273="","",IFERROR(VLOOKUP($B273,Maliyetler!$A:$E,5,FALSE),""))</f>
        <v/>
      </c>
      <c r="Z273" s="13">
        <f>IF(OR(Y273="",Y273=0),"",Y273-1)</f>
        <v/>
      </c>
      <c r="AA273" s="14">
        <f>IF(Z273="","",IF(Z273&gt;='Komisyon Tarifeleri'!I273,IF($AM$1=2,'Komisyon Tarifeleri'!U273,'Komisyon Tarifeleri'!P273),IF(Z273&gt;='Komisyon Tarifeleri'!K273,IF($AM$1=2,'Komisyon Tarifeleri'!V273,'Komisyon Tarifeleri'!Q273),IF(Z273&gt;='Komisyon Tarifeleri'!M273,IF($AM$1=2,'Komisyon Tarifeleri'!W273,'Komisyon Tarifeleri'!R273),IF($AM$1=2,'Komisyon Tarifeleri'!X273,'Komisyon Tarifeleri'!S273)))))</f>
        <v/>
      </c>
      <c r="AB273" s="13">
        <f>IF(OR(AA273="",$D273=""),"",Z273*(1-AA273/100)-$D273-IF(Z273&lt;=199.99,Kargo!$E$2,IF(Z273&lt;=399.99,Kargo!$E$3,$F273)))</f>
        <v/>
      </c>
      <c r="AC273" s="15">
        <f>IF(AB273="","",AB273/Z273)</f>
        <v/>
      </c>
      <c r="AD273" s="10">
        <f>IF(OR($D273="",$B273=""),"",IF(AND((1-T273/100-W273)&gt;0,CEILING(($D273+$F273)/(1-T273/100-W273),1)&lt;='Komisyon Tarifeleri'!N273),CEILING(($D273+$F273)/(1-T273/100-W273),1),IF(AND((1-P273/100-W273)&gt;0,CEILING(MAX('Komisyon Tarifeleri'!M273,($D273+$F273)/(1-P273/100-W273)),1)&lt;='Komisyon Tarifeleri'!L273),CEILING(MAX('Komisyon Tarifeleri'!M273,($D273+$F273)/(1-P273/100-W273)),1),IF(AND((1-L273/100-W273)&gt;0,CEILING(MAX('Komisyon Tarifeleri'!K273,($D273+$F273)/(1-L273/100-W273)),1)&lt;='Komisyon Tarifeleri'!J273),CEILING(MAX('Komisyon Tarifeleri'!K273,($D273+$F273)/(1-L273/100-W273)),1),IF((1-H273/100-W273)&gt;0,CEILING(MAX('Komisyon Tarifeleri'!I273,($D273+$F273)/(1-H273/100-W273)),1),"İMKÂNSIZ")))))</f>
        <v/>
      </c>
      <c r="AE273" s="10">
        <f>IF(OR($D273="",$B273=""),"",IF(AND((1-T273/100-X273)&gt;0,CEILING(($D273+$F273)/(1-T273/100-X273),1)&lt;='Komisyon Tarifeleri'!N273),CEILING(($D273+$F273)/(1-T273/100-X273),1),IF(AND((1-P273/100-X273)&gt;0,CEILING(MAX('Komisyon Tarifeleri'!M273,($D273+$F273)/(1-P273/100-X273)),1)&lt;='Komisyon Tarifeleri'!L273),CEILING(MAX('Komisyon Tarifeleri'!M273,($D273+$F273)/(1-P273/100-X273)),1),IF(AND((1-L273/100-X273)&gt;0,CEILING(MAX('Komisyon Tarifeleri'!K273,($D273+$F273)/(1-L273/100-X273)),1)&lt;='Komisyon Tarifeleri'!J273),CEILING(MAX('Komisyon Tarifeleri'!K273,($D273+$F273)/(1-L273/100-X273)),1),IF((1-H273/100-X273)&gt;0,CEILING(MAX('Komisyon Tarifeleri'!I273,($D273+$F273)/(1-H273/100-X273)),1),"İMKÂNSIZ")))))</f>
        <v/>
      </c>
      <c r="AF273" s="16">
        <f>IF($D273="","",IF(AND(Y273&lt;&gt;"",AC273&lt;&gt;"",AC273&gt;=W273),Z273,IF(Y273&lt;&gt;"",AD273,AE273)))</f>
        <v/>
      </c>
      <c r="AG273" s="16">
        <f>IF(OR(AF273="",AF273="İMKÂNSIZ"),"",AF273*(1-IF(AF273&gt;='Komisyon Tarifeleri'!I273,IF($AM$1=2,'Komisyon Tarifeleri'!U273,'Komisyon Tarifeleri'!P273),IF(AF273&gt;='Komisyon Tarifeleri'!K273,IF($AM$1=2,'Komisyon Tarifeleri'!V273,'Komisyon Tarifeleri'!Q273),IF(AF273&gt;='Komisyon Tarifeleri'!M273,IF($AM$1=2,'Komisyon Tarifeleri'!W273,'Komisyon Tarifeleri'!R273),IF($AM$1=2,'Komisyon Tarifeleri'!X273,'Komisyon Tarifeleri'!S273))))/100)-$D273-IF(AF273&lt;=199.99,Kargo!$E$2,IF(AF273&lt;=399.99,Kargo!$E$3,$F273)))</f>
        <v/>
      </c>
      <c r="AH273" s="17">
        <f>IF(AG273="","",AG273/AF273)</f>
        <v/>
      </c>
      <c r="AI273" s="18">
        <f>IF($D273="","",IF(Y273="","BUYBOX YOK → hedef kârla min fiyat",IF(AC273&gt;=W273,"✓ BUYBOX ALTINA GİR","BUYBOX ALTI KÂRSIZ → min kârlı fiyat")))</f>
        <v/>
      </c>
      <c r="AJ273" s="10">
        <f>IF($B273="","",IFERROR(VLOOKUP($B273,Maliyetler!$A:$G,6,FALSE),""))</f>
        <v/>
      </c>
      <c r="AK273">
        <f>IF($B273="","",IFERROR(VLOOKUP($B273,Maliyetler!$A:$G,7,FALSE),""))</f>
        <v/>
      </c>
      <c r="AO273" s="21">
        <f>IF($B273="","",IFERROR(VLOOKUP($B273&amp;"",'Plus Tarifeleri'!$C:$Q,11,FALSE),""))</f>
        <v/>
      </c>
      <c r="AP273" s="22">
        <f>IF(AO273="","",IFERROR(IF($AM$1=2,VLOOKUP($B273&amp;"",'Plus Tarifeleri'!$C:$Q,15,FALSE),VLOOKUP($B273&amp;"",'Plus Tarifeleri'!$C:$Q,13,FALSE)),""))</f>
        <v/>
      </c>
      <c r="AQ273" s="21">
        <f>IF(OR(AO273="",AP273="",$D273=""),"",AO273*(1-AP273/100)-$D273-IF(AO273&lt;=199.99,Kargo!$E$2,IF(AO273&lt;=399.99,Kargo!$E$3,$F273)))</f>
        <v/>
      </c>
      <c r="AR273" s="23">
        <f>IF(AQ273="","",AQ273/AO273)</f>
        <v/>
      </c>
      <c r="AS273" s="24">
        <f>IF(OR(AQ273="",AG273=""),"",AQ273-AG273)</f>
        <v/>
      </c>
    </row>
    <row r="274">
      <c r="A274">
        <f>IF('Komisyon Tarifeleri'!A274="","",'Komisyon Tarifeleri'!A274)</f>
        <v/>
      </c>
      <c r="B274">
        <f>IF('Komisyon Tarifeleri'!B274="","",'Komisyon Tarifeleri'!B274&amp;"")</f>
        <v/>
      </c>
      <c r="C274">
        <f>IF($B274="","",'Komisyon Tarifeleri'!F274)</f>
        <v/>
      </c>
      <c r="D274" s="10">
        <f>IF($B274="","",IFERROR(VLOOKUP($B274,Maliyetler!$A:$E,3,FALSE),""))</f>
        <v/>
      </c>
      <c r="E274">
        <f>IF($B274="","",IFERROR(VLOOKUP($B274,Maliyetler!$A:$E,4,FALSE),1))</f>
        <v/>
      </c>
      <c r="F274" s="10">
        <f>IF($B274="","",IFERROR(VLOOKUP(MIN(20,MAX(1,ROUND($E274,0))),Kargo!$A:$B,2,FALSE),99.46))</f>
        <v/>
      </c>
      <c r="G274" s="10">
        <f>IF($B274="","",IF(IF(N('Komisyon Tarifeleri'!AA274)&gt;='Komisyon Tarifeleri'!I274,'Komisyon Tarifeleri'!AA274,'Komisyon Tarifeleri'!I274)="","",IF(N('Komisyon Tarifeleri'!AA274)&gt;='Komisyon Tarifeleri'!I274,'Komisyon Tarifeleri'!AA274,'Komisyon Tarifeleri'!I274)))</f>
        <v/>
      </c>
      <c r="H274" s="11">
        <f>IF(G274="","",IF($AM$1=2,'Komisyon Tarifeleri'!U274,'Komisyon Tarifeleri'!P274))</f>
        <v/>
      </c>
      <c r="I274" s="10">
        <f>IF(OR(G274="",$D274=""),"",G274*(1-H274/100)-$D274-IF(G274&lt;=199.99,Kargo!$E$2,IF(G274&lt;=399.99,Kargo!$E$3,$F274)))</f>
        <v/>
      </c>
      <c r="J274" s="12">
        <f>IF(I274="","",I274/G274)</f>
        <v/>
      </c>
      <c r="K274" s="10">
        <f>IF($B274="","",IF('Komisyon Tarifeleri'!J274="","",'Komisyon Tarifeleri'!J274))</f>
        <v/>
      </c>
      <c r="L274" s="11">
        <f>IF(K274="","",IF($AM$1=2,'Komisyon Tarifeleri'!V274,'Komisyon Tarifeleri'!Q274))</f>
        <v/>
      </c>
      <c r="M274" s="10">
        <f>IF(OR(K274="",$D274=""),"",K274*(1-L274/100)-$D274-IF(K274&lt;=199.99,Kargo!$E$2,IF(K274&lt;=399.99,Kargo!$E$3,$F274)))</f>
        <v/>
      </c>
      <c r="N274" s="12">
        <f>IF(M274="","",M274/K274)</f>
        <v/>
      </c>
      <c r="O274" s="10">
        <f>IF($B274="","",IF('Komisyon Tarifeleri'!L274="","",'Komisyon Tarifeleri'!L274))</f>
        <v/>
      </c>
      <c r="P274" s="11">
        <f>IF(O274="","",IF($AM$1=2,'Komisyon Tarifeleri'!W274,'Komisyon Tarifeleri'!R274))</f>
        <v/>
      </c>
      <c r="Q274" s="10">
        <f>IF(OR(O274="",$D274=""),"",O274*(1-P274/100)-$D274-IF(O274&lt;=199.99,Kargo!$E$2,IF(O274&lt;=399.99,Kargo!$E$3,$F274)))</f>
        <v/>
      </c>
      <c r="R274" s="12">
        <f>IF(Q274="","",Q274/O274)</f>
        <v/>
      </c>
      <c r="S274" s="10">
        <f>IF($B274="","",IF('Komisyon Tarifeleri'!N274="","",'Komisyon Tarifeleri'!N274))</f>
        <v/>
      </c>
      <c r="T274" s="11">
        <f>IF(S274="","",IF($AM$1=2,'Komisyon Tarifeleri'!X274,'Komisyon Tarifeleri'!S274))</f>
        <v/>
      </c>
      <c r="U274" s="10">
        <f>IF(OR(S274="",$D274=""),"",S274*(1-T274/100)-$D274-IF(S274&lt;=199.99,Kargo!$E$2,IF(S274&lt;=399.99,Kargo!$E$3,$F274)))</f>
        <v/>
      </c>
      <c r="V274" s="12">
        <f>IF(U274="","",U274/S274)</f>
        <v/>
      </c>
      <c r="W274" s="12">
        <f>IF($B274="","",IFERROR(VLOOKUP($C274,Hedefler!$A:$C,2,FALSE),0.04))</f>
        <v/>
      </c>
      <c r="X274" s="12">
        <f>IF($B274="","",IFERROR(VLOOKUP($C274,Hedefler!$A:$C,3,FALSE),0.1))</f>
        <v/>
      </c>
      <c r="Y274" s="13">
        <f>IF($B274="","",IFERROR(VLOOKUP($B274,Maliyetler!$A:$E,5,FALSE),""))</f>
        <v/>
      </c>
      <c r="Z274" s="13">
        <f>IF(OR(Y274="",Y274=0),"",Y274-1)</f>
        <v/>
      </c>
      <c r="AA274" s="14">
        <f>IF(Z274="","",IF(Z274&gt;='Komisyon Tarifeleri'!I274,IF($AM$1=2,'Komisyon Tarifeleri'!U274,'Komisyon Tarifeleri'!P274),IF(Z274&gt;='Komisyon Tarifeleri'!K274,IF($AM$1=2,'Komisyon Tarifeleri'!V274,'Komisyon Tarifeleri'!Q274),IF(Z274&gt;='Komisyon Tarifeleri'!M274,IF($AM$1=2,'Komisyon Tarifeleri'!W274,'Komisyon Tarifeleri'!R274),IF($AM$1=2,'Komisyon Tarifeleri'!X274,'Komisyon Tarifeleri'!S274)))))</f>
        <v/>
      </c>
      <c r="AB274" s="13">
        <f>IF(OR(AA274="",$D274=""),"",Z274*(1-AA274/100)-$D274-IF(Z274&lt;=199.99,Kargo!$E$2,IF(Z274&lt;=399.99,Kargo!$E$3,$F274)))</f>
        <v/>
      </c>
      <c r="AC274" s="15">
        <f>IF(AB274="","",AB274/Z274)</f>
        <v/>
      </c>
      <c r="AD274" s="10">
        <f>IF(OR($D274="",$B274=""),"",IF(AND((1-T274/100-W274)&gt;0,CEILING(($D274+$F274)/(1-T274/100-W274),1)&lt;='Komisyon Tarifeleri'!N274),CEILING(($D274+$F274)/(1-T274/100-W274),1),IF(AND((1-P274/100-W274)&gt;0,CEILING(MAX('Komisyon Tarifeleri'!M274,($D274+$F274)/(1-P274/100-W274)),1)&lt;='Komisyon Tarifeleri'!L274),CEILING(MAX('Komisyon Tarifeleri'!M274,($D274+$F274)/(1-P274/100-W274)),1),IF(AND((1-L274/100-W274)&gt;0,CEILING(MAX('Komisyon Tarifeleri'!K274,($D274+$F274)/(1-L274/100-W274)),1)&lt;='Komisyon Tarifeleri'!J274),CEILING(MAX('Komisyon Tarifeleri'!K274,($D274+$F274)/(1-L274/100-W274)),1),IF((1-H274/100-W274)&gt;0,CEILING(MAX('Komisyon Tarifeleri'!I274,($D274+$F274)/(1-H274/100-W274)),1),"İMKÂNSIZ")))))</f>
        <v/>
      </c>
      <c r="AE274" s="10">
        <f>IF(OR($D274="",$B274=""),"",IF(AND((1-T274/100-X274)&gt;0,CEILING(($D274+$F274)/(1-T274/100-X274),1)&lt;='Komisyon Tarifeleri'!N274),CEILING(($D274+$F274)/(1-T274/100-X274),1),IF(AND((1-P274/100-X274)&gt;0,CEILING(MAX('Komisyon Tarifeleri'!M274,($D274+$F274)/(1-P274/100-X274)),1)&lt;='Komisyon Tarifeleri'!L274),CEILING(MAX('Komisyon Tarifeleri'!M274,($D274+$F274)/(1-P274/100-X274)),1),IF(AND((1-L274/100-X274)&gt;0,CEILING(MAX('Komisyon Tarifeleri'!K274,($D274+$F274)/(1-L274/100-X274)),1)&lt;='Komisyon Tarifeleri'!J274),CEILING(MAX('Komisyon Tarifeleri'!K274,($D274+$F274)/(1-L274/100-X274)),1),IF((1-H274/100-X274)&gt;0,CEILING(MAX('Komisyon Tarifeleri'!I274,($D274+$F274)/(1-H274/100-X274)),1),"İMKÂNSIZ")))))</f>
        <v/>
      </c>
      <c r="AF274" s="16">
        <f>IF($D274="","",IF(AND(Y274&lt;&gt;"",AC274&lt;&gt;"",AC274&gt;=W274),Z274,IF(Y274&lt;&gt;"",AD274,AE274)))</f>
        <v/>
      </c>
      <c r="AG274" s="16">
        <f>IF(OR(AF274="",AF274="İMKÂNSIZ"),"",AF274*(1-IF(AF274&gt;='Komisyon Tarifeleri'!I274,IF($AM$1=2,'Komisyon Tarifeleri'!U274,'Komisyon Tarifeleri'!P274),IF(AF274&gt;='Komisyon Tarifeleri'!K274,IF($AM$1=2,'Komisyon Tarifeleri'!V274,'Komisyon Tarifeleri'!Q274),IF(AF274&gt;='Komisyon Tarifeleri'!M274,IF($AM$1=2,'Komisyon Tarifeleri'!W274,'Komisyon Tarifeleri'!R274),IF($AM$1=2,'Komisyon Tarifeleri'!X274,'Komisyon Tarifeleri'!S274))))/100)-$D274-IF(AF274&lt;=199.99,Kargo!$E$2,IF(AF274&lt;=399.99,Kargo!$E$3,$F274)))</f>
        <v/>
      </c>
      <c r="AH274" s="17">
        <f>IF(AG274="","",AG274/AF274)</f>
        <v/>
      </c>
      <c r="AI274" s="18">
        <f>IF($D274="","",IF(Y274="","BUYBOX YOK → hedef kârla min fiyat",IF(AC274&gt;=W274,"✓ BUYBOX ALTINA GİR","BUYBOX ALTI KÂRSIZ → min kârlı fiyat")))</f>
        <v/>
      </c>
      <c r="AJ274" s="10">
        <f>IF($B274="","",IFERROR(VLOOKUP($B274,Maliyetler!$A:$G,6,FALSE),""))</f>
        <v/>
      </c>
      <c r="AK274">
        <f>IF($B274="","",IFERROR(VLOOKUP($B274,Maliyetler!$A:$G,7,FALSE),""))</f>
        <v/>
      </c>
      <c r="AO274" s="21">
        <f>IF($B274="","",IFERROR(VLOOKUP($B274&amp;"",'Plus Tarifeleri'!$C:$Q,11,FALSE),""))</f>
        <v/>
      </c>
      <c r="AP274" s="22">
        <f>IF(AO274="","",IFERROR(IF($AM$1=2,VLOOKUP($B274&amp;"",'Plus Tarifeleri'!$C:$Q,15,FALSE),VLOOKUP($B274&amp;"",'Plus Tarifeleri'!$C:$Q,13,FALSE)),""))</f>
        <v/>
      </c>
      <c r="AQ274" s="21">
        <f>IF(OR(AO274="",AP274="",$D274=""),"",AO274*(1-AP274/100)-$D274-IF(AO274&lt;=199.99,Kargo!$E$2,IF(AO274&lt;=399.99,Kargo!$E$3,$F274)))</f>
        <v/>
      </c>
      <c r="AR274" s="23">
        <f>IF(AQ274="","",AQ274/AO274)</f>
        <v/>
      </c>
      <c r="AS274" s="24">
        <f>IF(OR(AQ274="",AG274=""),"",AQ274-AG274)</f>
        <v/>
      </c>
    </row>
    <row r="275">
      <c r="A275">
        <f>IF('Komisyon Tarifeleri'!A275="","",'Komisyon Tarifeleri'!A275)</f>
        <v/>
      </c>
      <c r="B275">
        <f>IF('Komisyon Tarifeleri'!B275="","",'Komisyon Tarifeleri'!B275&amp;"")</f>
        <v/>
      </c>
      <c r="C275">
        <f>IF($B275="","",'Komisyon Tarifeleri'!F275)</f>
        <v/>
      </c>
      <c r="D275" s="10">
        <f>IF($B275="","",IFERROR(VLOOKUP($B275,Maliyetler!$A:$E,3,FALSE),""))</f>
        <v/>
      </c>
      <c r="E275">
        <f>IF($B275="","",IFERROR(VLOOKUP($B275,Maliyetler!$A:$E,4,FALSE),1))</f>
        <v/>
      </c>
      <c r="F275" s="10">
        <f>IF($B275="","",IFERROR(VLOOKUP(MIN(20,MAX(1,ROUND($E275,0))),Kargo!$A:$B,2,FALSE),99.46))</f>
        <v/>
      </c>
      <c r="G275" s="10">
        <f>IF($B275="","",IF(IF(N('Komisyon Tarifeleri'!AA275)&gt;='Komisyon Tarifeleri'!I275,'Komisyon Tarifeleri'!AA275,'Komisyon Tarifeleri'!I275)="","",IF(N('Komisyon Tarifeleri'!AA275)&gt;='Komisyon Tarifeleri'!I275,'Komisyon Tarifeleri'!AA275,'Komisyon Tarifeleri'!I275)))</f>
        <v/>
      </c>
      <c r="H275" s="11">
        <f>IF(G275="","",IF($AM$1=2,'Komisyon Tarifeleri'!U275,'Komisyon Tarifeleri'!P275))</f>
        <v/>
      </c>
      <c r="I275" s="10">
        <f>IF(OR(G275="",$D275=""),"",G275*(1-H275/100)-$D275-IF(G275&lt;=199.99,Kargo!$E$2,IF(G275&lt;=399.99,Kargo!$E$3,$F275)))</f>
        <v/>
      </c>
      <c r="J275" s="12">
        <f>IF(I275="","",I275/G275)</f>
        <v/>
      </c>
      <c r="K275" s="10">
        <f>IF($B275="","",IF('Komisyon Tarifeleri'!J275="","",'Komisyon Tarifeleri'!J275))</f>
        <v/>
      </c>
      <c r="L275" s="11">
        <f>IF(K275="","",IF($AM$1=2,'Komisyon Tarifeleri'!V275,'Komisyon Tarifeleri'!Q275))</f>
        <v/>
      </c>
      <c r="M275" s="10">
        <f>IF(OR(K275="",$D275=""),"",K275*(1-L275/100)-$D275-IF(K275&lt;=199.99,Kargo!$E$2,IF(K275&lt;=399.99,Kargo!$E$3,$F275)))</f>
        <v/>
      </c>
      <c r="N275" s="12">
        <f>IF(M275="","",M275/K275)</f>
        <v/>
      </c>
      <c r="O275" s="10">
        <f>IF($B275="","",IF('Komisyon Tarifeleri'!L275="","",'Komisyon Tarifeleri'!L275))</f>
        <v/>
      </c>
      <c r="P275" s="11">
        <f>IF(O275="","",IF($AM$1=2,'Komisyon Tarifeleri'!W275,'Komisyon Tarifeleri'!R275))</f>
        <v/>
      </c>
      <c r="Q275" s="10">
        <f>IF(OR(O275="",$D275=""),"",O275*(1-P275/100)-$D275-IF(O275&lt;=199.99,Kargo!$E$2,IF(O275&lt;=399.99,Kargo!$E$3,$F275)))</f>
        <v/>
      </c>
      <c r="R275" s="12">
        <f>IF(Q275="","",Q275/O275)</f>
        <v/>
      </c>
      <c r="S275" s="10">
        <f>IF($B275="","",IF('Komisyon Tarifeleri'!N275="","",'Komisyon Tarifeleri'!N275))</f>
        <v/>
      </c>
      <c r="T275" s="11">
        <f>IF(S275="","",IF($AM$1=2,'Komisyon Tarifeleri'!X275,'Komisyon Tarifeleri'!S275))</f>
        <v/>
      </c>
      <c r="U275" s="10">
        <f>IF(OR(S275="",$D275=""),"",S275*(1-T275/100)-$D275-IF(S275&lt;=199.99,Kargo!$E$2,IF(S275&lt;=399.99,Kargo!$E$3,$F275)))</f>
        <v/>
      </c>
      <c r="V275" s="12">
        <f>IF(U275="","",U275/S275)</f>
        <v/>
      </c>
      <c r="W275" s="12">
        <f>IF($B275="","",IFERROR(VLOOKUP($C275,Hedefler!$A:$C,2,FALSE),0.04))</f>
        <v/>
      </c>
      <c r="X275" s="12">
        <f>IF($B275="","",IFERROR(VLOOKUP($C275,Hedefler!$A:$C,3,FALSE),0.1))</f>
        <v/>
      </c>
      <c r="Y275" s="13">
        <f>IF($B275="","",IFERROR(VLOOKUP($B275,Maliyetler!$A:$E,5,FALSE),""))</f>
        <v/>
      </c>
      <c r="Z275" s="13">
        <f>IF(OR(Y275="",Y275=0),"",Y275-1)</f>
        <v/>
      </c>
      <c r="AA275" s="14">
        <f>IF(Z275="","",IF(Z275&gt;='Komisyon Tarifeleri'!I275,IF($AM$1=2,'Komisyon Tarifeleri'!U275,'Komisyon Tarifeleri'!P275),IF(Z275&gt;='Komisyon Tarifeleri'!K275,IF($AM$1=2,'Komisyon Tarifeleri'!V275,'Komisyon Tarifeleri'!Q275),IF(Z275&gt;='Komisyon Tarifeleri'!M275,IF($AM$1=2,'Komisyon Tarifeleri'!W275,'Komisyon Tarifeleri'!R275),IF($AM$1=2,'Komisyon Tarifeleri'!X275,'Komisyon Tarifeleri'!S275)))))</f>
        <v/>
      </c>
      <c r="AB275" s="13">
        <f>IF(OR(AA275="",$D275=""),"",Z275*(1-AA275/100)-$D275-IF(Z275&lt;=199.99,Kargo!$E$2,IF(Z275&lt;=399.99,Kargo!$E$3,$F275)))</f>
        <v/>
      </c>
      <c r="AC275" s="15">
        <f>IF(AB275="","",AB275/Z275)</f>
        <v/>
      </c>
      <c r="AD275" s="10">
        <f>IF(OR($D275="",$B275=""),"",IF(AND((1-T275/100-W275)&gt;0,CEILING(($D275+$F275)/(1-T275/100-W275),1)&lt;='Komisyon Tarifeleri'!N275),CEILING(($D275+$F275)/(1-T275/100-W275),1),IF(AND((1-P275/100-W275)&gt;0,CEILING(MAX('Komisyon Tarifeleri'!M275,($D275+$F275)/(1-P275/100-W275)),1)&lt;='Komisyon Tarifeleri'!L275),CEILING(MAX('Komisyon Tarifeleri'!M275,($D275+$F275)/(1-P275/100-W275)),1),IF(AND((1-L275/100-W275)&gt;0,CEILING(MAX('Komisyon Tarifeleri'!K275,($D275+$F275)/(1-L275/100-W275)),1)&lt;='Komisyon Tarifeleri'!J275),CEILING(MAX('Komisyon Tarifeleri'!K275,($D275+$F275)/(1-L275/100-W275)),1),IF((1-H275/100-W275)&gt;0,CEILING(MAX('Komisyon Tarifeleri'!I275,($D275+$F275)/(1-H275/100-W275)),1),"İMKÂNSIZ")))))</f>
        <v/>
      </c>
      <c r="AE275" s="10">
        <f>IF(OR($D275="",$B275=""),"",IF(AND((1-T275/100-X275)&gt;0,CEILING(($D275+$F275)/(1-T275/100-X275),1)&lt;='Komisyon Tarifeleri'!N275),CEILING(($D275+$F275)/(1-T275/100-X275),1),IF(AND((1-P275/100-X275)&gt;0,CEILING(MAX('Komisyon Tarifeleri'!M275,($D275+$F275)/(1-P275/100-X275)),1)&lt;='Komisyon Tarifeleri'!L275),CEILING(MAX('Komisyon Tarifeleri'!M275,($D275+$F275)/(1-P275/100-X275)),1),IF(AND((1-L275/100-X275)&gt;0,CEILING(MAX('Komisyon Tarifeleri'!K275,($D275+$F275)/(1-L275/100-X275)),1)&lt;='Komisyon Tarifeleri'!J275),CEILING(MAX('Komisyon Tarifeleri'!K275,($D275+$F275)/(1-L275/100-X275)),1),IF((1-H275/100-X275)&gt;0,CEILING(MAX('Komisyon Tarifeleri'!I275,($D275+$F275)/(1-H275/100-X275)),1),"İMKÂNSIZ")))))</f>
        <v/>
      </c>
      <c r="AF275" s="16">
        <f>IF($D275="","",IF(AND(Y275&lt;&gt;"",AC275&lt;&gt;"",AC275&gt;=W275),Z275,IF(Y275&lt;&gt;"",AD275,AE275)))</f>
        <v/>
      </c>
      <c r="AG275" s="16">
        <f>IF(OR(AF275="",AF275="İMKÂNSIZ"),"",AF275*(1-IF(AF275&gt;='Komisyon Tarifeleri'!I275,IF($AM$1=2,'Komisyon Tarifeleri'!U275,'Komisyon Tarifeleri'!P275),IF(AF275&gt;='Komisyon Tarifeleri'!K275,IF($AM$1=2,'Komisyon Tarifeleri'!V275,'Komisyon Tarifeleri'!Q275),IF(AF275&gt;='Komisyon Tarifeleri'!M275,IF($AM$1=2,'Komisyon Tarifeleri'!W275,'Komisyon Tarifeleri'!R275),IF($AM$1=2,'Komisyon Tarifeleri'!X275,'Komisyon Tarifeleri'!S275))))/100)-$D275-IF(AF275&lt;=199.99,Kargo!$E$2,IF(AF275&lt;=399.99,Kargo!$E$3,$F275)))</f>
        <v/>
      </c>
      <c r="AH275" s="17">
        <f>IF(AG275="","",AG275/AF275)</f>
        <v/>
      </c>
      <c r="AI275" s="18">
        <f>IF($D275="","",IF(Y275="","BUYBOX YOK → hedef kârla min fiyat",IF(AC275&gt;=W275,"✓ BUYBOX ALTINA GİR","BUYBOX ALTI KÂRSIZ → min kârlı fiyat")))</f>
        <v/>
      </c>
      <c r="AJ275" s="10">
        <f>IF($B275="","",IFERROR(VLOOKUP($B275,Maliyetler!$A:$G,6,FALSE),""))</f>
        <v/>
      </c>
      <c r="AK275">
        <f>IF($B275="","",IFERROR(VLOOKUP($B275,Maliyetler!$A:$G,7,FALSE),""))</f>
        <v/>
      </c>
      <c r="AO275" s="21">
        <f>IF($B275="","",IFERROR(VLOOKUP($B275&amp;"",'Plus Tarifeleri'!$C:$Q,11,FALSE),""))</f>
        <v/>
      </c>
      <c r="AP275" s="22">
        <f>IF(AO275="","",IFERROR(IF($AM$1=2,VLOOKUP($B275&amp;"",'Plus Tarifeleri'!$C:$Q,15,FALSE),VLOOKUP($B275&amp;"",'Plus Tarifeleri'!$C:$Q,13,FALSE)),""))</f>
        <v/>
      </c>
      <c r="AQ275" s="21">
        <f>IF(OR(AO275="",AP275="",$D275=""),"",AO275*(1-AP275/100)-$D275-IF(AO275&lt;=199.99,Kargo!$E$2,IF(AO275&lt;=399.99,Kargo!$E$3,$F275)))</f>
        <v/>
      </c>
      <c r="AR275" s="23">
        <f>IF(AQ275="","",AQ275/AO275)</f>
        <v/>
      </c>
      <c r="AS275" s="24">
        <f>IF(OR(AQ275="",AG275=""),"",AQ275-AG275)</f>
        <v/>
      </c>
    </row>
    <row r="276">
      <c r="A276">
        <f>IF('Komisyon Tarifeleri'!A276="","",'Komisyon Tarifeleri'!A276)</f>
        <v/>
      </c>
      <c r="B276">
        <f>IF('Komisyon Tarifeleri'!B276="","",'Komisyon Tarifeleri'!B276&amp;"")</f>
        <v/>
      </c>
      <c r="C276">
        <f>IF($B276="","",'Komisyon Tarifeleri'!F276)</f>
        <v/>
      </c>
      <c r="D276" s="10">
        <f>IF($B276="","",IFERROR(VLOOKUP($B276,Maliyetler!$A:$E,3,FALSE),""))</f>
        <v/>
      </c>
      <c r="E276">
        <f>IF($B276="","",IFERROR(VLOOKUP($B276,Maliyetler!$A:$E,4,FALSE),1))</f>
        <v/>
      </c>
      <c r="F276" s="10">
        <f>IF($B276="","",IFERROR(VLOOKUP(MIN(20,MAX(1,ROUND($E276,0))),Kargo!$A:$B,2,FALSE),99.46))</f>
        <v/>
      </c>
      <c r="G276" s="10">
        <f>IF($B276="","",IF(IF(N('Komisyon Tarifeleri'!AA276)&gt;='Komisyon Tarifeleri'!I276,'Komisyon Tarifeleri'!AA276,'Komisyon Tarifeleri'!I276)="","",IF(N('Komisyon Tarifeleri'!AA276)&gt;='Komisyon Tarifeleri'!I276,'Komisyon Tarifeleri'!AA276,'Komisyon Tarifeleri'!I276)))</f>
        <v/>
      </c>
      <c r="H276" s="11">
        <f>IF(G276="","",IF($AM$1=2,'Komisyon Tarifeleri'!U276,'Komisyon Tarifeleri'!P276))</f>
        <v/>
      </c>
      <c r="I276" s="10">
        <f>IF(OR(G276="",$D276=""),"",G276*(1-H276/100)-$D276-IF(G276&lt;=199.99,Kargo!$E$2,IF(G276&lt;=399.99,Kargo!$E$3,$F276)))</f>
        <v/>
      </c>
      <c r="J276" s="12">
        <f>IF(I276="","",I276/G276)</f>
        <v/>
      </c>
      <c r="K276" s="10">
        <f>IF($B276="","",IF('Komisyon Tarifeleri'!J276="","",'Komisyon Tarifeleri'!J276))</f>
        <v/>
      </c>
      <c r="L276" s="11">
        <f>IF(K276="","",IF($AM$1=2,'Komisyon Tarifeleri'!V276,'Komisyon Tarifeleri'!Q276))</f>
        <v/>
      </c>
      <c r="M276" s="10">
        <f>IF(OR(K276="",$D276=""),"",K276*(1-L276/100)-$D276-IF(K276&lt;=199.99,Kargo!$E$2,IF(K276&lt;=399.99,Kargo!$E$3,$F276)))</f>
        <v/>
      </c>
      <c r="N276" s="12">
        <f>IF(M276="","",M276/K276)</f>
        <v/>
      </c>
      <c r="O276" s="10">
        <f>IF($B276="","",IF('Komisyon Tarifeleri'!L276="","",'Komisyon Tarifeleri'!L276))</f>
        <v/>
      </c>
      <c r="P276" s="11">
        <f>IF(O276="","",IF($AM$1=2,'Komisyon Tarifeleri'!W276,'Komisyon Tarifeleri'!R276))</f>
        <v/>
      </c>
      <c r="Q276" s="10">
        <f>IF(OR(O276="",$D276=""),"",O276*(1-P276/100)-$D276-IF(O276&lt;=199.99,Kargo!$E$2,IF(O276&lt;=399.99,Kargo!$E$3,$F276)))</f>
        <v/>
      </c>
      <c r="R276" s="12">
        <f>IF(Q276="","",Q276/O276)</f>
        <v/>
      </c>
      <c r="S276" s="10">
        <f>IF($B276="","",IF('Komisyon Tarifeleri'!N276="","",'Komisyon Tarifeleri'!N276))</f>
        <v/>
      </c>
      <c r="T276" s="11">
        <f>IF(S276="","",IF($AM$1=2,'Komisyon Tarifeleri'!X276,'Komisyon Tarifeleri'!S276))</f>
        <v/>
      </c>
      <c r="U276" s="10">
        <f>IF(OR(S276="",$D276=""),"",S276*(1-T276/100)-$D276-IF(S276&lt;=199.99,Kargo!$E$2,IF(S276&lt;=399.99,Kargo!$E$3,$F276)))</f>
        <v/>
      </c>
      <c r="V276" s="12">
        <f>IF(U276="","",U276/S276)</f>
        <v/>
      </c>
      <c r="W276" s="12">
        <f>IF($B276="","",IFERROR(VLOOKUP($C276,Hedefler!$A:$C,2,FALSE),0.04))</f>
        <v/>
      </c>
      <c r="X276" s="12">
        <f>IF($B276="","",IFERROR(VLOOKUP($C276,Hedefler!$A:$C,3,FALSE),0.1))</f>
        <v/>
      </c>
      <c r="Y276" s="13">
        <f>IF($B276="","",IFERROR(VLOOKUP($B276,Maliyetler!$A:$E,5,FALSE),""))</f>
        <v/>
      </c>
      <c r="Z276" s="13">
        <f>IF(OR(Y276="",Y276=0),"",Y276-1)</f>
        <v/>
      </c>
      <c r="AA276" s="14">
        <f>IF(Z276="","",IF(Z276&gt;='Komisyon Tarifeleri'!I276,IF($AM$1=2,'Komisyon Tarifeleri'!U276,'Komisyon Tarifeleri'!P276),IF(Z276&gt;='Komisyon Tarifeleri'!K276,IF($AM$1=2,'Komisyon Tarifeleri'!V276,'Komisyon Tarifeleri'!Q276),IF(Z276&gt;='Komisyon Tarifeleri'!M276,IF($AM$1=2,'Komisyon Tarifeleri'!W276,'Komisyon Tarifeleri'!R276),IF($AM$1=2,'Komisyon Tarifeleri'!X276,'Komisyon Tarifeleri'!S276)))))</f>
        <v/>
      </c>
      <c r="AB276" s="13">
        <f>IF(OR(AA276="",$D276=""),"",Z276*(1-AA276/100)-$D276-IF(Z276&lt;=199.99,Kargo!$E$2,IF(Z276&lt;=399.99,Kargo!$E$3,$F276)))</f>
        <v/>
      </c>
      <c r="AC276" s="15">
        <f>IF(AB276="","",AB276/Z276)</f>
        <v/>
      </c>
      <c r="AD276" s="10">
        <f>IF(OR($D276="",$B276=""),"",IF(AND((1-T276/100-W276)&gt;0,CEILING(($D276+$F276)/(1-T276/100-W276),1)&lt;='Komisyon Tarifeleri'!N276),CEILING(($D276+$F276)/(1-T276/100-W276),1),IF(AND((1-P276/100-W276)&gt;0,CEILING(MAX('Komisyon Tarifeleri'!M276,($D276+$F276)/(1-P276/100-W276)),1)&lt;='Komisyon Tarifeleri'!L276),CEILING(MAX('Komisyon Tarifeleri'!M276,($D276+$F276)/(1-P276/100-W276)),1),IF(AND((1-L276/100-W276)&gt;0,CEILING(MAX('Komisyon Tarifeleri'!K276,($D276+$F276)/(1-L276/100-W276)),1)&lt;='Komisyon Tarifeleri'!J276),CEILING(MAX('Komisyon Tarifeleri'!K276,($D276+$F276)/(1-L276/100-W276)),1),IF((1-H276/100-W276)&gt;0,CEILING(MAX('Komisyon Tarifeleri'!I276,($D276+$F276)/(1-H276/100-W276)),1),"İMKÂNSIZ")))))</f>
        <v/>
      </c>
      <c r="AE276" s="10">
        <f>IF(OR($D276="",$B276=""),"",IF(AND((1-T276/100-X276)&gt;0,CEILING(($D276+$F276)/(1-T276/100-X276),1)&lt;='Komisyon Tarifeleri'!N276),CEILING(($D276+$F276)/(1-T276/100-X276),1),IF(AND((1-P276/100-X276)&gt;0,CEILING(MAX('Komisyon Tarifeleri'!M276,($D276+$F276)/(1-P276/100-X276)),1)&lt;='Komisyon Tarifeleri'!L276),CEILING(MAX('Komisyon Tarifeleri'!M276,($D276+$F276)/(1-P276/100-X276)),1),IF(AND((1-L276/100-X276)&gt;0,CEILING(MAX('Komisyon Tarifeleri'!K276,($D276+$F276)/(1-L276/100-X276)),1)&lt;='Komisyon Tarifeleri'!J276),CEILING(MAX('Komisyon Tarifeleri'!K276,($D276+$F276)/(1-L276/100-X276)),1),IF((1-H276/100-X276)&gt;0,CEILING(MAX('Komisyon Tarifeleri'!I276,($D276+$F276)/(1-H276/100-X276)),1),"İMKÂNSIZ")))))</f>
        <v/>
      </c>
      <c r="AF276" s="16">
        <f>IF($D276="","",IF(AND(Y276&lt;&gt;"",AC276&lt;&gt;"",AC276&gt;=W276),Z276,IF(Y276&lt;&gt;"",AD276,AE276)))</f>
        <v/>
      </c>
      <c r="AG276" s="16">
        <f>IF(OR(AF276="",AF276="İMKÂNSIZ"),"",AF276*(1-IF(AF276&gt;='Komisyon Tarifeleri'!I276,IF($AM$1=2,'Komisyon Tarifeleri'!U276,'Komisyon Tarifeleri'!P276),IF(AF276&gt;='Komisyon Tarifeleri'!K276,IF($AM$1=2,'Komisyon Tarifeleri'!V276,'Komisyon Tarifeleri'!Q276),IF(AF276&gt;='Komisyon Tarifeleri'!M276,IF($AM$1=2,'Komisyon Tarifeleri'!W276,'Komisyon Tarifeleri'!R276),IF($AM$1=2,'Komisyon Tarifeleri'!X276,'Komisyon Tarifeleri'!S276))))/100)-$D276-IF(AF276&lt;=199.99,Kargo!$E$2,IF(AF276&lt;=399.99,Kargo!$E$3,$F276)))</f>
        <v/>
      </c>
      <c r="AH276" s="17">
        <f>IF(AG276="","",AG276/AF276)</f>
        <v/>
      </c>
      <c r="AI276" s="18">
        <f>IF($D276="","",IF(Y276="","BUYBOX YOK → hedef kârla min fiyat",IF(AC276&gt;=W276,"✓ BUYBOX ALTINA GİR","BUYBOX ALTI KÂRSIZ → min kârlı fiyat")))</f>
        <v/>
      </c>
      <c r="AJ276" s="10">
        <f>IF($B276="","",IFERROR(VLOOKUP($B276,Maliyetler!$A:$G,6,FALSE),""))</f>
        <v/>
      </c>
      <c r="AK276">
        <f>IF($B276="","",IFERROR(VLOOKUP($B276,Maliyetler!$A:$G,7,FALSE),""))</f>
        <v/>
      </c>
      <c r="AO276" s="21">
        <f>IF($B276="","",IFERROR(VLOOKUP($B276&amp;"",'Plus Tarifeleri'!$C:$Q,11,FALSE),""))</f>
        <v/>
      </c>
      <c r="AP276" s="22">
        <f>IF(AO276="","",IFERROR(IF($AM$1=2,VLOOKUP($B276&amp;"",'Plus Tarifeleri'!$C:$Q,15,FALSE),VLOOKUP($B276&amp;"",'Plus Tarifeleri'!$C:$Q,13,FALSE)),""))</f>
        <v/>
      </c>
      <c r="AQ276" s="21">
        <f>IF(OR(AO276="",AP276="",$D276=""),"",AO276*(1-AP276/100)-$D276-IF(AO276&lt;=199.99,Kargo!$E$2,IF(AO276&lt;=399.99,Kargo!$E$3,$F276)))</f>
        <v/>
      </c>
      <c r="AR276" s="23">
        <f>IF(AQ276="","",AQ276/AO276)</f>
        <v/>
      </c>
      <c r="AS276" s="24">
        <f>IF(OR(AQ276="",AG276=""),"",AQ276-AG276)</f>
        <v/>
      </c>
    </row>
    <row r="277">
      <c r="A277">
        <f>IF('Komisyon Tarifeleri'!A277="","",'Komisyon Tarifeleri'!A277)</f>
        <v/>
      </c>
      <c r="B277">
        <f>IF('Komisyon Tarifeleri'!B277="","",'Komisyon Tarifeleri'!B277&amp;"")</f>
        <v/>
      </c>
      <c r="C277">
        <f>IF($B277="","",'Komisyon Tarifeleri'!F277)</f>
        <v/>
      </c>
      <c r="D277" s="10">
        <f>IF($B277="","",IFERROR(VLOOKUP($B277,Maliyetler!$A:$E,3,FALSE),""))</f>
        <v/>
      </c>
      <c r="E277">
        <f>IF($B277="","",IFERROR(VLOOKUP($B277,Maliyetler!$A:$E,4,FALSE),1))</f>
        <v/>
      </c>
      <c r="F277" s="10">
        <f>IF($B277="","",IFERROR(VLOOKUP(MIN(20,MAX(1,ROUND($E277,0))),Kargo!$A:$B,2,FALSE),99.46))</f>
        <v/>
      </c>
      <c r="G277" s="10">
        <f>IF($B277="","",IF(IF(N('Komisyon Tarifeleri'!AA277)&gt;='Komisyon Tarifeleri'!I277,'Komisyon Tarifeleri'!AA277,'Komisyon Tarifeleri'!I277)="","",IF(N('Komisyon Tarifeleri'!AA277)&gt;='Komisyon Tarifeleri'!I277,'Komisyon Tarifeleri'!AA277,'Komisyon Tarifeleri'!I277)))</f>
        <v/>
      </c>
      <c r="H277" s="11">
        <f>IF(G277="","",IF($AM$1=2,'Komisyon Tarifeleri'!U277,'Komisyon Tarifeleri'!P277))</f>
        <v/>
      </c>
      <c r="I277" s="10">
        <f>IF(OR(G277="",$D277=""),"",G277*(1-H277/100)-$D277-IF(G277&lt;=199.99,Kargo!$E$2,IF(G277&lt;=399.99,Kargo!$E$3,$F277)))</f>
        <v/>
      </c>
      <c r="J277" s="12">
        <f>IF(I277="","",I277/G277)</f>
        <v/>
      </c>
      <c r="K277" s="10">
        <f>IF($B277="","",IF('Komisyon Tarifeleri'!J277="","",'Komisyon Tarifeleri'!J277))</f>
        <v/>
      </c>
      <c r="L277" s="11">
        <f>IF(K277="","",IF($AM$1=2,'Komisyon Tarifeleri'!V277,'Komisyon Tarifeleri'!Q277))</f>
        <v/>
      </c>
      <c r="M277" s="10">
        <f>IF(OR(K277="",$D277=""),"",K277*(1-L277/100)-$D277-IF(K277&lt;=199.99,Kargo!$E$2,IF(K277&lt;=399.99,Kargo!$E$3,$F277)))</f>
        <v/>
      </c>
      <c r="N277" s="12">
        <f>IF(M277="","",M277/K277)</f>
        <v/>
      </c>
      <c r="O277" s="10">
        <f>IF($B277="","",IF('Komisyon Tarifeleri'!L277="","",'Komisyon Tarifeleri'!L277))</f>
        <v/>
      </c>
      <c r="P277" s="11">
        <f>IF(O277="","",IF($AM$1=2,'Komisyon Tarifeleri'!W277,'Komisyon Tarifeleri'!R277))</f>
        <v/>
      </c>
      <c r="Q277" s="10">
        <f>IF(OR(O277="",$D277=""),"",O277*(1-P277/100)-$D277-IF(O277&lt;=199.99,Kargo!$E$2,IF(O277&lt;=399.99,Kargo!$E$3,$F277)))</f>
        <v/>
      </c>
      <c r="R277" s="12">
        <f>IF(Q277="","",Q277/O277)</f>
        <v/>
      </c>
      <c r="S277" s="10">
        <f>IF($B277="","",IF('Komisyon Tarifeleri'!N277="","",'Komisyon Tarifeleri'!N277))</f>
        <v/>
      </c>
      <c r="T277" s="11">
        <f>IF(S277="","",IF($AM$1=2,'Komisyon Tarifeleri'!X277,'Komisyon Tarifeleri'!S277))</f>
        <v/>
      </c>
      <c r="U277" s="10">
        <f>IF(OR(S277="",$D277=""),"",S277*(1-T277/100)-$D277-IF(S277&lt;=199.99,Kargo!$E$2,IF(S277&lt;=399.99,Kargo!$E$3,$F277)))</f>
        <v/>
      </c>
      <c r="V277" s="12">
        <f>IF(U277="","",U277/S277)</f>
        <v/>
      </c>
      <c r="W277" s="12">
        <f>IF($B277="","",IFERROR(VLOOKUP($C277,Hedefler!$A:$C,2,FALSE),0.04))</f>
        <v/>
      </c>
      <c r="X277" s="12">
        <f>IF($B277="","",IFERROR(VLOOKUP($C277,Hedefler!$A:$C,3,FALSE),0.1))</f>
        <v/>
      </c>
      <c r="Y277" s="13">
        <f>IF($B277="","",IFERROR(VLOOKUP($B277,Maliyetler!$A:$E,5,FALSE),""))</f>
        <v/>
      </c>
      <c r="Z277" s="13">
        <f>IF(OR(Y277="",Y277=0),"",Y277-1)</f>
        <v/>
      </c>
      <c r="AA277" s="14">
        <f>IF(Z277="","",IF(Z277&gt;='Komisyon Tarifeleri'!I277,IF($AM$1=2,'Komisyon Tarifeleri'!U277,'Komisyon Tarifeleri'!P277),IF(Z277&gt;='Komisyon Tarifeleri'!K277,IF($AM$1=2,'Komisyon Tarifeleri'!V277,'Komisyon Tarifeleri'!Q277),IF(Z277&gt;='Komisyon Tarifeleri'!M277,IF($AM$1=2,'Komisyon Tarifeleri'!W277,'Komisyon Tarifeleri'!R277),IF($AM$1=2,'Komisyon Tarifeleri'!X277,'Komisyon Tarifeleri'!S277)))))</f>
        <v/>
      </c>
      <c r="AB277" s="13">
        <f>IF(OR(AA277="",$D277=""),"",Z277*(1-AA277/100)-$D277-IF(Z277&lt;=199.99,Kargo!$E$2,IF(Z277&lt;=399.99,Kargo!$E$3,$F277)))</f>
        <v/>
      </c>
      <c r="AC277" s="15">
        <f>IF(AB277="","",AB277/Z277)</f>
        <v/>
      </c>
      <c r="AD277" s="10">
        <f>IF(OR($D277="",$B277=""),"",IF(AND((1-T277/100-W277)&gt;0,CEILING(($D277+$F277)/(1-T277/100-W277),1)&lt;='Komisyon Tarifeleri'!N277),CEILING(($D277+$F277)/(1-T277/100-W277),1),IF(AND((1-P277/100-W277)&gt;0,CEILING(MAX('Komisyon Tarifeleri'!M277,($D277+$F277)/(1-P277/100-W277)),1)&lt;='Komisyon Tarifeleri'!L277),CEILING(MAX('Komisyon Tarifeleri'!M277,($D277+$F277)/(1-P277/100-W277)),1),IF(AND((1-L277/100-W277)&gt;0,CEILING(MAX('Komisyon Tarifeleri'!K277,($D277+$F277)/(1-L277/100-W277)),1)&lt;='Komisyon Tarifeleri'!J277),CEILING(MAX('Komisyon Tarifeleri'!K277,($D277+$F277)/(1-L277/100-W277)),1),IF((1-H277/100-W277)&gt;0,CEILING(MAX('Komisyon Tarifeleri'!I277,($D277+$F277)/(1-H277/100-W277)),1),"İMKÂNSIZ")))))</f>
        <v/>
      </c>
      <c r="AE277" s="10">
        <f>IF(OR($D277="",$B277=""),"",IF(AND((1-T277/100-X277)&gt;0,CEILING(($D277+$F277)/(1-T277/100-X277),1)&lt;='Komisyon Tarifeleri'!N277),CEILING(($D277+$F277)/(1-T277/100-X277),1),IF(AND((1-P277/100-X277)&gt;0,CEILING(MAX('Komisyon Tarifeleri'!M277,($D277+$F277)/(1-P277/100-X277)),1)&lt;='Komisyon Tarifeleri'!L277),CEILING(MAX('Komisyon Tarifeleri'!M277,($D277+$F277)/(1-P277/100-X277)),1),IF(AND((1-L277/100-X277)&gt;0,CEILING(MAX('Komisyon Tarifeleri'!K277,($D277+$F277)/(1-L277/100-X277)),1)&lt;='Komisyon Tarifeleri'!J277),CEILING(MAX('Komisyon Tarifeleri'!K277,($D277+$F277)/(1-L277/100-X277)),1),IF((1-H277/100-X277)&gt;0,CEILING(MAX('Komisyon Tarifeleri'!I277,($D277+$F277)/(1-H277/100-X277)),1),"İMKÂNSIZ")))))</f>
        <v/>
      </c>
      <c r="AF277" s="16">
        <f>IF($D277="","",IF(AND(Y277&lt;&gt;"",AC277&lt;&gt;"",AC277&gt;=W277),Z277,IF(Y277&lt;&gt;"",AD277,AE277)))</f>
        <v/>
      </c>
      <c r="AG277" s="16">
        <f>IF(OR(AF277="",AF277="İMKÂNSIZ"),"",AF277*(1-IF(AF277&gt;='Komisyon Tarifeleri'!I277,IF($AM$1=2,'Komisyon Tarifeleri'!U277,'Komisyon Tarifeleri'!P277),IF(AF277&gt;='Komisyon Tarifeleri'!K277,IF($AM$1=2,'Komisyon Tarifeleri'!V277,'Komisyon Tarifeleri'!Q277),IF(AF277&gt;='Komisyon Tarifeleri'!M277,IF($AM$1=2,'Komisyon Tarifeleri'!W277,'Komisyon Tarifeleri'!R277),IF($AM$1=2,'Komisyon Tarifeleri'!X277,'Komisyon Tarifeleri'!S277))))/100)-$D277-IF(AF277&lt;=199.99,Kargo!$E$2,IF(AF277&lt;=399.99,Kargo!$E$3,$F277)))</f>
        <v/>
      </c>
      <c r="AH277" s="17">
        <f>IF(AG277="","",AG277/AF277)</f>
        <v/>
      </c>
      <c r="AI277" s="18">
        <f>IF($D277="","",IF(Y277="","BUYBOX YOK → hedef kârla min fiyat",IF(AC277&gt;=W277,"✓ BUYBOX ALTINA GİR","BUYBOX ALTI KÂRSIZ → min kârlı fiyat")))</f>
        <v/>
      </c>
      <c r="AJ277" s="10">
        <f>IF($B277="","",IFERROR(VLOOKUP($B277,Maliyetler!$A:$G,6,FALSE),""))</f>
        <v/>
      </c>
      <c r="AK277">
        <f>IF($B277="","",IFERROR(VLOOKUP($B277,Maliyetler!$A:$G,7,FALSE),""))</f>
        <v/>
      </c>
      <c r="AO277" s="21">
        <f>IF($B277="","",IFERROR(VLOOKUP($B277&amp;"",'Plus Tarifeleri'!$C:$Q,11,FALSE),""))</f>
        <v/>
      </c>
      <c r="AP277" s="22">
        <f>IF(AO277="","",IFERROR(IF($AM$1=2,VLOOKUP($B277&amp;"",'Plus Tarifeleri'!$C:$Q,15,FALSE),VLOOKUP($B277&amp;"",'Plus Tarifeleri'!$C:$Q,13,FALSE)),""))</f>
        <v/>
      </c>
      <c r="AQ277" s="21">
        <f>IF(OR(AO277="",AP277="",$D277=""),"",AO277*(1-AP277/100)-$D277-IF(AO277&lt;=199.99,Kargo!$E$2,IF(AO277&lt;=399.99,Kargo!$E$3,$F277)))</f>
        <v/>
      </c>
      <c r="AR277" s="23">
        <f>IF(AQ277="","",AQ277/AO277)</f>
        <v/>
      </c>
      <c r="AS277" s="24">
        <f>IF(OR(AQ277="",AG277=""),"",AQ277-AG277)</f>
        <v/>
      </c>
    </row>
    <row r="278">
      <c r="A278">
        <f>IF('Komisyon Tarifeleri'!A278="","",'Komisyon Tarifeleri'!A278)</f>
        <v/>
      </c>
      <c r="B278">
        <f>IF('Komisyon Tarifeleri'!B278="","",'Komisyon Tarifeleri'!B278&amp;"")</f>
        <v/>
      </c>
      <c r="C278">
        <f>IF($B278="","",'Komisyon Tarifeleri'!F278)</f>
        <v/>
      </c>
      <c r="D278" s="10">
        <f>IF($B278="","",IFERROR(VLOOKUP($B278,Maliyetler!$A:$E,3,FALSE),""))</f>
        <v/>
      </c>
      <c r="E278">
        <f>IF($B278="","",IFERROR(VLOOKUP($B278,Maliyetler!$A:$E,4,FALSE),1))</f>
        <v/>
      </c>
      <c r="F278" s="10">
        <f>IF($B278="","",IFERROR(VLOOKUP(MIN(20,MAX(1,ROUND($E278,0))),Kargo!$A:$B,2,FALSE),99.46))</f>
        <v/>
      </c>
      <c r="G278" s="10">
        <f>IF($B278="","",IF(IF(N('Komisyon Tarifeleri'!AA278)&gt;='Komisyon Tarifeleri'!I278,'Komisyon Tarifeleri'!AA278,'Komisyon Tarifeleri'!I278)="","",IF(N('Komisyon Tarifeleri'!AA278)&gt;='Komisyon Tarifeleri'!I278,'Komisyon Tarifeleri'!AA278,'Komisyon Tarifeleri'!I278)))</f>
        <v/>
      </c>
      <c r="H278" s="11">
        <f>IF(G278="","",IF($AM$1=2,'Komisyon Tarifeleri'!U278,'Komisyon Tarifeleri'!P278))</f>
        <v/>
      </c>
      <c r="I278" s="10">
        <f>IF(OR(G278="",$D278=""),"",G278*(1-H278/100)-$D278-IF(G278&lt;=199.99,Kargo!$E$2,IF(G278&lt;=399.99,Kargo!$E$3,$F278)))</f>
        <v/>
      </c>
      <c r="J278" s="12">
        <f>IF(I278="","",I278/G278)</f>
        <v/>
      </c>
      <c r="K278" s="10">
        <f>IF($B278="","",IF('Komisyon Tarifeleri'!J278="","",'Komisyon Tarifeleri'!J278))</f>
        <v/>
      </c>
      <c r="L278" s="11">
        <f>IF(K278="","",IF($AM$1=2,'Komisyon Tarifeleri'!V278,'Komisyon Tarifeleri'!Q278))</f>
        <v/>
      </c>
      <c r="M278" s="10">
        <f>IF(OR(K278="",$D278=""),"",K278*(1-L278/100)-$D278-IF(K278&lt;=199.99,Kargo!$E$2,IF(K278&lt;=399.99,Kargo!$E$3,$F278)))</f>
        <v/>
      </c>
      <c r="N278" s="12">
        <f>IF(M278="","",M278/K278)</f>
        <v/>
      </c>
      <c r="O278" s="10">
        <f>IF($B278="","",IF('Komisyon Tarifeleri'!L278="","",'Komisyon Tarifeleri'!L278))</f>
        <v/>
      </c>
      <c r="P278" s="11">
        <f>IF(O278="","",IF($AM$1=2,'Komisyon Tarifeleri'!W278,'Komisyon Tarifeleri'!R278))</f>
        <v/>
      </c>
      <c r="Q278" s="10">
        <f>IF(OR(O278="",$D278=""),"",O278*(1-P278/100)-$D278-IF(O278&lt;=199.99,Kargo!$E$2,IF(O278&lt;=399.99,Kargo!$E$3,$F278)))</f>
        <v/>
      </c>
      <c r="R278" s="12">
        <f>IF(Q278="","",Q278/O278)</f>
        <v/>
      </c>
      <c r="S278" s="10">
        <f>IF($B278="","",IF('Komisyon Tarifeleri'!N278="","",'Komisyon Tarifeleri'!N278))</f>
        <v/>
      </c>
      <c r="T278" s="11">
        <f>IF(S278="","",IF($AM$1=2,'Komisyon Tarifeleri'!X278,'Komisyon Tarifeleri'!S278))</f>
        <v/>
      </c>
      <c r="U278" s="10">
        <f>IF(OR(S278="",$D278=""),"",S278*(1-T278/100)-$D278-IF(S278&lt;=199.99,Kargo!$E$2,IF(S278&lt;=399.99,Kargo!$E$3,$F278)))</f>
        <v/>
      </c>
      <c r="V278" s="12">
        <f>IF(U278="","",U278/S278)</f>
        <v/>
      </c>
      <c r="W278" s="12">
        <f>IF($B278="","",IFERROR(VLOOKUP($C278,Hedefler!$A:$C,2,FALSE),0.04))</f>
        <v/>
      </c>
      <c r="X278" s="12">
        <f>IF($B278="","",IFERROR(VLOOKUP($C278,Hedefler!$A:$C,3,FALSE),0.1))</f>
        <v/>
      </c>
      <c r="Y278" s="13">
        <f>IF($B278="","",IFERROR(VLOOKUP($B278,Maliyetler!$A:$E,5,FALSE),""))</f>
        <v/>
      </c>
      <c r="Z278" s="13">
        <f>IF(OR(Y278="",Y278=0),"",Y278-1)</f>
        <v/>
      </c>
      <c r="AA278" s="14">
        <f>IF(Z278="","",IF(Z278&gt;='Komisyon Tarifeleri'!I278,IF($AM$1=2,'Komisyon Tarifeleri'!U278,'Komisyon Tarifeleri'!P278),IF(Z278&gt;='Komisyon Tarifeleri'!K278,IF($AM$1=2,'Komisyon Tarifeleri'!V278,'Komisyon Tarifeleri'!Q278),IF(Z278&gt;='Komisyon Tarifeleri'!M278,IF($AM$1=2,'Komisyon Tarifeleri'!W278,'Komisyon Tarifeleri'!R278),IF($AM$1=2,'Komisyon Tarifeleri'!X278,'Komisyon Tarifeleri'!S278)))))</f>
        <v/>
      </c>
      <c r="AB278" s="13">
        <f>IF(OR(AA278="",$D278=""),"",Z278*(1-AA278/100)-$D278-IF(Z278&lt;=199.99,Kargo!$E$2,IF(Z278&lt;=399.99,Kargo!$E$3,$F278)))</f>
        <v/>
      </c>
      <c r="AC278" s="15">
        <f>IF(AB278="","",AB278/Z278)</f>
        <v/>
      </c>
      <c r="AD278" s="10">
        <f>IF(OR($D278="",$B278=""),"",IF(AND((1-T278/100-W278)&gt;0,CEILING(($D278+$F278)/(1-T278/100-W278),1)&lt;='Komisyon Tarifeleri'!N278),CEILING(($D278+$F278)/(1-T278/100-W278),1),IF(AND((1-P278/100-W278)&gt;0,CEILING(MAX('Komisyon Tarifeleri'!M278,($D278+$F278)/(1-P278/100-W278)),1)&lt;='Komisyon Tarifeleri'!L278),CEILING(MAX('Komisyon Tarifeleri'!M278,($D278+$F278)/(1-P278/100-W278)),1),IF(AND((1-L278/100-W278)&gt;0,CEILING(MAX('Komisyon Tarifeleri'!K278,($D278+$F278)/(1-L278/100-W278)),1)&lt;='Komisyon Tarifeleri'!J278),CEILING(MAX('Komisyon Tarifeleri'!K278,($D278+$F278)/(1-L278/100-W278)),1),IF((1-H278/100-W278)&gt;0,CEILING(MAX('Komisyon Tarifeleri'!I278,($D278+$F278)/(1-H278/100-W278)),1),"İMKÂNSIZ")))))</f>
        <v/>
      </c>
      <c r="AE278" s="10">
        <f>IF(OR($D278="",$B278=""),"",IF(AND((1-T278/100-X278)&gt;0,CEILING(($D278+$F278)/(1-T278/100-X278),1)&lt;='Komisyon Tarifeleri'!N278),CEILING(($D278+$F278)/(1-T278/100-X278),1),IF(AND((1-P278/100-X278)&gt;0,CEILING(MAX('Komisyon Tarifeleri'!M278,($D278+$F278)/(1-P278/100-X278)),1)&lt;='Komisyon Tarifeleri'!L278),CEILING(MAX('Komisyon Tarifeleri'!M278,($D278+$F278)/(1-P278/100-X278)),1),IF(AND((1-L278/100-X278)&gt;0,CEILING(MAX('Komisyon Tarifeleri'!K278,($D278+$F278)/(1-L278/100-X278)),1)&lt;='Komisyon Tarifeleri'!J278),CEILING(MAX('Komisyon Tarifeleri'!K278,($D278+$F278)/(1-L278/100-X278)),1),IF((1-H278/100-X278)&gt;0,CEILING(MAX('Komisyon Tarifeleri'!I278,($D278+$F278)/(1-H278/100-X278)),1),"İMKÂNSIZ")))))</f>
        <v/>
      </c>
      <c r="AF278" s="16">
        <f>IF($D278="","",IF(AND(Y278&lt;&gt;"",AC278&lt;&gt;"",AC278&gt;=W278),Z278,IF(Y278&lt;&gt;"",AD278,AE278)))</f>
        <v/>
      </c>
      <c r="AG278" s="16">
        <f>IF(OR(AF278="",AF278="İMKÂNSIZ"),"",AF278*(1-IF(AF278&gt;='Komisyon Tarifeleri'!I278,IF($AM$1=2,'Komisyon Tarifeleri'!U278,'Komisyon Tarifeleri'!P278),IF(AF278&gt;='Komisyon Tarifeleri'!K278,IF($AM$1=2,'Komisyon Tarifeleri'!V278,'Komisyon Tarifeleri'!Q278),IF(AF278&gt;='Komisyon Tarifeleri'!M278,IF($AM$1=2,'Komisyon Tarifeleri'!W278,'Komisyon Tarifeleri'!R278),IF($AM$1=2,'Komisyon Tarifeleri'!X278,'Komisyon Tarifeleri'!S278))))/100)-$D278-IF(AF278&lt;=199.99,Kargo!$E$2,IF(AF278&lt;=399.99,Kargo!$E$3,$F278)))</f>
        <v/>
      </c>
      <c r="AH278" s="17">
        <f>IF(AG278="","",AG278/AF278)</f>
        <v/>
      </c>
      <c r="AI278" s="18">
        <f>IF($D278="","",IF(Y278="","BUYBOX YOK → hedef kârla min fiyat",IF(AC278&gt;=W278,"✓ BUYBOX ALTINA GİR","BUYBOX ALTI KÂRSIZ → min kârlı fiyat")))</f>
        <v/>
      </c>
      <c r="AJ278" s="10">
        <f>IF($B278="","",IFERROR(VLOOKUP($B278,Maliyetler!$A:$G,6,FALSE),""))</f>
        <v/>
      </c>
      <c r="AK278">
        <f>IF($B278="","",IFERROR(VLOOKUP($B278,Maliyetler!$A:$G,7,FALSE),""))</f>
        <v/>
      </c>
      <c r="AO278" s="21">
        <f>IF($B278="","",IFERROR(VLOOKUP($B278&amp;"",'Plus Tarifeleri'!$C:$Q,11,FALSE),""))</f>
        <v/>
      </c>
      <c r="AP278" s="22">
        <f>IF(AO278="","",IFERROR(IF($AM$1=2,VLOOKUP($B278&amp;"",'Plus Tarifeleri'!$C:$Q,15,FALSE),VLOOKUP($B278&amp;"",'Plus Tarifeleri'!$C:$Q,13,FALSE)),""))</f>
        <v/>
      </c>
      <c r="AQ278" s="21">
        <f>IF(OR(AO278="",AP278="",$D278=""),"",AO278*(1-AP278/100)-$D278-IF(AO278&lt;=199.99,Kargo!$E$2,IF(AO278&lt;=399.99,Kargo!$E$3,$F278)))</f>
        <v/>
      </c>
      <c r="AR278" s="23">
        <f>IF(AQ278="","",AQ278/AO278)</f>
        <v/>
      </c>
      <c r="AS278" s="24">
        <f>IF(OR(AQ278="",AG278=""),"",AQ278-AG278)</f>
        <v/>
      </c>
    </row>
    <row r="279">
      <c r="A279">
        <f>IF('Komisyon Tarifeleri'!A279="","",'Komisyon Tarifeleri'!A279)</f>
        <v/>
      </c>
      <c r="B279">
        <f>IF('Komisyon Tarifeleri'!B279="","",'Komisyon Tarifeleri'!B279&amp;"")</f>
        <v/>
      </c>
      <c r="C279">
        <f>IF($B279="","",'Komisyon Tarifeleri'!F279)</f>
        <v/>
      </c>
      <c r="D279" s="10">
        <f>IF($B279="","",IFERROR(VLOOKUP($B279,Maliyetler!$A:$E,3,FALSE),""))</f>
        <v/>
      </c>
      <c r="E279">
        <f>IF($B279="","",IFERROR(VLOOKUP($B279,Maliyetler!$A:$E,4,FALSE),1))</f>
        <v/>
      </c>
      <c r="F279" s="10">
        <f>IF($B279="","",IFERROR(VLOOKUP(MIN(20,MAX(1,ROUND($E279,0))),Kargo!$A:$B,2,FALSE),99.46))</f>
        <v/>
      </c>
      <c r="G279" s="10">
        <f>IF($B279="","",IF(IF(N('Komisyon Tarifeleri'!AA279)&gt;='Komisyon Tarifeleri'!I279,'Komisyon Tarifeleri'!AA279,'Komisyon Tarifeleri'!I279)="","",IF(N('Komisyon Tarifeleri'!AA279)&gt;='Komisyon Tarifeleri'!I279,'Komisyon Tarifeleri'!AA279,'Komisyon Tarifeleri'!I279)))</f>
        <v/>
      </c>
      <c r="H279" s="11">
        <f>IF(G279="","",IF($AM$1=2,'Komisyon Tarifeleri'!U279,'Komisyon Tarifeleri'!P279))</f>
        <v/>
      </c>
      <c r="I279" s="10">
        <f>IF(OR(G279="",$D279=""),"",G279*(1-H279/100)-$D279-IF(G279&lt;=199.99,Kargo!$E$2,IF(G279&lt;=399.99,Kargo!$E$3,$F279)))</f>
        <v/>
      </c>
      <c r="J279" s="12">
        <f>IF(I279="","",I279/G279)</f>
        <v/>
      </c>
      <c r="K279" s="10">
        <f>IF($B279="","",IF('Komisyon Tarifeleri'!J279="","",'Komisyon Tarifeleri'!J279))</f>
        <v/>
      </c>
      <c r="L279" s="11">
        <f>IF(K279="","",IF($AM$1=2,'Komisyon Tarifeleri'!V279,'Komisyon Tarifeleri'!Q279))</f>
        <v/>
      </c>
      <c r="M279" s="10">
        <f>IF(OR(K279="",$D279=""),"",K279*(1-L279/100)-$D279-IF(K279&lt;=199.99,Kargo!$E$2,IF(K279&lt;=399.99,Kargo!$E$3,$F279)))</f>
        <v/>
      </c>
      <c r="N279" s="12">
        <f>IF(M279="","",M279/K279)</f>
        <v/>
      </c>
      <c r="O279" s="10">
        <f>IF($B279="","",IF('Komisyon Tarifeleri'!L279="","",'Komisyon Tarifeleri'!L279))</f>
        <v/>
      </c>
      <c r="P279" s="11">
        <f>IF(O279="","",IF($AM$1=2,'Komisyon Tarifeleri'!W279,'Komisyon Tarifeleri'!R279))</f>
        <v/>
      </c>
      <c r="Q279" s="10">
        <f>IF(OR(O279="",$D279=""),"",O279*(1-P279/100)-$D279-IF(O279&lt;=199.99,Kargo!$E$2,IF(O279&lt;=399.99,Kargo!$E$3,$F279)))</f>
        <v/>
      </c>
      <c r="R279" s="12">
        <f>IF(Q279="","",Q279/O279)</f>
        <v/>
      </c>
      <c r="S279" s="10">
        <f>IF($B279="","",IF('Komisyon Tarifeleri'!N279="","",'Komisyon Tarifeleri'!N279))</f>
        <v/>
      </c>
      <c r="T279" s="11">
        <f>IF(S279="","",IF($AM$1=2,'Komisyon Tarifeleri'!X279,'Komisyon Tarifeleri'!S279))</f>
        <v/>
      </c>
      <c r="U279" s="10">
        <f>IF(OR(S279="",$D279=""),"",S279*(1-T279/100)-$D279-IF(S279&lt;=199.99,Kargo!$E$2,IF(S279&lt;=399.99,Kargo!$E$3,$F279)))</f>
        <v/>
      </c>
      <c r="V279" s="12">
        <f>IF(U279="","",U279/S279)</f>
        <v/>
      </c>
      <c r="W279" s="12">
        <f>IF($B279="","",IFERROR(VLOOKUP($C279,Hedefler!$A:$C,2,FALSE),0.04))</f>
        <v/>
      </c>
      <c r="X279" s="12">
        <f>IF($B279="","",IFERROR(VLOOKUP($C279,Hedefler!$A:$C,3,FALSE),0.1))</f>
        <v/>
      </c>
      <c r="Y279" s="13">
        <f>IF($B279="","",IFERROR(VLOOKUP($B279,Maliyetler!$A:$E,5,FALSE),""))</f>
        <v/>
      </c>
      <c r="Z279" s="13">
        <f>IF(OR(Y279="",Y279=0),"",Y279-1)</f>
        <v/>
      </c>
      <c r="AA279" s="14">
        <f>IF(Z279="","",IF(Z279&gt;='Komisyon Tarifeleri'!I279,IF($AM$1=2,'Komisyon Tarifeleri'!U279,'Komisyon Tarifeleri'!P279),IF(Z279&gt;='Komisyon Tarifeleri'!K279,IF($AM$1=2,'Komisyon Tarifeleri'!V279,'Komisyon Tarifeleri'!Q279),IF(Z279&gt;='Komisyon Tarifeleri'!M279,IF($AM$1=2,'Komisyon Tarifeleri'!W279,'Komisyon Tarifeleri'!R279),IF($AM$1=2,'Komisyon Tarifeleri'!X279,'Komisyon Tarifeleri'!S279)))))</f>
        <v/>
      </c>
      <c r="AB279" s="13">
        <f>IF(OR(AA279="",$D279=""),"",Z279*(1-AA279/100)-$D279-IF(Z279&lt;=199.99,Kargo!$E$2,IF(Z279&lt;=399.99,Kargo!$E$3,$F279)))</f>
        <v/>
      </c>
      <c r="AC279" s="15">
        <f>IF(AB279="","",AB279/Z279)</f>
        <v/>
      </c>
      <c r="AD279" s="10">
        <f>IF(OR($D279="",$B279=""),"",IF(AND((1-T279/100-W279)&gt;0,CEILING(($D279+$F279)/(1-T279/100-W279),1)&lt;='Komisyon Tarifeleri'!N279),CEILING(($D279+$F279)/(1-T279/100-W279),1),IF(AND((1-P279/100-W279)&gt;0,CEILING(MAX('Komisyon Tarifeleri'!M279,($D279+$F279)/(1-P279/100-W279)),1)&lt;='Komisyon Tarifeleri'!L279),CEILING(MAX('Komisyon Tarifeleri'!M279,($D279+$F279)/(1-P279/100-W279)),1),IF(AND((1-L279/100-W279)&gt;0,CEILING(MAX('Komisyon Tarifeleri'!K279,($D279+$F279)/(1-L279/100-W279)),1)&lt;='Komisyon Tarifeleri'!J279),CEILING(MAX('Komisyon Tarifeleri'!K279,($D279+$F279)/(1-L279/100-W279)),1),IF((1-H279/100-W279)&gt;0,CEILING(MAX('Komisyon Tarifeleri'!I279,($D279+$F279)/(1-H279/100-W279)),1),"İMKÂNSIZ")))))</f>
        <v/>
      </c>
      <c r="AE279" s="10">
        <f>IF(OR($D279="",$B279=""),"",IF(AND((1-T279/100-X279)&gt;0,CEILING(($D279+$F279)/(1-T279/100-X279),1)&lt;='Komisyon Tarifeleri'!N279),CEILING(($D279+$F279)/(1-T279/100-X279),1),IF(AND((1-P279/100-X279)&gt;0,CEILING(MAX('Komisyon Tarifeleri'!M279,($D279+$F279)/(1-P279/100-X279)),1)&lt;='Komisyon Tarifeleri'!L279),CEILING(MAX('Komisyon Tarifeleri'!M279,($D279+$F279)/(1-P279/100-X279)),1),IF(AND((1-L279/100-X279)&gt;0,CEILING(MAX('Komisyon Tarifeleri'!K279,($D279+$F279)/(1-L279/100-X279)),1)&lt;='Komisyon Tarifeleri'!J279),CEILING(MAX('Komisyon Tarifeleri'!K279,($D279+$F279)/(1-L279/100-X279)),1),IF((1-H279/100-X279)&gt;0,CEILING(MAX('Komisyon Tarifeleri'!I279,($D279+$F279)/(1-H279/100-X279)),1),"İMKÂNSIZ")))))</f>
        <v/>
      </c>
      <c r="AF279" s="16">
        <f>IF($D279="","",IF(AND(Y279&lt;&gt;"",AC279&lt;&gt;"",AC279&gt;=W279),Z279,IF(Y279&lt;&gt;"",AD279,AE279)))</f>
        <v/>
      </c>
      <c r="AG279" s="16">
        <f>IF(OR(AF279="",AF279="İMKÂNSIZ"),"",AF279*(1-IF(AF279&gt;='Komisyon Tarifeleri'!I279,IF($AM$1=2,'Komisyon Tarifeleri'!U279,'Komisyon Tarifeleri'!P279),IF(AF279&gt;='Komisyon Tarifeleri'!K279,IF($AM$1=2,'Komisyon Tarifeleri'!V279,'Komisyon Tarifeleri'!Q279),IF(AF279&gt;='Komisyon Tarifeleri'!M279,IF($AM$1=2,'Komisyon Tarifeleri'!W279,'Komisyon Tarifeleri'!R279),IF($AM$1=2,'Komisyon Tarifeleri'!X279,'Komisyon Tarifeleri'!S279))))/100)-$D279-IF(AF279&lt;=199.99,Kargo!$E$2,IF(AF279&lt;=399.99,Kargo!$E$3,$F279)))</f>
        <v/>
      </c>
      <c r="AH279" s="17">
        <f>IF(AG279="","",AG279/AF279)</f>
        <v/>
      </c>
      <c r="AI279" s="18">
        <f>IF($D279="","",IF(Y279="","BUYBOX YOK → hedef kârla min fiyat",IF(AC279&gt;=W279,"✓ BUYBOX ALTINA GİR","BUYBOX ALTI KÂRSIZ → min kârlı fiyat")))</f>
        <v/>
      </c>
      <c r="AJ279" s="10">
        <f>IF($B279="","",IFERROR(VLOOKUP($B279,Maliyetler!$A:$G,6,FALSE),""))</f>
        <v/>
      </c>
      <c r="AK279">
        <f>IF($B279="","",IFERROR(VLOOKUP($B279,Maliyetler!$A:$G,7,FALSE),""))</f>
        <v/>
      </c>
      <c r="AO279" s="21">
        <f>IF($B279="","",IFERROR(VLOOKUP($B279&amp;"",'Plus Tarifeleri'!$C:$Q,11,FALSE),""))</f>
        <v/>
      </c>
      <c r="AP279" s="22">
        <f>IF(AO279="","",IFERROR(IF($AM$1=2,VLOOKUP($B279&amp;"",'Plus Tarifeleri'!$C:$Q,15,FALSE),VLOOKUP($B279&amp;"",'Plus Tarifeleri'!$C:$Q,13,FALSE)),""))</f>
        <v/>
      </c>
      <c r="AQ279" s="21">
        <f>IF(OR(AO279="",AP279="",$D279=""),"",AO279*(1-AP279/100)-$D279-IF(AO279&lt;=199.99,Kargo!$E$2,IF(AO279&lt;=399.99,Kargo!$E$3,$F279)))</f>
        <v/>
      </c>
      <c r="AR279" s="23">
        <f>IF(AQ279="","",AQ279/AO279)</f>
        <v/>
      </c>
      <c r="AS279" s="24">
        <f>IF(OR(AQ279="",AG279=""),"",AQ279-AG279)</f>
        <v/>
      </c>
    </row>
    <row r="280">
      <c r="A280">
        <f>IF('Komisyon Tarifeleri'!A280="","",'Komisyon Tarifeleri'!A280)</f>
        <v/>
      </c>
      <c r="B280">
        <f>IF('Komisyon Tarifeleri'!B280="","",'Komisyon Tarifeleri'!B280&amp;"")</f>
        <v/>
      </c>
      <c r="C280">
        <f>IF($B280="","",'Komisyon Tarifeleri'!F280)</f>
        <v/>
      </c>
      <c r="D280" s="10">
        <f>IF($B280="","",IFERROR(VLOOKUP($B280,Maliyetler!$A:$E,3,FALSE),""))</f>
        <v/>
      </c>
      <c r="E280">
        <f>IF($B280="","",IFERROR(VLOOKUP($B280,Maliyetler!$A:$E,4,FALSE),1))</f>
        <v/>
      </c>
      <c r="F280" s="10">
        <f>IF($B280="","",IFERROR(VLOOKUP(MIN(20,MAX(1,ROUND($E280,0))),Kargo!$A:$B,2,FALSE),99.46))</f>
        <v/>
      </c>
      <c r="G280" s="10">
        <f>IF($B280="","",IF(IF(N('Komisyon Tarifeleri'!AA280)&gt;='Komisyon Tarifeleri'!I280,'Komisyon Tarifeleri'!AA280,'Komisyon Tarifeleri'!I280)="","",IF(N('Komisyon Tarifeleri'!AA280)&gt;='Komisyon Tarifeleri'!I280,'Komisyon Tarifeleri'!AA280,'Komisyon Tarifeleri'!I280)))</f>
        <v/>
      </c>
      <c r="H280" s="11">
        <f>IF(G280="","",IF($AM$1=2,'Komisyon Tarifeleri'!U280,'Komisyon Tarifeleri'!P280))</f>
        <v/>
      </c>
      <c r="I280" s="10">
        <f>IF(OR(G280="",$D280=""),"",G280*(1-H280/100)-$D280-IF(G280&lt;=199.99,Kargo!$E$2,IF(G280&lt;=399.99,Kargo!$E$3,$F280)))</f>
        <v/>
      </c>
      <c r="J280" s="12">
        <f>IF(I280="","",I280/G280)</f>
        <v/>
      </c>
      <c r="K280" s="10">
        <f>IF($B280="","",IF('Komisyon Tarifeleri'!J280="","",'Komisyon Tarifeleri'!J280))</f>
        <v/>
      </c>
      <c r="L280" s="11">
        <f>IF(K280="","",IF($AM$1=2,'Komisyon Tarifeleri'!V280,'Komisyon Tarifeleri'!Q280))</f>
        <v/>
      </c>
      <c r="M280" s="10">
        <f>IF(OR(K280="",$D280=""),"",K280*(1-L280/100)-$D280-IF(K280&lt;=199.99,Kargo!$E$2,IF(K280&lt;=399.99,Kargo!$E$3,$F280)))</f>
        <v/>
      </c>
      <c r="N280" s="12">
        <f>IF(M280="","",M280/K280)</f>
        <v/>
      </c>
      <c r="O280" s="10">
        <f>IF($B280="","",IF('Komisyon Tarifeleri'!L280="","",'Komisyon Tarifeleri'!L280))</f>
        <v/>
      </c>
      <c r="P280" s="11">
        <f>IF(O280="","",IF($AM$1=2,'Komisyon Tarifeleri'!W280,'Komisyon Tarifeleri'!R280))</f>
        <v/>
      </c>
      <c r="Q280" s="10">
        <f>IF(OR(O280="",$D280=""),"",O280*(1-P280/100)-$D280-IF(O280&lt;=199.99,Kargo!$E$2,IF(O280&lt;=399.99,Kargo!$E$3,$F280)))</f>
        <v/>
      </c>
      <c r="R280" s="12">
        <f>IF(Q280="","",Q280/O280)</f>
        <v/>
      </c>
      <c r="S280" s="10">
        <f>IF($B280="","",IF('Komisyon Tarifeleri'!N280="","",'Komisyon Tarifeleri'!N280))</f>
        <v/>
      </c>
      <c r="T280" s="11">
        <f>IF(S280="","",IF($AM$1=2,'Komisyon Tarifeleri'!X280,'Komisyon Tarifeleri'!S280))</f>
        <v/>
      </c>
      <c r="U280" s="10">
        <f>IF(OR(S280="",$D280=""),"",S280*(1-T280/100)-$D280-IF(S280&lt;=199.99,Kargo!$E$2,IF(S280&lt;=399.99,Kargo!$E$3,$F280)))</f>
        <v/>
      </c>
      <c r="V280" s="12">
        <f>IF(U280="","",U280/S280)</f>
        <v/>
      </c>
      <c r="W280" s="12">
        <f>IF($B280="","",IFERROR(VLOOKUP($C280,Hedefler!$A:$C,2,FALSE),0.04))</f>
        <v/>
      </c>
      <c r="X280" s="12">
        <f>IF($B280="","",IFERROR(VLOOKUP($C280,Hedefler!$A:$C,3,FALSE),0.1))</f>
        <v/>
      </c>
      <c r="Y280" s="13">
        <f>IF($B280="","",IFERROR(VLOOKUP($B280,Maliyetler!$A:$E,5,FALSE),""))</f>
        <v/>
      </c>
      <c r="Z280" s="13">
        <f>IF(OR(Y280="",Y280=0),"",Y280-1)</f>
        <v/>
      </c>
      <c r="AA280" s="14">
        <f>IF(Z280="","",IF(Z280&gt;='Komisyon Tarifeleri'!I280,IF($AM$1=2,'Komisyon Tarifeleri'!U280,'Komisyon Tarifeleri'!P280),IF(Z280&gt;='Komisyon Tarifeleri'!K280,IF($AM$1=2,'Komisyon Tarifeleri'!V280,'Komisyon Tarifeleri'!Q280),IF(Z280&gt;='Komisyon Tarifeleri'!M280,IF($AM$1=2,'Komisyon Tarifeleri'!W280,'Komisyon Tarifeleri'!R280),IF($AM$1=2,'Komisyon Tarifeleri'!X280,'Komisyon Tarifeleri'!S280)))))</f>
        <v/>
      </c>
      <c r="AB280" s="13">
        <f>IF(OR(AA280="",$D280=""),"",Z280*(1-AA280/100)-$D280-IF(Z280&lt;=199.99,Kargo!$E$2,IF(Z280&lt;=399.99,Kargo!$E$3,$F280)))</f>
        <v/>
      </c>
      <c r="AC280" s="15">
        <f>IF(AB280="","",AB280/Z280)</f>
        <v/>
      </c>
      <c r="AD280" s="10">
        <f>IF(OR($D280="",$B280=""),"",IF(AND((1-T280/100-W280)&gt;0,CEILING(($D280+$F280)/(1-T280/100-W280),1)&lt;='Komisyon Tarifeleri'!N280),CEILING(($D280+$F280)/(1-T280/100-W280),1),IF(AND((1-P280/100-W280)&gt;0,CEILING(MAX('Komisyon Tarifeleri'!M280,($D280+$F280)/(1-P280/100-W280)),1)&lt;='Komisyon Tarifeleri'!L280),CEILING(MAX('Komisyon Tarifeleri'!M280,($D280+$F280)/(1-P280/100-W280)),1),IF(AND((1-L280/100-W280)&gt;0,CEILING(MAX('Komisyon Tarifeleri'!K280,($D280+$F280)/(1-L280/100-W280)),1)&lt;='Komisyon Tarifeleri'!J280),CEILING(MAX('Komisyon Tarifeleri'!K280,($D280+$F280)/(1-L280/100-W280)),1),IF((1-H280/100-W280)&gt;0,CEILING(MAX('Komisyon Tarifeleri'!I280,($D280+$F280)/(1-H280/100-W280)),1),"İMKÂNSIZ")))))</f>
        <v/>
      </c>
      <c r="AE280" s="10">
        <f>IF(OR($D280="",$B280=""),"",IF(AND((1-T280/100-X280)&gt;0,CEILING(($D280+$F280)/(1-T280/100-X280),1)&lt;='Komisyon Tarifeleri'!N280),CEILING(($D280+$F280)/(1-T280/100-X280),1),IF(AND((1-P280/100-X280)&gt;0,CEILING(MAX('Komisyon Tarifeleri'!M280,($D280+$F280)/(1-P280/100-X280)),1)&lt;='Komisyon Tarifeleri'!L280),CEILING(MAX('Komisyon Tarifeleri'!M280,($D280+$F280)/(1-P280/100-X280)),1),IF(AND((1-L280/100-X280)&gt;0,CEILING(MAX('Komisyon Tarifeleri'!K280,($D280+$F280)/(1-L280/100-X280)),1)&lt;='Komisyon Tarifeleri'!J280),CEILING(MAX('Komisyon Tarifeleri'!K280,($D280+$F280)/(1-L280/100-X280)),1),IF((1-H280/100-X280)&gt;0,CEILING(MAX('Komisyon Tarifeleri'!I280,($D280+$F280)/(1-H280/100-X280)),1),"İMKÂNSIZ")))))</f>
        <v/>
      </c>
      <c r="AF280" s="16">
        <f>IF($D280="","",IF(AND(Y280&lt;&gt;"",AC280&lt;&gt;"",AC280&gt;=W280),Z280,IF(Y280&lt;&gt;"",AD280,AE280)))</f>
        <v/>
      </c>
      <c r="AG280" s="16">
        <f>IF(OR(AF280="",AF280="İMKÂNSIZ"),"",AF280*(1-IF(AF280&gt;='Komisyon Tarifeleri'!I280,IF($AM$1=2,'Komisyon Tarifeleri'!U280,'Komisyon Tarifeleri'!P280),IF(AF280&gt;='Komisyon Tarifeleri'!K280,IF($AM$1=2,'Komisyon Tarifeleri'!V280,'Komisyon Tarifeleri'!Q280),IF(AF280&gt;='Komisyon Tarifeleri'!M280,IF($AM$1=2,'Komisyon Tarifeleri'!W280,'Komisyon Tarifeleri'!R280),IF($AM$1=2,'Komisyon Tarifeleri'!X280,'Komisyon Tarifeleri'!S280))))/100)-$D280-IF(AF280&lt;=199.99,Kargo!$E$2,IF(AF280&lt;=399.99,Kargo!$E$3,$F280)))</f>
        <v/>
      </c>
      <c r="AH280" s="17">
        <f>IF(AG280="","",AG280/AF280)</f>
        <v/>
      </c>
      <c r="AI280" s="18">
        <f>IF($D280="","",IF(Y280="","BUYBOX YOK → hedef kârla min fiyat",IF(AC280&gt;=W280,"✓ BUYBOX ALTINA GİR","BUYBOX ALTI KÂRSIZ → min kârlı fiyat")))</f>
        <v/>
      </c>
      <c r="AJ280" s="10">
        <f>IF($B280="","",IFERROR(VLOOKUP($B280,Maliyetler!$A:$G,6,FALSE),""))</f>
        <v/>
      </c>
      <c r="AK280">
        <f>IF($B280="","",IFERROR(VLOOKUP($B280,Maliyetler!$A:$G,7,FALSE),""))</f>
        <v/>
      </c>
      <c r="AO280" s="21">
        <f>IF($B280="","",IFERROR(VLOOKUP($B280&amp;"",'Plus Tarifeleri'!$C:$Q,11,FALSE),""))</f>
        <v/>
      </c>
      <c r="AP280" s="22">
        <f>IF(AO280="","",IFERROR(IF($AM$1=2,VLOOKUP($B280&amp;"",'Plus Tarifeleri'!$C:$Q,15,FALSE),VLOOKUP($B280&amp;"",'Plus Tarifeleri'!$C:$Q,13,FALSE)),""))</f>
        <v/>
      </c>
      <c r="AQ280" s="21">
        <f>IF(OR(AO280="",AP280="",$D280=""),"",AO280*(1-AP280/100)-$D280-IF(AO280&lt;=199.99,Kargo!$E$2,IF(AO280&lt;=399.99,Kargo!$E$3,$F280)))</f>
        <v/>
      </c>
      <c r="AR280" s="23">
        <f>IF(AQ280="","",AQ280/AO280)</f>
        <v/>
      </c>
      <c r="AS280" s="24">
        <f>IF(OR(AQ280="",AG280=""),"",AQ280-AG280)</f>
        <v/>
      </c>
    </row>
    <row r="281">
      <c r="A281">
        <f>IF('Komisyon Tarifeleri'!A281="","",'Komisyon Tarifeleri'!A281)</f>
        <v/>
      </c>
      <c r="B281">
        <f>IF('Komisyon Tarifeleri'!B281="","",'Komisyon Tarifeleri'!B281&amp;"")</f>
        <v/>
      </c>
      <c r="C281">
        <f>IF($B281="","",'Komisyon Tarifeleri'!F281)</f>
        <v/>
      </c>
      <c r="D281" s="10">
        <f>IF($B281="","",IFERROR(VLOOKUP($B281,Maliyetler!$A:$E,3,FALSE),""))</f>
        <v/>
      </c>
      <c r="E281">
        <f>IF($B281="","",IFERROR(VLOOKUP($B281,Maliyetler!$A:$E,4,FALSE),1))</f>
        <v/>
      </c>
      <c r="F281" s="10">
        <f>IF($B281="","",IFERROR(VLOOKUP(MIN(20,MAX(1,ROUND($E281,0))),Kargo!$A:$B,2,FALSE),99.46))</f>
        <v/>
      </c>
      <c r="G281" s="10">
        <f>IF($B281="","",IF(IF(N('Komisyon Tarifeleri'!AA281)&gt;='Komisyon Tarifeleri'!I281,'Komisyon Tarifeleri'!AA281,'Komisyon Tarifeleri'!I281)="","",IF(N('Komisyon Tarifeleri'!AA281)&gt;='Komisyon Tarifeleri'!I281,'Komisyon Tarifeleri'!AA281,'Komisyon Tarifeleri'!I281)))</f>
        <v/>
      </c>
      <c r="H281" s="11">
        <f>IF(G281="","",IF($AM$1=2,'Komisyon Tarifeleri'!U281,'Komisyon Tarifeleri'!P281))</f>
        <v/>
      </c>
      <c r="I281" s="10">
        <f>IF(OR(G281="",$D281=""),"",G281*(1-H281/100)-$D281-IF(G281&lt;=199.99,Kargo!$E$2,IF(G281&lt;=399.99,Kargo!$E$3,$F281)))</f>
        <v/>
      </c>
      <c r="J281" s="12">
        <f>IF(I281="","",I281/G281)</f>
        <v/>
      </c>
      <c r="K281" s="10">
        <f>IF($B281="","",IF('Komisyon Tarifeleri'!J281="","",'Komisyon Tarifeleri'!J281))</f>
        <v/>
      </c>
      <c r="L281" s="11">
        <f>IF(K281="","",IF($AM$1=2,'Komisyon Tarifeleri'!V281,'Komisyon Tarifeleri'!Q281))</f>
        <v/>
      </c>
      <c r="M281" s="10">
        <f>IF(OR(K281="",$D281=""),"",K281*(1-L281/100)-$D281-IF(K281&lt;=199.99,Kargo!$E$2,IF(K281&lt;=399.99,Kargo!$E$3,$F281)))</f>
        <v/>
      </c>
      <c r="N281" s="12">
        <f>IF(M281="","",M281/K281)</f>
        <v/>
      </c>
      <c r="O281" s="10">
        <f>IF($B281="","",IF('Komisyon Tarifeleri'!L281="","",'Komisyon Tarifeleri'!L281))</f>
        <v/>
      </c>
      <c r="P281" s="11">
        <f>IF(O281="","",IF($AM$1=2,'Komisyon Tarifeleri'!W281,'Komisyon Tarifeleri'!R281))</f>
        <v/>
      </c>
      <c r="Q281" s="10">
        <f>IF(OR(O281="",$D281=""),"",O281*(1-P281/100)-$D281-IF(O281&lt;=199.99,Kargo!$E$2,IF(O281&lt;=399.99,Kargo!$E$3,$F281)))</f>
        <v/>
      </c>
      <c r="R281" s="12">
        <f>IF(Q281="","",Q281/O281)</f>
        <v/>
      </c>
      <c r="S281" s="10">
        <f>IF($B281="","",IF('Komisyon Tarifeleri'!N281="","",'Komisyon Tarifeleri'!N281))</f>
        <v/>
      </c>
      <c r="T281" s="11">
        <f>IF(S281="","",IF($AM$1=2,'Komisyon Tarifeleri'!X281,'Komisyon Tarifeleri'!S281))</f>
        <v/>
      </c>
      <c r="U281" s="10">
        <f>IF(OR(S281="",$D281=""),"",S281*(1-T281/100)-$D281-IF(S281&lt;=199.99,Kargo!$E$2,IF(S281&lt;=399.99,Kargo!$E$3,$F281)))</f>
        <v/>
      </c>
      <c r="V281" s="12">
        <f>IF(U281="","",U281/S281)</f>
        <v/>
      </c>
      <c r="W281" s="12">
        <f>IF($B281="","",IFERROR(VLOOKUP($C281,Hedefler!$A:$C,2,FALSE),0.04))</f>
        <v/>
      </c>
      <c r="X281" s="12">
        <f>IF($B281="","",IFERROR(VLOOKUP($C281,Hedefler!$A:$C,3,FALSE),0.1))</f>
        <v/>
      </c>
      <c r="Y281" s="13">
        <f>IF($B281="","",IFERROR(VLOOKUP($B281,Maliyetler!$A:$E,5,FALSE),""))</f>
        <v/>
      </c>
      <c r="Z281" s="13">
        <f>IF(OR(Y281="",Y281=0),"",Y281-1)</f>
        <v/>
      </c>
      <c r="AA281" s="14">
        <f>IF(Z281="","",IF(Z281&gt;='Komisyon Tarifeleri'!I281,IF($AM$1=2,'Komisyon Tarifeleri'!U281,'Komisyon Tarifeleri'!P281),IF(Z281&gt;='Komisyon Tarifeleri'!K281,IF($AM$1=2,'Komisyon Tarifeleri'!V281,'Komisyon Tarifeleri'!Q281),IF(Z281&gt;='Komisyon Tarifeleri'!M281,IF($AM$1=2,'Komisyon Tarifeleri'!W281,'Komisyon Tarifeleri'!R281),IF($AM$1=2,'Komisyon Tarifeleri'!X281,'Komisyon Tarifeleri'!S281)))))</f>
        <v/>
      </c>
      <c r="AB281" s="13">
        <f>IF(OR(AA281="",$D281=""),"",Z281*(1-AA281/100)-$D281-IF(Z281&lt;=199.99,Kargo!$E$2,IF(Z281&lt;=399.99,Kargo!$E$3,$F281)))</f>
        <v/>
      </c>
      <c r="AC281" s="15">
        <f>IF(AB281="","",AB281/Z281)</f>
        <v/>
      </c>
      <c r="AD281" s="10">
        <f>IF(OR($D281="",$B281=""),"",IF(AND((1-T281/100-W281)&gt;0,CEILING(($D281+$F281)/(1-T281/100-W281),1)&lt;='Komisyon Tarifeleri'!N281),CEILING(($D281+$F281)/(1-T281/100-W281),1),IF(AND((1-P281/100-W281)&gt;0,CEILING(MAX('Komisyon Tarifeleri'!M281,($D281+$F281)/(1-P281/100-W281)),1)&lt;='Komisyon Tarifeleri'!L281),CEILING(MAX('Komisyon Tarifeleri'!M281,($D281+$F281)/(1-P281/100-W281)),1),IF(AND((1-L281/100-W281)&gt;0,CEILING(MAX('Komisyon Tarifeleri'!K281,($D281+$F281)/(1-L281/100-W281)),1)&lt;='Komisyon Tarifeleri'!J281),CEILING(MAX('Komisyon Tarifeleri'!K281,($D281+$F281)/(1-L281/100-W281)),1),IF((1-H281/100-W281)&gt;0,CEILING(MAX('Komisyon Tarifeleri'!I281,($D281+$F281)/(1-H281/100-W281)),1),"İMKÂNSIZ")))))</f>
        <v/>
      </c>
      <c r="AE281" s="10">
        <f>IF(OR($D281="",$B281=""),"",IF(AND((1-T281/100-X281)&gt;0,CEILING(($D281+$F281)/(1-T281/100-X281),1)&lt;='Komisyon Tarifeleri'!N281),CEILING(($D281+$F281)/(1-T281/100-X281),1),IF(AND((1-P281/100-X281)&gt;0,CEILING(MAX('Komisyon Tarifeleri'!M281,($D281+$F281)/(1-P281/100-X281)),1)&lt;='Komisyon Tarifeleri'!L281),CEILING(MAX('Komisyon Tarifeleri'!M281,($D281+$F281)/(1-P281/100-X281)),1),IF(AND((1-L281/100-X281)&gt;0,CEILING(MAX('Komisyon Tarifeleri'!K281,($D281+$F281)/(1-L281/100-X281)),1)&lt;='Komisyon Tarifeleri'!J281),CEILING(MAX('Komisyon Tarifeleri'!K281,($D281+$F281)/(1-L281/100-X281)),1),IF((1-H281/100-X281)&gt;0,CEILING(MAX('Komisyon Tarifeleri'!I281,($D281+$F281)/(1-H281/100-X281)),1),"İMKÂNSIZ")))))</f>
        <v/>
      </c>
      <c r="AF281" s="16">
        <f>IF($D281="","",IF(AND(Y281&lt;&gt;"",AC281&lt;&gt;"",AC281&gt;=W281),Z281,IF(Y281&lt;&gt;"",AD281,AE281)))</f>
        <v/>
      </c>
      <c r="AG281" s="16">
        <f>IF(OR(AF281="",AF281="İMKÂNSIZ"),"",AF281*(1-IF(AF281&gt;='Komisyon Tarifeleri'!I281,IF($AM$1=2,'Komisyon Tarifeleri'!U281,'Komisyon Tarifeleri'!P281),IF(AF281&gt;='Komisyon Tarifeleri'!K281,IF($AM$1=2,'Komisyon Tarifeleri'!V281,'Komisyon Tarifeleri'!Q281),IF(AF281&gt;='Komisyon Tarifeleri'!M281,IF($AM$1=2,'Komisyon Tarifeleri'!W281,'Komisyon Tarifeleri'!R281),IF($AM$1=2,'Komisyon Tarifeleri'!X281,'Komisyon Tarifeleri'!S281))))/100)-$D281-IF(AF281&lt;=199.99,Kargo!$E$2,IF(AF281&lt;=399.99,Kargo!$E$3,$F281)))</f>
        <v/>
      </c>
      <c r="AH281" s="17">
        <f>IF(AG281="","",AG281/AF281)</f>
        <v/>
      </c>
      <c r="AI281" s="18">
        <f>IF($D281="","",IF(Y281="","BUYBOX YOK → hedef kârla min fiyat",IF(AC281&gt;=W281,"✓ BUYBOX ALTINA GİR","BUYBOX ALTI KÂRSIZ → min kârlı fiyat")))</f>
        <v/>
      </c>
      <c r="AJ281" s="10">
        <f>IF($B281="","",IFERROR(VLOOKUP($B281,Maliyetler!$A:$G,6,FALSE),""))</f>
        <v/>
      </c>
      <c r="AK281">
        <f>IF($B281="","",IFERROR(VLOOKUP($B281,Maliyetler!$A:$G,7,FALSE),""))</f>
        <v/>
      </c>
      <c r="AO281" s="21">
        <f>IF($B281="","",IFERROR(VLOOKUP($B281&amp;"",'Plus Tarifeleri'!$C:$Q,11,FALSE),""))</f>
        <v/>
      </c>
      <c r="AP281" s="22">
        <f>IF(AO281="","",IFERROR(IF($AM$1=2,VLOOKUP($B281&amp;"",'Plus Tarifeleri'!$C:$Q,15,FALSE),VLOOKUP($B281&amp;"",'Plus Tarifeleri'!$C:$Q,13,FALSE)),""))</f>
        <v/>
      </c>
      <c r="AQ281" s="21">
        <f>IF(OR(AO281="",AP281="",$D281=""),"",AO281*(1-AP281/100)-$D281-IF(AO281&lt;=199.99,Kargo!$E$2,IF(AO281&lt;=399.99,Kargo!$E$3,$F281)))</f>
        <v/>
      </c>
      <c r="AR281" s="23">
        <f>IF(AQ281="","",AQ281/AO281)</f>
        <v/>
      </c>
      <c r="AS281" s="24">
        <f>IF(OR(AQ281="",AG281=""),"",AQ281-AG281)</f>
        <v/>
      </c>
    </row>
    <row r="282">
      <c r="A282">
        <f>IF('Komisyon Tarifeleri'!A282="","",'Komisyon Tarifeleri'!A282)</f>
        <v/>
      </c>
      <c r="B282">
        <f>IF('Komisyon Tarifeleri'!B282="","",'Komisyon Tarifeleri'!B282&amp;"")</f>
        <v/>
      </c>
      <c r="C282">
        <f>IF($B282="","",'Komisyon Tarifeleri'!F282)</f>
        <v/>
      </c>
      <c r="D282" s="10">
        <f>IF($B282="","",IFERROR(VLOOKUP($B282,Maliyetler!$A:$E,3,FALSE),""))</f>
        <v/>
      </c>
      <c r="E282">
        <f>IF($B282="","",IFERROR(VLOOKUP($B282,Maliyetler!$A:$E,4,FALSE),1))</f>
        <v/>
      </c>
      <c r="F282" s="10">
        <f>IF($B282="","",IFERROR(VLOOKUP(MIN(20,MAX(1,ROUND($E282,0))),Kargo!$A:$B,2,FALSE),99.46))</f>
        <v/>
      </c>
      <c r="G282" s="10">
        <f>IF($B282="","",IF(IF(N('Komisyon Tarifeleri'!AA282)&gt;='Komisyon Tarifeleri'!I282,'Komisyon Tarifeleri'!AA282,'Komisyon Tarifeleri'!I282)="","",IF(N('Komisyon Tarifeleri'!AA282)&gt;='Komisyon Tarifeleri'!I282,'Komisyon Tarifeleri'!AA282,'Komisyon Tarifeleri'!I282)))</f>
        <v/>
      </c>
      <c r="H282" s="11">
        <f>IF(G282="","",IF($AM$1=2,'Komisyon Tarifeleri'!U282,'Komisyon Tarifeleri'!P282))</f>
        <v/>
      </c>
      <c r="I282" s="10">
        <f>IF(OR(G282="",$D282=""),"",G282*(1-H282/100)-$D282-IF(G282&lt;=199.99,Kargo!$E$2,IF(G282&lt;=399.99,Kargo!$E$3,$F282)))</f>
        <v/>
      </c>
      <c r="J282" s="12">
        <f>IF(I282="","",I282/G282)</f>
        <v/>
      </c>
      <c r="K282" s="10">
        <f>IF($B282="","",IF('Komisyon Tarifeleri'!J282="","",'Komisyon Tarifeleri'!J282))</f>
        <v/>
      </c>
      <c r="L282" s="11">
        <f>IF(K282="","",IF($AM$1=2,'Komisyon Tarifeleri'!V282,'Komisyon Tarifeleri'!Q282))</f>
        <v/>
      </c>
      <c r="M282" s="10">
        <f>IF(OR(K282="",$D282=""),"",K282*(1-L282/100)-$D282-IF(K282&lt;=199.99,Kargo!$E$2,IF(K282&lt;=399.99,Kargo!$E$3,$F282)))</f>
        <v/>
      </c>
      <c r="N282" s="12">
        <f>IF(M282="","",M282/K282)</f>
        <v/>
      </c>
      <c r="O282" s="10">
        <f>IF($B282="","",IF('Komisyon Tarifeleri'!L282="","",'Komisyon Tarifeleri'!L282))</f>
        <v/>
      </c>
      <c r="P282" s="11">
        <f>IF(O282="","",IF($AM$1=2,'Komisyon Tarifeleri'!W282,'Komisyon Tarifeleri'!R282))</f>
        <v/>
      </c>
      <c r="Q282" s="10">
        <f>IF(OR(O282="",$D282=""),"",O282*(1-P282/100)-$D282-IF(O282&lt;=199.99,Kargo!$E$2,IF(O282&lt;=399.99,Kargo!$E$3,$F282)))</f>
        <v/>
      </c>
      <c r="R282" s="12">
        <f>IF(Q282="","",Q282/O282)</f>
        <v/>
      </c>
      <c r="S282" s="10">
        <f>IF($B282="","",IF('Komisyon Tarifeleri'!N282="","",'Komisyon Tarifeleri'!N282))</f>
        <v/>
      </c>
      <c r="T282" s="11">
        <f>IF(S282="","",IF($AM$1=2,'Komisyon Tarifeleri'!X282,'Komisyon Tarifeleri'!S282))</f>
        <v/>
      </c>
      <c r="U282" s="10">
        <f>IF(OR(S282="",$D282=""),"",S282*(1-T282/100)-$D282-IF(S282&lt;=199.99,Kargo!$E$2,IF(S282&lt;=399.99,Kargo!$E$3,$F282)))</f>
        <v/>
      </c>
      <c r="V282" s="12">
        <f>IF(U282="","",U282/S282)</f>
        <v/>
      </c>
      <c r="W282" s="12">
        <f>IF($B282="","",IFERROR(VLOOKUP($C282,Hedefler!$A:$C,2,FALSE),0.04))</f>
        <v/>
      </c>
      <c r="X282" s="12">
        <f>IF($B282="","",IFERROR(VLOOKUP($C282,Hedefler!$A:$C,3,FALSE),0.1))</f>
        <v/>
      </c>
      <c r="Y282" s="13">
        <f>IF($B282="","",IFERROR(VLOOKUP($B282,Maliyetler!$A:$E,5,FALSE),""))</f>
        <v/>
      </c>
      <c r="Z282" s="13">
        <f>IF(OR(Y282="",Y282=0),"",Y282-1)</f>
        <v/>
      </c>
      <c r="AA282" s="14">
        <f>IF(Z282="","",IF(Z282&gt;='Komisyon Tarifeleri'!I282,IF($AM$1=2,'Komisyon Tarifeleri'!U282,'Komisyon Tarifeleri'!P282),IF(Z282&gt;='Komisyon Tarifeleri'!K282,IF($AM$1=2,'Komisyon Tarifeleri'!V282,'Komisyon Tarifeleri'!Q282),IF(Z282&gt;='Komisyon Tarifeleri'!M282,IF($AM$1=2,'Komisyon Tarifeleri'!W282,'Komisyon Tarifeleri'!R282),IF($AM$1=2,'Komisyon Tarifeleri'!X282,'Komisyon Tarifeleri'!S282)))))</f>
        <v/>
      </c>
      <c r="AB282" s="13">
        <f>IF(OR(AA282="",$D282=""),"",Z282*(1-AA282/100)-$D282-IF(Z282&lt;=199.99,Kargo!$E$2,IF(Z282&lt;=399.99,Kargo!$E$3,$F282)))</f>
        <v/>
      </c>
      <c r="AC282" s="15">
        <f>IF(AB282="","",AB282/Z282)</f>
        <v/>
      </c>
      <c r="AD282" s="10">
        <f>IF(OR($D282="",$B282=""),"",IF(AND((1-T282/100-W282)&gt;0,CEILING(($D282+$F282)/(1-T282/100-W282),1)&lt;='Komisyon Tarifeleri'!N282),CEILING(($D282+$F282)/(1-T282/100-W282),1),IF(AND((1-P282/100-W282)&gt;0,CEILING(MAX('Komisyon Tarifeleri'!M282,($D282+$F282)/(1-P282/100-W282)),1)&lt;='Komisyon Tarifeleri'!L282),CEILING(MAX('Komisyon Tarifeleri'!M282,($D282+$F282)/(1-P282/100-W282)),1),IF(AND((1-L282/100-W282)&gt;0,CEILING(MAX('Komisyon Tarifeleri'!K282,($D282+$F282)/(1-L282/100-W282)),1)&lt;='Komisyon Tarifeleri'!J282),CEILING(MAX('Komisyon Tarifeleri'!K282,($D282+$F282)/(1-L282/100-W282)),1),IF((1-H282/100-W282)&gt;0,CEILING(MAX('Komisyon Tarifeleri'!I282,($D282+$F282)/(1-H282/100-W282)),1),"İMKÂNSIZ")))))</f>
        <v/>
      </c>
      <c r="AE282" s="10">
        <f>IF(OR($D282="",$B282=""),"",IF(AND((1-T282/100-X282)&gt;0,CEILING(($D282+$F282)/(1-T282/100-X282),1)&lt;='Komisyon Tarifeleri'!N282),CEILING(($D282+$F282)/(1-T282/100-X282),1),IF(AND((1-P282/100-X282)&gt;0,CEILING(MAX('Komisyon Tarifeleri'!M282,($D282+$F282)/(1-P282/100-X282)),1)&lt;='Komisyon Tarifeleri'!L282),CEILING(MAX('Komisyon Tarifeleri'!M282,($D282+$F282)/(1-P282/100-X282)),1),IF(AND((1-L282/100-X282)&gt;0,CEILING(MAX('Komisyon Tarifeleri'!K282,($D282+$F282)/(1-L282/100-X282)),1)&lt;='Komisyon Tarifeleri'!J282),CEILING(MAX('Komisyon Tarifeleri'!K282,($D282+$F282)/(1-L282/100-X282)),1),IF((1-H282/100-X282)&gt;0,CEILING(MAX('Komisyon Tarifeleri'!I282,($D282+$F282)/(1-H282/100-X282)),1),"İMKÂNSIZ")))))</f>
        <v/>
      </c>
      <c r="AF282" s="16">
        <f>IF($D282="","",IF(AND(Y282&lt;&gt;"",AC282&lt;&gt;"",AC282&gt;=W282),Z282,IF(Y282&lt;&gt;"",AD282,AE282)))</f>
        <v/>
      </c>
      <c r="AG282" s="16">
        <f>IF(OR(AF282="",AF282="İMKÂNSIZ"),"",AF282*(1-IF(AF282&gt;='Komisyon Tarifeleri'!I282,IF($AM$1=2,'Komisyon Tarifeleri'!U282,'Komisyon Tarifeleri'!P282),IF(AF282&gt;='Komisyon Tarifeleri'!K282,IF($AM$1=2,'Komisyon Tarifeleri'!V282,'Komisyon Tarifeleri'!Q282),IF(AF282&gt;='Komisyon Tarifeleri'!M282,IF($AM$1=2,'Komisyon Tarifeleri'!W282,'Komisyon Tarifeleri'!R282),IF($AM$1=2,'Komisyon Tarifeleri'!X282,'Komisyon Tarifeleri'!S282))))/100)-$D282-IF(AF282&lt;=199.99,Kargo!$E$2,IF(AF282&lt;=399.99,Kargo!$E$3,$F282)))</f>
        <v/>
      </c>
      <c r="AH282" s="17">
        <f>IF(AG282="","",AG282/AF282)</f>
        <v/>
      </c>
      <c r="AI282" s="18">
        <f>IF($D282="","",IF(Y282="","BUYBOX YOK → hedef kârla min fiyat",IF(AC282&gt;=W282,"✓ BUYBOX ALTINA GİR","BUYBOX ALTI KÂRSIZ → min kârlı fiyat")))</f>
        <v/>
      </c>
      <c r="AJ282" s="10">
        <f>IF($B282="","",IFERROR(VLOOKUP($B282,Maliyetler!$A:$G,6,FALSE),""))</f>
        <v/>
      </c>
      <c r="AK282">
        <f>IF($B282="","",IFERROR(VLOOKUP($B282,Maliyetler!$A:$G,7,FALSE),""))</f>
        <v/>
      </c>
      <c r="AO282" s="21">
        <f>IF($B282="","",IFERROR(VLOOKUP($B282&amp;"",'Plus Tarifeleri'!$C:$Q,11,FALSE),""))</f>
        <v/>
      </c>
      <c r="AP282" s="22">
        <f>IF(AO282="","",IFERROR(IF($AM$1=2,VLOOKUP($B282&amp;"",'Plus Tarifeleri'!$C:$Q,15,FALSE),VLOOKUP($B282&amp;"",'Plus Tarifeleri'!$C:$Q,13,FALSE)),""))</f>
        <v/>
      </c>
      <c r="AQ282" s="21">
        <f>IF(OR(AO282="",AP282="",$D282=""),"",AO282*(1-AP282/100)-$D282-IF(AO282&lt;=199.99,Kargo!$E$2,IF(AO282&lt;=399.99,Kargo!$E$3,$F282)))</f>
        <v/>
      </c>
      <c r="AR282" s="23">
        <f>IF(AQ282="","",AQ282/AO282)</f>
        <v/>
      </c>
      <c r="AS282" s="24">
        <f>IF(OR(AQ282="",AG282=""),"",AQ282-AG282)</f>
        <v/>
      </c>
    </row>
    <row r="283">
      <c r="A283">
        <f>IF('Komisyon Tarifeleri'!A283="","",'Komisyon Tarifeleri'!A283)</f>
        <v/>
      </c>
      <c r="B283">
        <f>IF('Komisyon Tarifeleri'!B283="","",'Komisyon Tarifeleri'!B283&amp;"")</f>
        <v/>
      </c>
      <c r="C283">
        <f>IF($B283="","",'Komisyon Tarifeleri'!F283)</f>
        <v/>
      </c>
      <c r="D283" s="10">
        <f>IF($B283="","",IFERROR(VLOOKUP($B283,Maliyetler!$A:$E,3,FALSE),""))</f>
        <v/>
      </c>
      <c r="E283">
        <f>IF($B283="","",IFERROR(VLOOKUP($B283,Maliyetler!$A:$E,4,FALSE),1))</f>
        <v/>
      </c>
      <c r="F283" s="10">
        <f>IF($B283="","",IFERROR(VLOOKUP(MIN(20,MAX(1,ROUND($E283,0))),Kargo!$A:$B,2,FALSE),99.46))</f>
        <v/>
      </c>
      <c r="G283" s="10">
        <f>IF($B283="","",IF(IF(N('Komisyon Tarifeleri'!AA283)&gt;='Komisyon Tarifeleri'!I283,'Komisyon Tarifeleri'!AA283,'Komisyon Tarifeleri'!I283)="","",IF(N('Komisyon Tarifeleri'!AA283)&gt;='Komisyon Tarifeleri'!I283,'Komisyon Tarifeleri'!AA283,'Komisyon Tarifeleri'!I283)))</f>
        <v/>
      </c>
      <c r="H283" s="11">
        <f>IF(G283="","",IF($AM$1=2,'Komisyon Tarifeleri'!U283,'Komisyon Tarifeleri'!P283))</f>
        <v/>
      </c>
      <c r="I283" s="10">
        <f>IF(OR(G283="",$D283=""),"",G283*(1-H283/100)-$D283-IF(G283&lt;=199.99,Kargo!$E$2,IF(G283&lt;=399.99,Kargo!$E$3,$F283)))</f>
        <v/>
      </c>
      <c r="J283" s="12">
        <f>IF(I283="","",I283/G283)</f>
        <v/>
      </c>
      <c r="K283" s="10">
        <f>IF($B283="","",IF('Komisyon Tarifeleri'!J283="","",'Komisyon Tarifeleri'!J283))</f>
        <v/>
      </c>
      <c r="L283" s="11">
        <f>IF(K283="","",IF($AM$1=2,'Komisyon Tarifeleri'!V283,'Komisyon Tarifeleri'!Q283))</f>
        <v/>
      </c>
      <c r="M283" s="10">
        <f>IF(OR(K283="",$D283=""),"",K283*(1-L283/100)-$D283-IF(K283&lt;=199.99,Kargo!$E$2,IF(K283&lt;=399.99,Kargo!$E$3,$F283)))</f>
        <v/>
      </c>
      <c r="N283" s="12">
        <f>IF(M283="","",M283/K283)</f>
        <v/>
      </c>
      <c r="O283" s="10">
        <f>IF($B283="","",IF('Komisyon Tarifeleri'!L283="","",'Komisyon Tarifeleri'!L283))</f>
        <v/>
      </c>
      <c r="P283" s="11">
        <f>IF(O283="","",IF($AM$1=2,'Komisyon Tarifeleri'!W283,'Komisyon Tarifeleri'!R283))</f>
        <v/>
      </c>
      <c r="Q283" s="10">
        <f>IF(OR(O283="",$D283=""),"",O283*(1-P283/100)-$D283-IF(O283&lt;=199.99,Kargo!$E$2,IF(O283&lt;=399.99,Kargo!$E$3,$F283)))</f>
        <v/>
      </c>
      <c r="R283" s="12">
        <f>IF(Q283="","",Q283/O283)</f>
        <v/>
      </c>
      <c r="S283" s="10">
        <f>IF($B283="","",IF('Komisyon Tarifeleri'!N283="","",'Komisyon Tarifeleri'!N283))</f>
        <v/>
      </c>
      <c r="T283" s="11">
        <f>IF(S283="","",IF($AM$1=2,'Komisyon Tarifeleri'!X283,'Komisyon Tarifeleri'!S283))</f>
        <v/>
      </c>
      <c r="U283" s="10">
        <f>IF(OR(S283="",$D283=""),"",S283*(1-T283/100)-$D283-IF(S283&lt;=199.99,Kargo!$E$2,IF(S283&lt;=399.99,Kargo!$E$3,$F283)))</f>
        <v/>
      </c>
      <c r="V283" s="12">
        <f>IF(U283="","",U283/S283)</f>
        <v/>
      </c>
      <c r="W283" s="12">
        <f>IF($B283="","",IFERROR(VLOOKUP($C283,Hedefler!$A:$C,2,FALSE),0.04))</f>
        <v/>
      </c>
      <c r="X283" s="12">
        <f>IF($B283="","",IFERROR(VLOOKUP($C283,Hedefler!$A:$C,3,FALSE),0.1))</f>
        <v/>
      </c>
      <c r="Y283" s="13">
        <f>IF($B283="","",IFERROR(VLOOKUP($B283,Maliyetler!$A:$E,5,FALSE),""))</f>
        <v/>
      </c>
      <c r="Z283" s="13">
        <f>IF(OR(Y283="",Y283=0),"",Y283-1)</f>
        <v/>
      </c>
      <c r="AA283" s="14">
        <f>IF(Z283="","",IF(Z283&gt;='Komisyon Tarifeleri'!I283,IF($AM$1=2,'Komisyon Tarifeleri'!U283,'Komisyon Tarifeleri'!P283),IF(Z283&gt;='Komisyon Tarifeleri'!K283,IF($AM$1=2,'Komisyon Tarifeleri'!V283,'Komisyon Tarifeleri'!Q283),IF(Z283&gt;='Komisyon Tarifeleri'!M283,IF($AM$1=2,'Komisyon Tarifeleri'!W283,'Komisyon Tarifeleri'!R283),IF($AM$1=2,'Komisyon Tarifeleri'!X283,'Komisyon Tarifeleri'!S283)))))</f>
        <v/>
      </c>
      <c r="AB283" s="13">
        <f>IF(OR(AA283="",$D283=""),"",Z283*(1-AA283/100)-$D283-IF(Z283&lt;=199.99,Kargo!$E$2,IF(Z283&lt;=399.99,Kargo!$E$3,$F283)))</f>
        <v/>
      </c>
      <c r="AC283" s="15">
        <f>IF(AB283="","",AB283/Z283)</f>
        <v/>
      </c>
      <c r="AD283" s="10">
        <f>IF(OR($D283="",$B283=""),"",IF(AND((1-T283/100-W283)&gt;0,CEILING(($D283+$F283)/(1-T283/100-W283),1)&lt;='Komisyon Tarifeleri'!N283),CEILING(($D283+$F283)/(1-T283/100-W283),1),IF(AND((1-P283/100-W283)&gt;0,CEILING(MAX('Komisyon Tarifeleri'!M283,($D283+$F283)/(1-P283/100-W283)),1)&lt;='Komisyon Tarifeleri'!L283),CEILING(MAX('Komisyon Tarifeleri'!M283,($D283+$F283)/(1-P283/100-W283)),1),IF(AND((1-L283/100-W283)&gt;0,CEILING(MAX('Komisyon Tarifeleri'!K283,($D283+$F283)/(1-L283/100-W283)),1)&lt;='Komisyon Tarifeleri'!J283),CEILING(MAX('Komisyon Tarifeleri'!K283,($D283+$F283)/(1-L283/100-W283)),1),IF((1-H283/100-W283)&gt;0,CEILING(MAX('Komisyon Tarifeleri'!I283,($D283+$F283)/(1-H283/100-W283)),1),"İMKÂNSIZ")))))</f>
        <v/>
      </c>
      <c r="AE283" s="10">
        <f>IF(OR($D283="",$B283=""),"",IF(AND((1-T283/100-X283)&gt;0,CEILING(($D283+$F283)/(1-T283/100-X283),1)&lt;='Komisyon Tarifeleri'!N283),CEILING(($D283+$F283)/(1-T283/100-X283),1),IF(AND((1-P283/100-X283)&gt;0,CEILING(MAX('Komisyon Tarifeleri'!M283,($D283+$F283)/(1-P283/100-X283)),1)&lt;='Komisyon Tarifeleri'!L283),CEILING(MAX('Komisyon Tarifeleri'!M283,($D283+$F283)/(1-P283/100-X283)),1),IF(AND((1-L283/100-X283)&gt;0,CEILING(MAX('Komisyon Tarifeleri'!K283,($D283+$F283)/(1-L283/100-X283)),1)&lt;='Komisyon Tarifeleri'!J283),CEILING(MAX('Komisyon Tarifeleri'!K283,($D283+$F283)/(1-L283/100-X283)),1),IF((1-H283/100-X283)&gt;0,CEILING(MAX('Komisyon Tarifeleri'!I283,($D283+$F283)/(1-H283/100-X283)),1),"İMKÂNSIZ")))))</f>
        <v/>
      </c>
      <c r="AF283" s="16">
        <f>IF($D283="","",IF(AND(Y283&lt;&gt;"",AC283&lt;&gt;"",AC283&gt;=W283),Z283,IF(Y283&lt;&gt;"",AD283,AE283)))</f>
        <v/>
      </c>
      <c r="AG283" s="16">
        <f>IF(OR(AF283="",AF283="İMKÂNSIZ"),"",AF283*(1-IF(AF283&gt;='Komisyon Tarifeleri'!I283,IF($AM$1=2,'Komisyon Tarifeleri'!U283,'Komisyon Tarifeleri'!P283),IF(AF283&gt;='Komisyon Tarifeleri'!K283,IF($AM$1=2,'Komisyon Tarifeleri'!V283,'Komisyon Tarifeleri'!Q283),IF(AF283&gt;='Komisyon Tarifeleri'!M283,IF($AM$1=2,'Komisyon Tarifeleri'!W283,'Komisyon Tarifeleri'!R283),IF($AM$1=2,'Komisyon Tarifeleri'!X283,'Komisyon Tarifeleri'!S283))))/100)-$D283-IF(AF283&lt;=199.99,Kargo!$E$2,IF(AF283&lt;=399.99,Kargo!$E$3,$F283)))</f>
        <v/>
      </c>
      <c r="AH283" s="17">
        <f>IF(AG283="","",AG283/AF283)</f>
        <v/>
      </c>
      <c r="AI283" s="18">
        <f>IF($D283="","",IF(Y283="","BUYBOX YOK → hedef kârla min fiyat",IF(AC283&gt;=W283,"✓ BUYBOX ALTINA GİR","BUYBOX ALTI KÂRSIZ → min kârlı fiyat")))</f>
        <v/>
      </c>
      <c r="AJ283" s="10">
        <f>IF($B283="","",IFERROR(VLOOKUP($B283,Maliyetler!$A:$G,6,FALSE),""))</f>
        <v/>
      </c>
      <c r="AK283">
        <f>IF($B283="","",IFERROR(VLOOKUP($B283,Maliyetler!$A:$G,7,FALSE),""))</f>
        <v/>
      </c>
      <c r="AO283" s="21">
        <f>IF($B283="","",IFERROR(VLOOKUP($B283&amp;"",'Plus Tarifeleri'!$C:$Q,11,FALSE),""))</f>
        <v/>
      </c>
      <c r="AP283" s="22">
        <f>IF(AO283="","",IFERROR(IF($AM$1=2,VLOOKUP($B283&amp;"",'Plus Tarifeleri'!$C:$Q,15,FALSE),VLOOKUP($B283&amp;"",'Plus Tarifeleri'!$C:$Q,13,FALSE)),""))</f>
        <v/>
      </c>
      <c r="AQ283" s="21">
        <f>IF(OR(AO283="",AP283="",$D283=""),"",AO283*(1-AP283/100)-$D283-IF(AO283&lt;=199.99,Kargo!$E$2,IF(AO283&lt;=399.99,Kargo!$E$3,$F283)))</f>
        <v/>
      </c>
      <c r="AR283" s="23">
        <f>IF(AQ283="","",AQ283/AO283)</f>
        <v/>
      </c>
      <c r="AS283" s="24">
        <f>IF(OR(AQ283="",AG283=""),"",AQ283-AG283)</f>
        <v/>
      </c>
    </row>
    <row r="284">
      <c r="A284">
        <f>IF('Komisyon Tarifeleri'!A284="","",'Komisyon Tarifeleri'!A284)</f>
        <v/>
      </c>
      <c r="B284">
        <f>IF('Komisyon Tarifeleri'!B284="","",'Komisyon Tarifeleri'!B284&amp;"")</f>
        <v/>
      </c>
      <c r="C284">
        <f>IF($B284="","",'Komisyon Tarifeleri'!F284)</f>
        <v/>
      </c>
      <c r="D284" s="10">
        <f>IF($B284="","",IFERROR(VLOOKUP($B284,Maliyetler!$A:$E,3,FALSE),""))</f>
        <v/>
      </c>
      <c r="E284">
        <f>IF($B284="","",IFERROR(VLOOKUP($B284,Maliyetler!$A:$E,4,FALSE),1))</f>
        <v/>
      </c>
      <c r="F284" s="10">
        <f>IF($B284="","",IFERROR(VLOOKUP(MIN(20,MAX(1,ROUND($E284,0))),Kargo!$A:$B,2,FALSE),99.46))</f>
        <v/>
      </c>
      <c r="G284" s="10">
        <f>IF($B284="","",IF(IF(N('Komisyon Tarifeleri'!AA284)&gt;='Komisyon Tarifeleri'!I284,'Komisyon Tarifeleri'!AA284,'Komisyon Tarifeleri'!I284)="","",IF(N('Komisyon Tarifeleri'!AA284)&gt;='Komisyon Tarifeleri'!I284,'Komisyon Tarifeleri'!AA284,'Komisyon Tarifeleri'!I284)))</f>
        <v/>
      </c>
      <c r="H284" s="11">
        <f>IF(G284="","",IF($AM$1=2,'Komisyon Tarifeleri'!U284,'Komisyon Tarifeleri'!P284))</f>
        <v/>
      </c>
      <c r="I284" s="10">
        <f>IF(OR(G284="",$D284=""),"",G284*(1-H284/100)-$D284-IF(G284&lt;=199.99,Kargo!$E$2,IF(G284&lt;=399.99,Kargo!$E$3,$F284)))</f>
        <v/>
      </c>
      <c r="J284" s="12">
        <f>IF(I284="","",I284/G284)</f>
        <v/>
      </c>
      <c r="K284" s="10">
        <f>IF($B284="","",IF('Komisyon Tarifeleri'!J284="","",'Komisyon Tarifeleri'!J284))</f>
        <v/>
      </c>
      <c r="L284" s="11">
        <f>IF(K284="","",IF($AM$1=2,'Komisyon Tarifeleri'!V284,'Komisyon Tarifeleri'!Q284))</f>
        <v/>
      </c>
      <c r="M284" s="10">
        <f>IF(OR(K284="",$D284=""),"",K284*(1-L284/100)-$D284-IF(K284&lt;=199.99,Kargo!$E$2,IF(K284&lt;=399.99,Kargo!$E$3,$F284)))</f>
        <v/>
      </c>
      <c r="N284" s="12">
        <f>IF(M284="","",M284/K284)</f>
        <v/>
      </c>
      <c r="O284" s="10">
        <f>IF($B284="","",IF('Komisyon Tarifeleri'!L284="","",'Komisyon Tarifeleri'!L284))</f>
        <v/>
      </c>
      <c r="P284" s="11">
        <f>IF(O284="","",IF($AM$1=2,'Komisyon Tarifeleri'!W284,'Komisyon Tarifeleri'!R284))</f>
        <v/>
      </c>
      <c r="Q284" s="10">
        <f>IF(OR(O284="",$D284=""),"",O284*(1-P284/100)-$D284-IF(O284&lt;=199.99,Kargo!$E$2,IF(O284&lt;=399.99,Kargo!$E$3,$F284)))</f>
        <v/>
      </c>
      <c r="R284" s="12">
        <f>IF(Q284="","",Q284/O284)</f>
        <v/>
      </c>
      <c r="S284" s="10">
        <f>IF($B284="","",IF('Komisyon Tarifeleri'!N284="","",'Komisyon Tarifeleri'!N284))</f>
        <v/>
      </c>
      <c r="T284" s="11">
        <f>IF(S284="","",IF($AM$1=2,'Komisyon Tarifeleri'!X284,'Komisyon Tarifeleri'!S284))</f>
        <v/>
      </c>
      <c r="U284" s="10">
        <f>IF(OR(S284="",$D284=""),"",S284*(1-T284/100)-$D284-IF(S284&lt;=199.99,Kargo!$E$2,IF(S284&lt;=399.99,Kargo!$E$3,$F284)))</f>
        <v/>
      </c>
      <c r="V284" s="12">
        <f>IF(U284="","",U284/S284)</f>
        <v/>
      </c>
      <c r="W284" s="12">
        <f>IF($B284="","",IFERROR(VLOOKUP($C284,Hedefler!$A:$C,2,FALSE),0.04))</f>
        <v/>
      </c>
      <c r="X284" s="12">
        <f>IF($B284="","",IFERROR(VLOOKUP($C284,Hedefler!$A:$C,3,FALSE),0.1))</f>
        <v/>
      </c>
      <c r="Y284" s="13">
        <f>IF($B284="","",IFERROR(VLOOKUP($B284,Maliyetler!$A:$E,5,FALSE),""))</f>
        <v/>
      </c>
      <c r="Z284" s="13">
        <f>IF(OR(Y284="",Y284=0),"",Y284-1)</f>
        <v/>
      </c>
      <c r="AA284" s="14">
        <f>IF(Z284="","",IF(Z284&gt;='Komisyon Tarifeleri'!I284,IF($AM$1=2,'Komisyon Tarifeleri'!U284,'Komisyon Tarifeleri'!P284),IF(Z284&gt;='Komisyon Tarifeleri'!K284,IF($AM$1=2,'Komisyon Tarifeleri'!V284,'Komisyon Tarifeleri'!Q284),IF(Z284&gt;='Komisyon Tarifeleri'!M284,IF($AM$1=2,'Komisyon Tarifeleri'!W284,'Komisyon Tarifeleri'!R284),IF($AM$1=2,'Komisyon Tarifeleri'!X284,'Komisyon Tarifeleri'!S284)))))</f>
        <v/>
      </c>
      <c r="AB284" s="13">
        <f>IF(OR(AA284="",$D284=""),"",Z284*(1-AA284/100)-$D284-IF(Z284&lt;=199.99,Kargo!$E$2,IF(Z284&lt;=399.99,Kargo!$E$3,$F284)))</f>
        <v/>
      </c>
      <c r="AC284" s="15">
        <f>IF(AB284="","",AB284/Z284)</f>
        <v/>
      </c>
      <c r="AD284" s="10">
        <f>IF(OR($D284="",$B284=""),"",IF(AND((1-T284/100-W284)&gt;0,CEILING(($D284+$F284)/(1-T284/100-W284),1)&lt;='Komisyon Tarifeleri'!N284),CEILING(($D284+$F284)/(1-T284/100-W284),1),IF(AND((1-P284/100-W284)&gt;0,CEILING(MAX('Komisyon Tarifeleri'!M284,($D284+$F284)/(1-P284/100-W284)),1)&lt;='Komisyon Tarifeleri'!L284),CEILING(MAX('Komisyon Tarifeleri'!M284,($D284+$F284)/(1-P284/100-W284)),1),IF(AND((1-L284/100-W284)&gt;0,CEILING(MAX('Komisyon Tarifeleri'!K284,($D284+$F284)/(1-L284/100-W284)),1)&lt;='Komisyon Tarifeleri'!J284),CEILING(MAX('Komisyon Tarifeleri'!K284,($D284+$F284)/(1-L284/100-W284)),1),IF((1-H284/100-W284)&gt;0,CEILING(MAX('Komisyon Tarifeleri'!I284,($D284+$F284)/(1-H284/100-W284)),1),"İMKÂNSIZ")))))</f>
        <v/>
      </c>
      <c r="AE284" s="10">
        <f>IF(OR($D284="",$B284=""),"",IF(AND((1-T284/100-X284)&gt;0,CEILING(($D284+$F284)/(1-T284/100-X284),1)&lt;='Komisyon Tarifeleri'!N284),CEILING(($D284+$F284)/(1-T284/100-X284),1),IF(AND((1-P284/100-X284)&gt;0,CEILING(MAX('Komisyon Tarifeleri'!M284,($D284+$F284)/(1-P284/100-X284)),1)&lt;='Komisyon Tarifeleri'!L284),CEILING(MAX('Komisyon Tarifeleri'!M284,($D284+$F284)/(1-P284/100-X284)),1),IF(AND((1-L284/100-X284)&gt;0,CEILING(MAX('Komisyon Tarifeleri'!K284,($D284+$F284)/(1-L284/100-X284)),1)&lt;='Komisyon Tarifeleri'!J284),CEILING(MAX('Komisyon Tarifeleri'!K284,($D284+$F284)/(1-L284/100-X284)),1),IF((1-H284/100-X284)&gt;0,CEILING(MAX('Komisyon Tarifeleri'!I284,($D284+$F284)/(1-H284/100-X284)),1),"İMKÂNSIZ")))))</f>
        <v/>
      </c>
      <c r="AF284" s="16">
        <f>IF($D284="","",IF(AND(Y284&lt;&gt;"",AC284&lt;&gt;"",AC284&gt;=W284),Z284,IF(Y284&lt;&gt;"",AD284,AE284)))</f>
        <v/>
      </c>
      <c r="AG284" s="16">
        <f>IF(OR(AF284="",AF284="İMKÂNSIZ"),"",AF284*(1-IF(AF284&gt;='Komisyon Tarifeleri'!I284,IF($AM$1=2,'Komisyon Tarifeleri'!U284,'Komisyon Tarifeleri'!P284),IF(AF284&gt;='Komisyon Tarifeleri'!K284,IF($AM$1=2,'Komisyon Tarifeleri'!V284,'Komisyon Tarifeleri'!Q284),IF(AF284&gt;='Komisyon Tarifeleri'!M284,IF($AM$1=2,'Komisyon Tarifeleri'!W284,'Komisyon Tarifeleri'!R284),IF($AM$1=2,'Komisyon Tarifeleri'!X284,'Komisyon Tarifeleri'!S284))))/100)-$D284-IF(AF284&lt;=199.99,Kargo!$E$2,IF(AF284&lt;=399.99,Kargo!$E$3,$F284)))</f>
        <v/>
      </c>
      <c r="AH284" s="17">
        <f>IF(AG284="","",AG284/AF284)</f>
        <v/>
      </c>
      <c r="AI284" s="18">
        <f>IF($D284="","",IF(Y284="","BUYBOX YOK → hedef kârla min fiyat",IF(AC284&gt;=W284,"✓ BUYBOX ALTINA GİR","BUYBOX ALTI KÂRSIZ → min kârlı fiyat")))</f>
        <v/>
      </c>
      <c r="AJ284" s="10">
        <f>IF($B284="","",IFERROR(VLOOKUP($B284,Maliyetler!$A:$G,6,FALSE),""))</f>
        <v/>
      </c>
      <c r="AK284">
        <f>IF($B284="","",IFERROR(VLOOKUP($B284,Maliyetler!$A:$G,7,FALSE),""))</f>
        <v/>
      </c>
      <c r="AO284" s="21">
        <f>IF($B284="","",IFERROR(VLOOKUP($B284&amp;"",'Plus Tarifeleri'!$C:$Q,11,FALSE),""))</f>
        <v/>
      </c>
      <c r="AP284" s="22">
        <f>IF(AO284="","",IFERROR(IF($AM$1=2,VLOOKUP($B284&amp;"",'Plus Tarifeleri'!$C:$Q,15,FALSE),VLOOKUP($B284&amp;"",'Plus Tarifeleri'!$C:$Q,13,FALSE)),""))</f>
        <v/>
      </c>
      <c r="AQ284" s="21">
        <f>IF(OR(AO284="",AP284="",$D284=""),"",AO284*(1-AP284/100)-$D284-IF(AO284&lt;=199.99,Kargo!$E$2,IF(AO284&lt;=399.99,Kargo!$E$3,$F284)))</f>
        <v/>
      </c>
      <c r="AR284" s="23">
        <f>IF(AQ284="","",AQ284/AO284)</f>
        <v/>
      </c>
      <c r="AS284" s="24">
        <f>IF(OR(AQ284="",AG284=""),"",AQ284-AG284)</f>
        <v/>
      </c>
    </row>
    <row r="285">
      <c r="A285">
        <f>IF('Komisyon Tarifeleri'!A285="","",'Komisyon Tarifeleri'!A285)</f>
        <v/>
      </c>
      <c r="B285">
        <f>IF('Komisyon Tarifeleri'!B285="","",'Komisyon Tarifeleri'!B285&amp;"")</f>
        <v/>
      </c>
      <c r="C285">
        <f>IF($B285="","",'Komisyon Tarifeleri'!F285)</f>
        <v/>
      </c>
      <c r="D285" s="10">
        <f>IF($B285="","",IFERROR(VLOOKUP($B285,Maliyetler!$A:$E,3,FALSE),""))</f>
        <v/>
      </c>
      <c r="E285">
        <f>IF($B285="","",IFERROR(VLOOKUP($B285,Maliyetler!$A:$E,4,FALSE),1))</f>
        <v/>
      </c>
      <c r="F285" s="10">
        <f>IF($B285="","",IFERROR(VLOOKUP(MIN(20,MAX(1,ROUND($E285,0))),Kargo!$A:$B,2,FALSE),99.46))</f>
        <v/>
      </c>
      <c r="G285" s="10">
        <f>IF($B285="","",IF(IF(N('Komisyon Tarifeleri'!AA285)&gt;='Komisyon Tarifeleri'!I285,'Komisyon Tarifeleri'!AA285,'Komisyon Tarifeleri'!I285)="","",IF(N('Komisyon Tarifeleri'!AA285)&gt;='Komisyon Tarifeleri'!I285,'Komisyon Tarifeleri'!AA285,'Komisyon Tarifeleri'!I285)))</f>
        <v/>
      </c>
      <c r="H285" s="11">
        <f>IF(G285="","",IF($AM$1=2,'Komisyon Tarifeleri'!U285,'Komisyon Tarifeleri'!P285))</f>
        <v/>
      </c>
      <c r="I285" s="10">
        <f>IF(OR(G285="",$D285=""),"",G285*(1-H285/100)-$D285-IF(G285&lt;=199.99,Kargo!$E$2,IF(G285&lt;=399.99,Kargo!$E$3,$F285)))</f>
        <v/>
      </c>
      <c r="J285" s="12">
        <f>IF(I285="","",I285/G285)</f>
        <v/>
      </c>
      <c r="K285" s="10">
        <f>IF($B285="","",IF('Komisyon Tarifeleri'!J285="","",'Komisyon Tarifeleri'!J285))</f>
        <v/>
      </c>
      <c r="L285" s="11">
        <f>IF(K285="","",IF($AM$1=2,'Komisyon Tarifeleri'!V285,'Komisyon Tarifeleri'!Q285))</f>
        <v/>
      </c>
      <c r="M285" s="10">
        <f>IF(OR(K285="",$D285=""),"",K285*(1-L285/100)-$D285-IF(K285&lt;=199.99,Kargo!$E$2,IF(K285&lt;=399.99,Kargo!$E$3,$F285)))</f>
        <v/>
      </c>
      <c r="N285" s="12">
        <f>IF(M285="","",M285/K285)</f>
        <v/>
      </c>
      <c r="O285" s="10">
        <f>IF($B285="","",IF('Komisyon Tarifeleri'!L285="","",'Komisyon Tarifeleri'!L285))</f>
        <v/>
      </c>
      <c r="P285" s="11">
        <f>IF(O285="","",IF($AM$1=2,'Komisyon Tarifeleri'!W285,'Komisyon Tarifeleri'!R285))</f>
        <v/>
      </c>
      <c r="Q285" s="10">
        <f>IF(OR(O285="",$D285=""),"",O285*(1-P285/100)-$D285-IF(O285&lt;=199.99,Kargo!$E$2,IF(O285&lt;=399.99,Kargo!$E$3,$F285)))</f>
        <v/>
      </c>
      <c r="R285" s="12">
        <f>IF(Q285="","",Q285/O285)</f>
        <v/>
      </c>
      <c r="S285" s="10">
        <f>IF($B285="","",IF('Komisyon Tarifeleri'!N285="","",'Komisyon Tarifeleri'!N285))</f>
        <v/>
      </c>
      <c r="T285" s="11">
        <f>IF(S285="","",IF($AM$1=2,'Komisyon Tarifeleri'!X285,'Komisyon Tarifeleri'!S285))</f>
        <v/>
      </c>
      <c r="U285" s="10">
        <f>IF(OR(S285="",$D285=""),"",S285*(1-T285/100)-$D285-IF(S285&lt;=199.99,Kargo!$E$2,IF(S285&lt;=399.99,Kargo!$E$3,$F285)))</f>
        <v/>
      </c>
      <c r="V285" s="12">
        <f>IF(U285="","",U285/S285)</f>
        <v/>
      </c>
      <c r="W285" s="12">
        <f>IF($B285="","",IFERROR(VLOOKUP($C285,Hedefler!$A:$C,2,FALSE),0.04))</f>
        <v/>
      </c>
      <c r="X285" s="12">
        <f>IF($B285="","",IFERROR(VLOOKUP($C285,Hedefler!$A:$C,3,FALSE),0.1))</f>
        <v/>
      </c>
      <c r="Y285" s="13">
        <f>IF($B285="","",IFERROR(VLOOKUP($B285,Maliyetler!$A:$E,5,FALSE),""))</f>
        <v/>
      </c>
      <c r="Z285" s="13">
        <f>IF(OR(Y285="",Y285=0),"",Y285-1)</f>
        <v/>
      </c>
      <c r="AA285" s="14">
        <f>IF(Z285="","",IF(Z285&gt;='Komisyon Tarifeleri'!I285,IF($AM$1=2,'Komisyon Tarifeleri'!U285,'Komisyon Tarifeleri'!P285),IF(Z285&gt;='Komisyon Tarifeleri'!K285,IF($AM$1=2,'Komisyon Tarifeleri'!V285,'Komisyon Tarifeleri'!Q285),IF(Z285&gt;='Komisyon Tarifeleri'!M285,IF($AM$1=2,'Komisyon Tarifeleri'!W285,'Komisyon Tarifeleri'!R285),IF($AM$1=2,'Komisyon Tarifeleri'!X285,'Komisyon Tarifeleri'!S285)))))</f>
        <v/>
      </c>
      <c r="AB285" s="13">
        <f>IF(OR(AA285="",$D285=""),"",Z285*(1-AA285/100)-$D285-IF(Z285&lt;=199.99,Kargo!$E$2,IF(Z285&lt;=399.99,Kargo!$E$3,$F285)))</f>
        <v/>
      </c>
      <c r="AC285" s="15">
        <f>IF(AB285="","",AB285/Z285)</f>
        <v/>
      </c>
      <c r="AD285" s="10">
        <f>IF(OR($D285="",$B285=""),"",IF(AND((1-T285/100-W285)&gt;0,CEILING(($D285+$F285)/(1-T285/100-W285),1)&lt;='Komisyon Tarifeleri'!N285),CEILING(($D285+$F285)/(1-T285/100-W285),1),IF(AND((1-P285/100-W285)&gt;0,CEILING(MAX('Komisyon Tarifeleri'!M285,($D285+$F285)/(1-P285/100-W285)),1)&lt;='Komisyon Tarifeleri'!L285),CEILING(MAX('Komisyon Tarifeleri'!M285,($D285+$F285)/(1-P285/100-W285)),1),IF(AND((1-L285/100-W285)&gt;0,CEILING(MAX('Komisyon Tarifeleri'!K285,($D285+$F285)/(1-L285/100-W285)),1)&lt;='Komisyon Tarifeleri'!J285),CEILING(MAX('Komisyon Tarifeleri'!K285,($D285+$F285)/(1-L285/100-W285)),1),IF((1-H285/100-W285)&gt;0,CEILING(MAX('Komisyon Tarifeleri'!I285,($D285+$F285)/(1-H285/100-W285)),1),"İMKÂNSIZ")))))</f>
        <v/>
      </c>
      <c r="AE285" s="10">
        <f>IF(OR($D285="",$B285=""),"",IF(AND((1-T285/100-X285)&gt;0,CEILING(($D285+$F285)/(1-T285/100-X285),1)&lt;='Komisyon Tarifeleri'!N285),CEILING(($D285+$F285)/(1-T285/100-X285),1),IF(AND((1-P285/100-X285)&gt;0,CEILING(MAX('Komisyon Tarifeleri'!M285,($D285+$F285)/(1-P285/100-X285)),1)&lt;='Komisyon Tarifeleri'!L285),CEILING(MAX('Komisyon Tarifeleri'!M285,($D285+$F285)/(1-P285/100-X285)),1),IF(AND((1-L285/100-X285)&gt;0,CEILING(MAX('Komisyon Tarifeleri'!K285,($D285+$F285)/(1-L285/100-X285)),1)&lt;='Komisyon Tarifeleri'!J285),CEILING(MAX('Komisyon Tarifeleri'!K285,($D285+$F285)/(1-L285/100-X285)),1),IF((1-H285/100-X285)&gt;0,CEILING(MAX('Komisyon Tarifeleri'!I285,($D285+$F285)/(1-H285/100-X285)),1),"İMKÂNSIZ")))))</f>
        <v/>
      </c>
      <c r="AF285" s="16">
        <f>IF($D285="","",IF(AND(Y285&lt;&gt;"",AC285&lt;&gt;"",AC285&gt;=W285),Z285,IF(Y285&lt;&gt;"",AD285,AE285)))</f>
        <v/>
      </c>
      <c r="AG285" s="16">
        <f>IF(OR(AF285="",AF285="İMKÂNSIZ"),"",AF285*(1-IF(AF285&gt;='Komisyon Tarifeleri'!I285,IF($AM$1=2,'Komisyon Tarifeleri'!U285,'Komisyon Tarifeleri'!P285),IF(AF285&gt;='Komisyon Tarifeleri'!K285,IF($AM$1=2,'Komisyon Tarifeleri'!V285,'Komisyon Tarifeleri'!Q285),IF(AF285&gt;='Komisyon Tarifeleri'!M285,IF($AM$1=2,'Komisyon Tarifeleri'!W285,'Komisyon Tarifeleri'!R285),IF($AM$1=2,'Komisyon Tarifeleri'!X285,'Komisyon Tarifeleri'!S285))))/100)-$D285-IF(AF285&lt;=199.99,Kargo!$E$2,IF(AF285&lt;=399.99,Kargo!$E$3,$F285)))</f>
        <v/>
      </c>
      <c r="AH285" s="17">
        <f>IF(AG285="","",AG285/AF285)</f>
        <v/>
      </c>
      <c r="AI285" s="18">
        <f>IF($D285="","",IF(Y285="","BUYBOX YOK → hedef kârla min fiyat",IF(AC285&gt;=W285,"✓ BUYBOX ALTINA GİR","BUYBOX ALTI KÂRSIZ → min kârlı fiyat")))</f>
        <v/>
      </c>
      <c r="AJ285" s="10">
        <f>IF($B285="","",IFERROR(VLOOKUP($B285,Maliyetler!$A:$G,6,FALSE),""))</f>
        <v/>
      </c>
      <c r="AK285">
        <f>IF($B285="","",IFERROR(VLOOKUP($B285,Maliyetler!$A:$G,7,FALSE),""))</f>
        <v/>
      </c>
      <c r="AO285" s="21">
        <f>IF($B285="","",IFERROR(VLOOKUP($B285&amp;"",'Plus Tarifeleri'!$C:$Q,11,FALSE),""))</f>
        <v/>
      </c>
      <c r="AP285" s="22">
        <f>IF(AO285="","",IFERROR(IF($AM$1=2,VLOOKUP($B285&amp;"",'Plus Tarifeleri'!$C:$Q,15,FALSE),VLOOKUP($B285&amp;"",'Plus Tarifeleri'!$C:$Q,13,FALSE)),""))</f>
        <v/>
      </c>
      <c r="AQ285" s="21">
        <f>IF(OR(AO285="",AP285="",$D285=""),"",AO285*(1-AP285/100)-$D285-IF(AO285&lt;=199.99,Kargo!$E$2,IF(AO285&lt;=399.99,Kargo!$E$3,$F285)))</f>
        <v/>
      </c>
      <c r="AR285" s="23">
        <f>IF(AQ285="","",AQ285/AO285)</f>
        <v/>
      </c>
      <c r="AS285" s="24">
        <f>IF(OR(AQ285="",AG285=""),"",AQ285-AG285)</f>
        <v/>
      </c>
    </row>
    <row r="286">
      <c r="A286">
        <f>IF('Komisyon Tarifeleri'!A286="","",'Komisyon Tarifeleri'!A286)</f>
        <v/>
      </c>
      <c r="B286">
        <f>IF('Komisyon Tarifeleri'!B286="","",'Komisyon Tarifeleri'!B286&amp;"")</f>
        <v/>
      </c>
      <c r="C286">
        <f>IF($B286="","",'Komisyon Tarifeleri'!F286)</f>
        <v/>
      </c>
      <c r="D286" s="10">
        <f>IF($B286="","",IFERROR(VLOOKUP($B286,Maliyetler!$A:$E,3,FALSE),""))</f>
        <v/>
      </c>
      <c r="E286">
        <f>IF($B286="","",IFERROR(VLOOKUP($B286,Maliyetler!$A:$E,4,FALSE),1))</f>
        <v/>
      </c>
      <c r="F286" s="10">
        <f>IF($B286="","",IFERROR(VLOOKUP(MIN(20,MAX(1,ROUND($E286,0))),Kargo!$A:$B,2,FALSE),99.46))</f>
        <v/>
      </c>
      <c r="G286" s="10">
        <f>IF($B286="","",IF(IF(N('Komisyon Tarifeleri'!AA286)&gt;='Komisyon Tarifeleri'!I286,'Komisyon Tarifeleri'!AA286,'Komisyon Tarifeleri'!I286)="","",IF(N('Komisyon Tarifeleri'!AA286)&gt;='Komisyon Tarifeleri'!I286,'Komisyon Tarifeleri'!AA286,'Komisyon Tarifeleri'!I286)))</f>
        <v/>
      </c>
      <c r="H286" s="11">
        <f>IF(G286="","",IF($AM$1=2,'Komisyon Tarifeleri'!U286,'Komisyon Tarifeleri'!P286))</f>
        <v/>
      </c>
      <c r="I286" s="10">
        <f>IF(OR(G286="",$D286=""),"",G286*(1-H286/100)-$D286-IF(G286&lt;=199.99,Kargo!$E$2,IF(G286&lt;=399.99,Kargo!$E$3,$F286)))</f>
        <v/>
      </c>
      <c r="J286" s="12">
        <f>IF(I286="","",I286/G286)</f>
        <v/>
      </c>
      <c r="K286" s="10">
        <f>IF($B286="","",IF('Komisyon Tarifeleri'!J286="","",'Komisyon Tarifeleri'!J286))</f>
        <v/>
      </c>
      <c r="L286" s="11">
        <f>IF(K286="","",IF($AM$1=2,'Komisyon Tarifeleri'!V286,'Komisyon Tarifeleri'!Q286))</f>
        <v/>
      </c>
      <c r="M286" s="10">
        <f>IF(OR(K286="",$D286=""),"",K286*(1-L286/100)-$D286-IF(K286&lt;=199.99,Kargo!$E$2,IF(K286&lt;=399.99,Kargo!$E$3,$F286)))</f>
        <v/>
      </c>
      <c r="N286" s="12">
        <f>IF(M286="","",M286/K286)</f>
        <v/>
      </c>
      <c r="O286" s="10">
        <f>IF($B286="","",IF('Komisyon Tarifeleri'!L286="","",'Komisyon Tarifeleri'!L286))</f>
        <v/>
      </c>
      <c r="P286" s="11">
        <f>IF(O286="","",IF($AM$1=2,'Komisyon Tarifeleri'!W286,'Komisyon Tarifeleri'!R286))</f>
        <v/>
      </c>
      <c r="Q286" s="10">
        <f>IF(OR(O286="",$D286=""),"",O286*(1-P286/100)-$D286-IF(O286&lt;=199.99,Kargo!$E$2,IF(O286&lt;=399.99,Kargo!$E$3,$F286)))</f>
        <v/>
      </c>
      <c r="R286" s="12">
        <f>IF(Q286="","",Q286/O286)</f>
        <v/>
      </c>
      <c r="S286" s="10">
        <f>IF($B286="","",IF('Komisyon Tarifeleri'!N286="","",'Komisyon Tarifeleri'!N286))</f>
        <v/>
      </c>
      <c r="T286" s="11">
        <f>IF(S286="","",IF($AM$1=2,'Komisyon Tarifeleri'!X286,'Komisyon Tarifeleri'!S286))</f>
        <v/>
      </c>
      <c r="U286" s="10">
        <f>IF(OR(S286="",$D286=""),"",S286*(1-T286/100)-$D286-IF(S286&lt;=199.99,Kargo!$E$2,IF(S286&lt;=399.99,Kargo!$E$3,$F286)))</f>
        <v/>
      </c>
      <c r="V286" s="12">
        <f>IF(U286="","",U286/S286)</f>
        <v/>
      </c>
      <c r="W286" s="12">
        <f>IF($B286="","",IFERROR(VLOOKUP($C286,Hedefler!$A:$C,2,FALSE),0.04))</f>
        <v/>
      </c>
      <c r="X286" s="12">
        <f>IF($B286="","",IFERROR(VLOOKUP($C286,Hedefler!$A:$C,3,FALSE),0.1))</f>
        <v/>
      </c>
      <c r="Y286" s="13">
        <f>IF($B286="","",IFERROR(VLOOKUP($B286,Maliyetler!$A:$E,5,FALSE),""))</f>
        <v/>
      </c>
      <c r="Z286" s="13">
        <f>IF(OR(Y286="",Y286=0),"",Y286-1)</f>
        <v/>
      </c>
      <c r="AA286" s="14">
        <f>IF(Z286="","",IF(Z286&gt;='Komisyon Tarifeleri'!I286,IF($AM$1=2,'Komisyon Tarifeleri'!U286,'Komisyon Tarifeleri'!P286),IF(Z286&gt;='Komisyon Tarifeleri'!K286,IF($AM$1=2,'Komisyon Tarifeleri'!V286,'Komisyon Tarifeleri'!Q286),IF(Z286&gt;='Komisyon Tarifeleri'!M286,IF($AM$1=2,'Komisyon Tarifeleri'!W286,'Komisyon Tarifeleri'!R286),IF($AM$1=2,'Komisyon Tarifeleri'!X286,'Komisyon Tarifeleri'!S286)))))</f>
        <v/>
      </c>
      <c r="AB286" s="13">
        <f>IF(OR(AA286="",$D286=""),"",Z286*(1-AA286/100)-$D286-IF(Z286&lt;=199.99,Kargo!$E$2,IF(Z286&lt;=399.99,Kargo!$E$3,$F286)))</f>
        <v/>
      </c>
      <c r="AC286" s="15">
        <f>IF(AB286="","",AB286/Z286)</f>
        <v/>
      </c>
      <c r="AD286" s="10">
        <f>IF(OR($D286="",$B286=""),"",IF(AND((1-T286/100-W286)&gt;0,CEILING(($D286+$F286)/(1-T286/100-W286),1)&lt;='Komisyon Tarifeleri'!N286),CEILING(($D286+$F286)/(1-T286/100-W286),1),IF(AND((1-P286/100-W286)&gt;0,CEILING(MAX('Komisyon Tarifeleri'!M286,($D286+$F286)/(1-P286/100-W286)),1)&lt;='Komisyon Tarifeleri'!L286),CEILING(MAX('Komisyon Tarifeleri'!M286,($D286+$F286)/(1-P286/100-W286)),1),IF(AND((1-L286/100-W286)&gt;0,CEILING(MAX('Komisyon Tarifeleri'!K286,($D286+$F286)/(1-L286/100-W286)),1)&lt;='Komisyon Tarifeleri'!J286),CEILING(MAX('Komisyon Tarifeleri'!K286,($D286+$F286)/(1-L286/100-W286)),1),IF((1-H286/100-W286)&gt;0,CEILING(MAX('Komisyon Tarifeleri'!I286,($D286+$F286)/(1-H286/100-W286)),1),"İMKÂNSIZ")))))</f>
        <v/>
      </c>
      <c r="AE286" s="10">
        <f>IF(OR($D286="",$B286=""),"",IF(AND((1-T286/100-X286)&gt;0,CEILING(($D286+$F286)/(1-T286/100-X286),1)&lt;='Komisyon Tarifeleri'!N286),CEILING(($D286+$F286)/(1-T286/100-X286),1),IF(AND((1-P286/100-X286)&gt;0,CEILING(MAX('Komisyon Tarifeleri'!M286,($D286+$F286)/(1-P286/100-X286)),1)&lt;='Komisyon Tarifeleri'!L286),CEILING(MAX('Komisyon Tarifeleri'!M286,($D286+$F286)/(1-P286/100-X286)),1),IF(AND((1-L286/100-X286)&gt;0,CEILING(MAX('Komisyon Tarifeleri'!K286,($D286+$F286)/(1-L286/100-X286)),1)&lt;='Komisyon Tarifeleri'!J286),CEILING(MAX('Komisyon Tarifeleri'!K286,($D286+$F286)/(1-L286/100-X286)),1),IF((1-H286/100-X286)&gt;0,CEILING(MAX('Komisyon Tarifeleri'!I286,($D286+$F286)/(1-H286/100-X286)),1),"İMKÂNSIZ")))))</f>
        <v/>
      </c>
      <c r="AF286" s="16">
        <f>IF($D286="","",IF(AND(Y286&lt;&gt;"",AC286&lt;&gt;"",AC286&gt;=W286),Z286,IF(Y286&lt;&gt;"",AD286,AE286)))</f>
        <v/>
      </c>
      <c r="AG286" s="16">
        <f>IF(OR(AF286="",AF286="İMKÂNSIZ"),"",AF286*(1-IF(AF286&gt;='Komisyon Tarifeleri'!I286,IF($AM$1=2,'Komisyon Tarifeleri'!U286,'Komisyon Tarifeleri'!P286),IF(AF286&gt;='Komisyon Tarifeleri'!K286,IF($AM$1=2,'Komisyon Tarifeleri'!V286,'Komisyon Tarifeleri'!Q286),IF(AF286&gt;='Komisyon Tarifeleri'!M286,IF($AM$1=2,'Komisyon Tarifeleri'!W286,'Komisyon Tarifeleri'!R286),IF($AM$1=2,'Komisyon Tarifeleri'!X286,'Komisyon Tarifeleri'!S286))))/100)-$D286-IF(AF286&lt;=199.99,Kargo!$E$2,IF(AF286&lt;=399.99,Kargo!$E$3,$F286)))</f>
        <v/>
      </c>
      <c r="AH286" s="17">
        <f>IF(AG286="","",AG286/AF286)</f>
        <v/>
      </c>
      <c r="AI286" s="18">
        <f>IF($D286="","",IF(Y286="","BUYBOX YOK → hedef kârla min fiyat",IF(AC286&gt;=W286,"✓ BUYBOX ALTINA GİR","BUYBOX ALTI KÂRSIZ → min kârlı fiyat")))</f>
        <v/>
      </c>
      <c r="AJ286" s="10">
        <f>IF($B286="","",IFERROR(VLOOKUP($B286,Maliyetler!$A:$G,6,FALSE),""))</f>
        <v/>
      </c>
      <c r="AK286">
        <f>IF($B286="","",IFERROR(VLOOKUP($B286,Maliyetler!$A:$G,7,FALSE),""))</f>
        <v/>
      </c>
      <c r="AO286" s="21">
        <f>IF($B286="","",IFERROR(VLOOKUP($B286&amp;"",'Plus Tarifeleri'!$C:$Q,11,FALSE),""))</f>
        <v/>
      </c>
      <c r="AP286" s="22">
        <f>IF(AO286="","",IFERROR(IF($AM$1=2,VLOOKUP($B286&amp;"",'Plus Tarifeleri'!$C:$Q,15,FALSE),VLOOKUP($B286&amp;"",'Plus Tarifeleri'!$C:$Q,13,FALSE)),""))</f>
        <v/>
      </c>
      <c r="AQ286" s="21">
        <f>IF(OR(AO286="",AP286="",$D286=""),"",AO286*(1-AP286/100)-$D286-IF(AO286&lt;=199.99,Kargo!$E$2,IF(AO286&lt;=399.99,Kargo!$E$3,$F286)))</f>
        <v/>
      </c>
      <c r="AR286" s="23">
        <f>IF(AQ286="","",AQ286/AO286)</f>
        <v/>
      </c>
      <c r="AS286" s="24">
        <f>IF(OR(AQ286="",AG286=""),"",AQ286-AG286)</f>
        <v/>
      </c>
    </row>
    <row r="287">
      <c r="A287">
        <f>IF('Komisyon Tarifeleri'!A287="","",'Komisyon Tarifeleri'!A287)</f>
        <v/>
      </c>
      <c r="B287">
        <f>IF('Komisyon Tarifeleri'!B287="","",'Komisyon Tarifeleri'!B287&amp;"")</f>
        <v/>
      </c>
      <c r="C287">
        <f>IF($B287="","",'Komisyon Tarifeleri'!F287)</f>
        <v/>
      </c>
      <c r="D287" s="10">
        <f>IF($B287="","",IFERROR(VLOOKUP($B287,Maliyetler!$A:$E,3,FALSE),""))</f>
        <v/>
      </c>
      <c r="E287">
        <f>IF($B287="","",IFERROR(VLOOKUP($B287,Maliyetler!$A:$E,4,FALSE),1))</f>
        <v/>
      </c>
      <c r="F287" s="10">
        <f>IF($B287="","",IFERROR(VLOOKUP(MIN(20,MAX(1,ROUND($E287,0))),Kargo!$A:$B,2,FALSE),99.46))</f>
        <v/>
      </c>
      <c r="G287" s="10">
        <f>IF($B287="","",IF(IF(N('Komisyon Tarifeleri'!AA287)&gt;='Komisyon Tarifeleri'!I287,'Komisyon Tarifeleri'!AA287,'Komisyon Tarifeleri'!I287)="","",IF(N('Komisyon Tarifeleri'!AA287)&gt;='Komisyon Tarifeleri'!I287,'Komisyon Tarifeleri'!AA287,'Komisyon Tarifeleri'!I287)))</f>
        <v/>
      </c>
      <c r="H287" s="11">
        <f>IF(G287="","",IF($AM$1=2,'Komisyon Tarifeleri'!U287,'Komisyon Tarifeleri'!P287))</f>
        <v/>
      </c>
      <c r="I287" s="10">
        <f>IF(OR(G287="",$D287=""),"",G287*(1-H287/100)-$D287-IF(G287&lt;=199.99,Kargo!$E$2,IF(G287&lt;=399.99,Kargo!$E$3,$F287)))</f>
        <v/>
      </c>
      <c r="J287" s="12">
        <f>IF(I287="","",I287/G287)</f>
        <v/>
      </c>
      <c r="K287" s="10">
        <f>IF($B287="","",IF('Komisyon Tarifeleri'!J287="","",'Komisyon Tarifeleri'!J287))</f>
        <v/>
      </c>
      <c r="L287" s="11">
        <f>IF(K287="","",IF($AM$1=2,'Komisyon Tarifeleri'!V287,'Komisyon Tarifeleri'!Q287))</f>
        <v/>
      </c>
      <c r="M287" s="10">
        <f>IF(OR(K287="",$D287=""),"",K287*(1-L287/100)-$D287-IF(K287&lt;=199.99,Kargo!$E$2,IF(K287&lt;=399.99,Kargo!$E$3,$F287)))</f>
        <v/>
      </c>
      <c r="N287" s="12">
        <f>IF(M287="","",M287/K287)</f>
        <v/>
      </c>
      <c r="O287" s="10">
        <f>IF($B287="","",IF('Komisyon Tarifeleri'!L287="","",'Komisyon Tarifeleri'!L287))</f>
        <v/>
      </c>
      <c r="P287" s="11">
        <f>IF(O287="","",IF($AM$1=2,'Komisyon Tarifeleri'!W287,'Komisyon Tarifeleri'!R287))</f>
        <v/>
      </c>
      <c r="Q287" s="10">
        <f>IF(OR(O287="",$D287=""),"",O287*(1-P287/100)-$D287-IF(O287&lt;=199.99,Kargo!$E$2,IF(O287&lt;=399.99,Kargo!$E$3,$F287)))</f>
        <v/>
      </c>
      <c r="R287" s="12">
        <f>IF(Q287="","",Q287/O287)</f>
        <v/>
      </c>
      <c r="S287" s="10">
        <f>IF($B287="","",IF('Komisyon Tarifeleri'!N287="","",'Komisyon Tarifeleri'!N287))</f>
        <v/>
      </c>
      <c r="T287" s="11">
        <f>IF(S287="","",IF($AM$1=2,'Komisyon Tarifeleri'!X287,'Komisyon Tarifeleri'!S287))</f>
        <v/>
      </c>
      <c r="U287" s="10">
        <f>IF(OR(S287="",$D287=""),"",S287*(1-T287/100)-$D287-IF(S287&lt;=199.99,Kargo!$E$2,IF(S287&lt;=399.99,Kargo!$E$3,$F287)))</f>
        <v/>
      </c>
      <c r="V287" s="12">
        <f>IF(U287="","",U287/S287)</f>
        <v/>
      </c>
      <c r="W287" s="12">
        <f>IF($B287="","",IFERROR(VLOOKUP($C287,Hedefler!$A:$C,2,FALSE),0.04))</f>
        <v/>
      </c>
      <c r="X287" s="12">
        <f>IF($B287="","",IFERROR(VLOOKUP($C287,Hedefler!$A:$C,3,FALSE),0.1))</f>
        <v/>
      </c>
      <c r="Y287" s="13">
        <f>IF($B287="","",IFERROR(VLOOKUP($B287,Maliyetler!$A:$E,5,FALSE),""))</f>
        <v/>
      </c>
      <c r="Z287" s="13">
        <f>IF(OR(Y287="",Y287=0),"",Y287-1)</f>
        <v/>
      </c>
      <c r="AA287" s="14">
        <f>IF(Z287="","",IF(Z287&gt;='Komisyon Tarifeleri'!I287,IF($AM$1=2,'Komisyon Tarifeleri'!U287,'Komisyon Tarifeleri'!P287),IF(Z287&gt;='Komisyon Tarifeleri'!K287,IF($AM$1=2,'Komisyon Tarifeleri'!V287,'Komisyon Tarifeleri'!Q287),IF(Z287&gt;='Komisyon Tarifeleri'!M287,IF($AM$1=2,'Komisyon Tarifeleri'!W287,'Komisyon Tarifeleri'!R287),IF($AM$1=2,'Komisyon Tarifeleri'!X287,'Komisyon Tarifeleri'!S287)))))</f>
        <v/>
      </c>
      <c r="AB287" s="13">
        <f>IF(OR(AA287="",$D287=""),"",Z287*(1-AA287/100)-$D287-IF(Z287&lt;=199.99,Kargo!$E$2,IF(Z287&lt;=399.99,Kargo!$E$3,$F287)))</f>
        <v/>
      </c>
      <c r="AC287" s="15">
        <f>IF(AB287="","",AB287/Z287)</f>
        <v/>
      </c>
      <c r="AD287" s="10">
        <f>IF(OR($D287="",$B287=""),"",IF(AND((1-T287/100-W287)&gt;0,CEILING(($D287+$F287)/(1-T287/100-W287),1)&lt;='Komisyon Tarifeleri'!N287),CEILING(($D287+$F287)/(1-T287/100-W287),1),IF(AND((1-P287/100-W287)&gt;0,CEILING(MAX('Komisyon Tarifeleri'!M287,($D287+$F287)/(1-P287/100-W287)),1)&lt;='Komisyon Tarifeleri'!L287),CEILING(MAX('Komisyon Tarifeleri'!M287,($D287+$F287)/(1-P287/100-W287)),1),IF(AND((1-L287/100-W287)&gt;0,CEILING(MAX('Komisyon Tarifeleri'!K287,($D287+$F287)/(1-L287/100-W287)),1)&lt;='Komisyon Tarifeleri'!J287),CEILING(MAX('Komisyon Tarifeleri'!K287,($D287+$F287)/(1-L287/100-W287)),1),IF((1-H287/100-W287)&gt;0,CEILING(MAX('Komisyon Tarifeleri'!I287,($D287+$F287)/(1-H287/100-W287)),1),"İMKÂNSIZ")))))</f>
        <v/>
      </c>
      <c r="AE287" s="10">
        <f>IF(OR($D287="",$B287=""),"",IF(AND((1-T287/100-X287)&gt;0,CEILING(($D287+$F287)/(1-T287/100-X287),1)&lt;='Komisyon Tarifeleri'!N287),CEILING(($D287+$F287)/(1-T287/100-X287),1),IF(AND((1-P287/100-X287)&gt;0,CEILING(MAX('Komisyon Tarifeleri'!M287,($D287+$F287)/(1-P287/100-X287)),1)&lt;='Komisyon Tarifeleri'!L287),CEILING(MAX('Komisyon Tarifeleri'!M287,($D287+$F287)/(1-P287/100-X287)),1),IF(AND((1-L287/100-X287)&gt;0,CEILING(MAX('Komisyon Tarifeleri'!K287,($D287+$F287)/(1-L287/100-X287)),1)&lt;='Komisyon Tarifeleri'!J287),CEILING(MAX('Komisyon Tarifeleri'!K287,($D287+$F287)/(1-L287/100-X287)),1),IF((1-H287/100-X287)&gt;0,CEILING(MAX('Komisyon Tarifeleri'!I287,($D287+$F287)/(1-H287/100-X287)),1),"İMKÂNSIZ")))))</f>
        <v/>
      </c>
      <c r="AF287" s="16">
        <f>IF($D287="","",IF(AND(Y287&lt;&gt;"",AC287&lt;&gt;"",AC287&gt;=W287),Z287,IF(Y287&lt;&gt;"",AD287,AE287)))</f>
        <v/>
      </c>
      <c r="AG287" s="16">
        <f>IF(OR(AF287="",AF287="İMKÂNSIZ"),"",AF287*(1-IF(AF287&gt;='Komisyon Tarifeleri'!I287,IF($AM$1=2,'Komisyon Tarifeleri'!U287,'Komisyon Tarifeleri'!P287),IF(AF287&gt;='Komisyon Tarifeleri'!K287,IF($AM$1=2,'Komisyon Tarifeleri'!V287,'Komisyon Tarifeleri'!Q287),IF(AF287&gt;='Komisyon Tarifeleri'!M287,IF($AM$1=2,'Komisyon Tarifeleri'!W287,'Komisyon Tarifeleri'!R287),IF($AM$1=2,'Komisyon Tarifeleri'!X287,'Komisyon Tarifeleri'!S287))))/100)-$D287-IF(AF287&lt;=199.99,Kargo!$E$2,IF(AF287&lt;=399.99,Kargo!$E$3,$F287)))</f>
        <v/>
      </c>
      <c r="AH287" s="17">
        <f>IF(AG287="","",AG287/AF287)</f>
        <v/>
      </c>
      <c r="AI287" s="18">
        <f>IF($D287="","",IF(Y287="","BUYBOX YOK → hedef kârla min fiyat",IF(AC287&gt;=W287,"✓ BUYBOX ALTINA GİR","BUYBOX ALTI KÂRSIZ → min kârlı fiyat")))</f>
        <v/>
      </c>
      <c r="AJ287" s="10">
        <f>IF($B287="","",IFERROR(VLOOKUP($B287,Maliyetler!$A:$G,6,FALSE),""))</f>
        <v/>
      </c>
      <c r="AK287">
        <f>IF($B287="","",IFERROR(VLOOKUP($B287,Maliyetler!$A:$G,7,FALSE),""))</f>
        <v/>
      </c>
      <c r="AO287" s="21">
        <f>IF($B287="","",IFERROR(VLOOKUP($B287&amp;"",'Plus Tarifeleri'!$C:$Q,11,FALSE),""))</f>
        <v/>
      </c>
      <c r="AP287" s="22">
        <f>IF(AO287="","",IFERROR(IF($AM$1=2,VLOOKUP($B287&amp;"",'Plus Tarifeleri'!$C:$Q,15,FALSE),VLOOKUP($B287&amp;"",'Plus Tarifeleri'!$C:$Q,13,FALSE)),""))</f>
        <v/>
      </c>
      <c r="AQ287" s="21">
        <f>IF(OR(AO287="",AP287="",$D287=""),"",AO287*(1-AP287/100)-$D287-IF(AO287&lt;=199.99,Kargo!$E$2,IF(AO287&lt;=399.99,Kargo!$E$3,$F287)))</f>
        <v/>
      </c>
      <c r="AR287" s="23">
        <f>IF(AQ287="","",AQ287/AO287)</f>
        <v/>
      </c>
      <c r="AS287" s="24">
        <f>IF(OR(AQ287="",AG287=""),"",AQ287-AG287)</f>
        <v/>
      </c>
    </row>
    <row r="288">
      <c r="A288">
        <f>IF('Komisyon Tarifeleri'!A288="","",'Komisyon Tarifeleri'!A288)</f>
        <v/>
      </c>
      <c r="B288">
        <f>IF('Komisyon Tarifeleri'!B288="","",'Komisyon Tarifeleri'!B288&amp;"")</f>
        <v/>
      </c>
      <c r="C288">
        <f>IF($B288="","",'Komisyon Tarifeleri'!F288)</f>
        <v/>
      </c>
      <c r="D288" s="10">
        <f>IF($B288="","",IFERROR(VLOOKUP($B288,Maliyetler!$A:$E,3,FALSE),""))</f>
        <v/>
      </c>
      <c r="E288">
        <f>IF($B288="","",IFERROR(VLOOKUP($B288,Maliyetler!$A:$E,4,FALSE),1))</f>
        <v/>
      </c>
      <c r="F288" s="10">
        <f>IF($B288="","",IFERROR(VLOOKUP(MIN(20,MAX(1,ROUND($E288,0))),Kargo!$A:$B,2,FALSE),99.46))</f>
        <v/>
      </c>
      <c r="G288" s="10">
        <f>IF($B288="","",IF(IF(N('Komisyon Tarifeleri'!AA288)&gt;='Komisyon Tarifeleri'!I288,'Komisyon Tarifeleri'!AA288,'Komisyon Tarifeleri'!I288)="","",IF(N('Komisyon Tarifeleri'!AA288)&gt;='Komisyon Tarifeleri'!I288,'Komisyon Tarifeleri'!AA288,'Komisyon Tarifeleri'!I288)))</f>
        <v/>
      </c>
      <c r="H288" s="11">
        <f>IF(G288="","",IF($AM$1=2,'Komisyon Tarifeleri'!U288,'Komisyon Tarifeleri'!P288))</f>
        <v/>
      </c>
      <c r="I288" s="10">
        <f>IF(OR(G288="",$D288=""),"",G288*(1-H288/100)-$D288-IF(G288&lt;=199.99,Kargo!$E$2,IF(G288&lt;=399.99,Kargo!$E$3,$F288)))</f>
        <v/>
      </c>
      <c r="J288" s="12">
        <f>IF(I288="","",I288/G288)</f>
        <v/>
      </c>
      <c r="K288" s="10">
        <f>IF($B288="","",IF('Komisyon Tarifeleri'!J288="","",'Komisyon Tarifeleri'!J288))</f>
        <v/>
      </c>
      <c r="L288" s="11">
        <f>IF(K288="","",IF($AM$1=2,'Komisyon Tarifeleri'!V288,'Komisyon Tarifeleri'!Q288))</f>
        <v/>
      </c>
      <c r="M288" s="10">
        <f>IF(OR(K288="",$D288=""),"",K288*(1-L288/100)-$D288-IF(K288&lt;=199.99,Kargo!$E$2,IF(K288&lt;=399.99,Kargo!$E$3,$F288)))</f>
        <v/>
      </c>
      <c r="N288" s="12">
        <f>IF(M288="","",M288/K288)</f>
        <v/>
      </c>
      <c r="O288" s="10">
        <f>IF($B288="","",IF('Komisyon Tarifeleri'!L288="","",'Komisyon Tarifeleri'!L288))</f>
        <v/>
      </c>
      <c r="P288" s="11">
        <f>IF(O288="","",IF($AM$1=2,'Komisyon Tarifeleri'!W288,'Komisyon Tarifeleri'!R288))</f>
        <v/>
      </c>
      <c r="Q288" s="10">
        <f>IF(OR(O288="",$D288=""),"",O288*(1-P288/100)-$D288-IF(O288&lt;=199.99,Kargo!$E$2,IF(O288&lt;=399.99,Kargo!$E$3,$F288)))</f>
        <v/>
      </c>
      <c r="R288" s="12">
        <f>IF(Q288="","",Q288/O288)</f>
        <v/>
      </c>
      <c r="S288" s="10">
        <f>IF($B288="","",IF('Komisyon Tarifeleri'!N288="","",'Komisyon Tarifeleri'!N288))</f>
        <v/>
      </c>
      <c r="T288" s="11">
        <f>IF(S288="","",IF($AM$1=2,'Komisyon Tarifeleri'!X288,'Komisyon Tarifeleri'!S288))</f>
        <v/>
      </c>
      <c r="U288" s="10">
        <f>IF(OR(S288="",$D288=""),"",S288*(1-T288/100)-$D288-IF(S288&lt;=199.99,Kargo!$E$2,IF(S288&lt;=399.99,Kargo!$E$3,$F288)))</f>
        <v/>
      </c>
      <c r="V288" s="12">
        <f>IF(U288="","",U288/S288)</f>
        <v/>
      </c>
      <c r="W288" s="12">
        <f>IF($B288="","",IFERROR(VLOOKUP($C288,Hedefler!$A:$C,2,FALSE),0.04))</f>
        <v/>
      </c>
      <c r="X288" s="12">
        <f>IF($B288="","",IFERROR(VLOOKUP($C288,Hedefler!$A:$C,3,FALSE),0.1))</f>
        <v/>
      </c>
      <c r="Y288" s="13">
        <f>IF($B288="","",IFERROR(VLOOKUP($B288,Maliyetler!$A:$E,5,FALSE),""))</f>
        <v/>
      </c>
      <c r="Z288" s="13">
        <f>IF(OR(Y288="",Y288=0),"",Y288-1)</f>
        <v/>
      </c>
      <c r="AA288" s="14">
        <f>IF(Z288="","",IF(Z288&gt;='Komisyon Tarifeleri'!I288,IF($AM$1=2,'Komisyon Tarifeleri'!U288,'Komisyon Tarifeleri'!P288),IF(Z288&gt;='Komisyon Tarifeleri'!K288,IF($AM$1=2,'Komisyon Tarifeleri'!V288,'Komisyon Tarifeleri'!Q288),IF(Z288&gt;='Komisyon Tarifeleri'!M288,IF($AM$1=2,'Komisyon Tarifeleri'!W288,'Komisyon Tarifeleri'!R288),IF($AM$1=2,'Komisyon Tarifeleri'!X288,'Komisyon Tarifeleri'!S288)))))</f>
        <v/>
      </c>
      <c r="AB288" s="13">
        <f>IF(OR(AA288="",$D288=""),"",Z288*(1-AA288/100)-$D288-IF(Z288&lt;=199.99,Kargo!$E$2,IF(Z288&lt;=399.99,Kargo!$E$3,$F288)))</f>
        <v/>
      </c>
      <c r="AC288" s="15">
        <f>IF(AB288="","",AB288/Z288)</f>
        <v/>
      </c>
      <c r="AD288" s="10">
        <f>IF(OR($D288="",$B288=""),"",IF(AND((1-T288/100-W288)&gt;0,CEILING(($D288+$F288)/(1-T288/100-W288),1)&lt;='Komisyon Tarifeleri'!N288),CEILING(($D288+$F288)/(1-T288/100-W288),1),IF(AND((1-P288/100-W288)&gt;0,CEILING(MAX('Komisyon Tarifeleri'!M288,($D288+$F288)/(1-P288/100-W288)),1)&lt;='Komisyon Tarifeleri'!L288),CEILING(MAX('Komisyon Tarifeleri'!M288,($D288+$F288)/(1-P288/100-W288)),1),IF(AND((1-L288/100-W288)&gt;0,CEILING(MAX('Komisyon Tarifeleri'!K288,($D288+$F288)/(1-L288/100-W288)),1)&lt;='Komisyon Tarifeleri'!J288),CEILING(MAX('Komisyon Tarifeleri'!K288,($D288+$F288)/(1-L288/100-W288)),1),IF((1-H288/100-W288)&gt;0,CEILING(MAX('Komisyon Tarifeleri'!I288,($D288+$F288)/(1-H288/100-W288)),1),"İMKÂNSIZ")))))</f>
        <v/>
      </c>
      <c r="AE288" s="10">
        <f>IF(OR($D288="",$B288=""),"",IF(AND((1-T288/100-X288)&gt;0,CEILING(($D288+$F288)/(1-T288/100-X288),1)&lt;='Komisyon Tarifeleri'!N288),CEILING(($D288+$F288)/(1-T288/100-X288),1),IF(AND((1-P288/100-X288)&gt;0,CEILING(MAX('Komisyon Tarifeleri'!M288,($D288+$F288)/(1-P288/100-X288)),1)&lt;='Komisyon Tarifeleri'!L288),CEILING(MAX('Komisyon Tarifeleri'!M288,($D288+$F288)/(1-P288/100-X288)),1),IF(AND((1-L288/100-X288)&gt;0,CEILING(MAX('Komisyon Tarifeleri'!K288,($D288+$F288)/(1-L288/100-X288)),1)&lt;='Komisyon Tarifeleri'!J288),CEILING(MAX('Komisyon Tarifeleri'!K288,($D288+$F288)/(1-L288/100-X288)),1),IF((1-H288/100-X288)&gt;0,CEILING(MAX('Komisyon Tarifeleri'!I288,($D288+$F288)/(1-H288/100-X288)),1),"İMKÂNSIZ")))))</f>
        <v/>
      </c>
      <c r="AF288" s="16">
        <f>IF($D288="","",IF(AND(Y288&lt;&gt;"",AC288&lt;&gt;"",AC288&gt;=W288),Z288,IF(Y288&lt;&gt;"",AD288,AE288)))</f>
        <v/>
      </c>
      <c r="AG288" s="16">
        <f>IF(OR(AF288="",AF288="İMKÂNSIZ"),"",AF288*(1-IF(AF288&gt;='Komisyon Tarifeleri'!I288,IF($AM$1=2,'Komisyon Tarifeleri'!U288,'Komisyon Tarifeleri'!P288),IF(AF288&gt;='Komisyon Tarifeleri'!K288,IF($AM$1=2,'Komisyon Tarifeleri'!V288,'Komisyon Tarifeleri'!Q288),IF(AF288&gt;='Komisyon Tarifeleri'!M288,IF($AM$1=2,'Komisyon Tarifeleri'!W288,'Komisyon Tarifeleri'!R288),IF($AM$1=2,'Komisyon Tarifeleri'!X288,'Komisyon Tarifeleri'!S288))))/100)-$D288-IF(AF288&lt;=199.99,Kargo!$E$2,IF(AF288&lt;=399.99,Kargo!$E$3,$F288)))</f>
        <v/>
      </c>
      <c r="AH288" s="17">
        <f>IF(AG288="","",AG288/AF288)</f>
        <v/>
      </c>
      <c r="AI288" s="18">
        <f>IF($D288="","",IF(Y288="","BUYBOX YOK → hedef kârla min fiyat",IF(AC288&gt;=W288,"✓ BUYBOX ALTINA GİR","BUYBOX ALTI KÂRSIZ → min kârlı fiyat")))</f>
        <v/>
      </c>
      <c r="AJ288" s="10">
        <f>IF($B288="","",IFERROR(VLOOKUP($B288,Maliyetler!$A:$G,6,FALSE),""))</f>
        <v/>
      </c>
      <c r="AK288">
        <f>IF($B288="","",IFERROR(VLOOKUP($B288,Maliyetler!$A:$G,7,FALSE),""))</f>
        <v/>
      </c>
      <c r="AO288" s="21">
        <f>IF($B288="","",IFERROR(VLOOKUP($B288&amp;"",'Plus Tarifeleri'!$C:$Q,11,FALSE),""))</f>
        <v/>
      </c>
      <c r="AP288" s="22">
        <f>IF(AO288="","",IFERROR(IF($AM$1=2,VLOOKUP($B288&amp;"",'Plus Tarifeleri'!$C:$Q,15,FALSE),VLOOKUP($B288&amp;"",'Plus Tarifeleri'!$C:$Q,13,FALSE)),""))</f>
        <v/>
      </c>
      <c r="AQ288" s="21">
        <f>IF(OR(AO288="",AP288="",$D288=""),"",AO288*(1-AP288/100)-$D288-IF(AO288&lt;=199.99,Kargo!$E$2,IF(AO288&lt;=399.99,Kargo!$E$3,$F288)))</f>
        <v/>
      </c>
      <c r="AR288" s="23">
        <f>IF(AQ288="","",AQ288/AO288)</f>
        <v/>
      </c>
      <c r="AS288" s="24">
        <f>IF(OR(AQ288="",AG288=""),"",AQ288-AG288)</f>
        <v/>
      </c>
    </row>
    <row r="289">
      <c r="A289">
        <f>IF('Komisyon Tarifeleri'!A289="","",'Komisyon Tarifeleri'!A289)</f>
        <v/>
      </c>
      <c r="B289">
        <f>IF('Komisyon Tarifeleri'!B289="","",'Komisyon Tarifeleri'!B289&amp;"")</f>
        <v/>
      </c>
      <c r="C289">
        <f>IF($B289="","",'Komisyon Tarifeleri'!F289)</f>
        <v/>
      </c>
      <c r="D289" s="10">
        <f>IF($B289="","",IFERROR(VLOOKUP($B289,Maliyetler!$A:$E,3,FALSE),""))</f>
        <v/>
      </c>
      <c r="E289">
        <f>IF($B289="","",IFERROR(VLOOKUP($B289,Maliyetler!$A:$E,4,FALSE),1))</f>
        <v/>
      </c>
      <c r="F289" s="10">
        <f>IF($B289="","",IFERROR(VLOOKUP(MIN(20,MAX(1,ROUND($E289,0))),Kargo!$A:$B,2,FALSE),99.46))</f>
        <v/>
      </c>
      <c r="G289" s="10">
        <f>IF($B289="","",IF(IF(N('Komisyon Tarifeleri'!AA289)&gt;='Komisyon Tarifeleri'!I289,'Komisyon Tarifeleri'!AA289,'Komisyon Tarifeleri'!I289)="","",IF(N('Komisyon Tarifeleri'!AA289)&gt;='Komisyon Tarifeleri'!I289,'Komisyon Tarifeleri'!AA289,'Komisyon Tarifeleri'!I289)))</f>
        <v/>
      </c>
      <c r="H289" s="11">
        <f>IF(G289="","",IF($AM$1=2,'Komisyon Tarifeleri'!U289,'Komisyon Tarifeleri'!P289))</f>
        <v/>
      </c>
      <c r="I289" s="10">
        <f>IF(OR(G289="",$D289=""),"",G289*(1-H289/100)-$D289-IF(G289&lt;=199.99,Kargo!$E$2,IF(G289&lt;=399.99,Kargo!$E$3,$F289)))</f>
        <v/>
      </c>
      <c r="J289" s="12">
        <f>IF(I289="","",I289/G289)</f>
        <v/>
      </c>
      <c r="K289" s="10">
        <f>IF($B289="","",IF('Komisyon Tarifeleri'!J289="","",'Komisyon Tarifeleri'!J289))</f>
        <v/>
      </c>
      <c r="L289" s="11">
        <f>IF(K289="","",IF($AM$1=2,'Komisyon Tarifeleri'!V289,'Komisyon Tarifeleri'!Q289))</f>
        <v/>
      </c>
      <c r="M289" s="10">
        <f>IF(OR(K289="",$D289=""),"",K289*(1-L289/100)-$D289-IF(K289&lt;=199.99,Kargo!$E$2,IF(K289&lt;=399.99,Kargo!$E$3,$F289)))</f>
        <v/>
      </c>
      <c r="N289" s="12">
        <f>IF(M289="","",M289/K289)</f>
        <v/>
      </c>
      <c r="O289" s="10">
        <f>IF($B289="","",IF('Komisyon Tarifeleri'!L289="","",'Komisyon Tarifeleri'!L289))</f>
        <v/>
      </c>
      <c r="P289" s="11">
        <f>IF(O289="","",IF($AM$1=2,'Komisyon Tarifeleri'!W289,'Komisyon Tarifeleri'!R289))</f>
        <v/>
      </c>
      <c r="Q289" s="10">
        <f>IF(OR(O289="",$D289=""),"",O289*(1-P289/100)-$D289-IF(O289&lt;=199.99,Kargo!$E$2,IF(O289&lt;=399.99,Kargo!$E$3,$F289)))</f>
        <v/>
      </c>
      <c r="R289" s="12">
        <f>IF(Q289="","",Q289/O289)</f>
        <v/>
      </c>
      <c r="S289" s="10">
        <f>IF($B289="","",IF('Komisyon Tarifeleri'!N289="","",'Komisyon Tarifeleri'!N289))</f>
        <v/>
      </c>
      <c r="T289" s="11">
        <f>IF(S289="","",IF($AM$1=2,'Komisyon Tarifeleri'!X289,'Komisyon Tarifeleri'!S289))</f>
        <v/>
      </c>
      <c r="U289" s="10">
        <f>IF(OR(S289="",$D289=""),"",S289*(1-T289/100)-$D289-IF(S289&lt;=199.99,Kargo!$E$2,IF(S289&lt;=399.99,Kargo!$E$3,$F289)))</f>
        <v/>
      </c>
      <c r="V289" s="12">
        <f>IF(U289="","",U289/S289)</f>
        <v/>
      </c>
      <c r="W289" s="12">
        <f>IF($B289="","",IFERROR(VLOOKUP($C289,Hedefler!$A:$C,2,FALSE),0.04))</f>
        <v/>
      </c>
      <c r="X289" s="12">
        <f>IF($B289="","",IFERROR(VLOOKUP($C289,Hedefler!$A:$C,3,FALSE),0.1))</f>
        <v/>
      </c>
      <c r="Y289" s="13">
        <f>IF($B289="","",IFERROR(VLOOKUP($B289,Maliyetler!$A:$E,5,FALSE),""))</f>
        <v/>
      </c>
      <c r="Z289" s="13">
        <f>IF(OR(Y289="",Y289=0),"",Y289-1)</f>
        <v/>
      </c>
      <c r="AA289" s="14">
        <f>IF(Z289="","",IF(Z289&gt;='Komisyon Tarifeleri'!I289,IF($AM$1=2,'Komisyon Tarifeleri'!U289,'Komisyon Tarifeleri'!P289),IF(Z289&gt;='Komisyon Tarifeleri'!K289,IF($AM$1=2,'Komisyon Tarifeleri'!V289,'Komisyon Tarifeleri'!Q289),IF(Z289&gt;='Komisyon Tarifeleri'!M289,IF($AM$1=2,'Komisyon Tarifeleri'!W289,'Komisyon Tarifeleri'!R289),IF($AM$1=2,'Komisyon Tarifeleri'!X289,'Komisyon Tarifeleri'!S289)))))</f>
        <v/>
      </c>
      <c r="AB289" s="13">
        <f>IF(OR(AA289="",$D289=""),"",Z289*(1-AA289/100)-$D289-IF(Z289&lt;=199.99,Kargo!$E$2,IF(Z289&lt;=399.99,Kargo!$E$3,$F289)))</f>
        <v/>
      </c>
      <c r="AC289" s="15">
        <f>IF(AB289="","",AB289/Z289)</f>
        <v/>
      </c>
      <c r="AD289" s="10">
        <f>IF(OR($D289="",$B289=""),"",IF(AND((1-T289/100-W289)&gt;0,CEILING(($D289+$F289)/(1-T289/100-W289),1)&lt;='Komisyon Tarifeleri'!N289),CEILING(($D289+$F289)/(1-T289/100-W289),1),IF(AND((1-P289/100-W289)&gt;0,CEILING(MAX('Komisyon Tarifeleri'!M289,($D289+$F289)/(1-P289/100-W289)),1)&lt;='Komisyon Tarifeleri'!L289),CEILING(MAX('Komisyon Tarifeleri'!M289,($D289+$F289)/(1-P289/100-W289)),1),IF(AND((1-L289/100-W289)&gt;0,CEILING(MAX('Komisyon Tarifeleri'!K289,($D289+$F289)/(1-L289/100-W289)),1)&lt;='Komisyon Tarifeleri'!J289),CEILING(MAX('Komisyon Tarifeleri'!K289,($D289+$F289)/(1-L289/100-W289)),1),IF((1-H289/100-W289)&gt;0,CEILING(MAX('Komisyon Tarifeleri'!I289,($D289+$F289)/(1-H289/100-W289)),1),"İMKÂNSIZ")))))</f>
        <v/>
      </c>
      <c r="AE289" s="10">
        <f>IF(OR($D289="",$B289=""),"",IF(AND((1-T289/100-X289)&gt;0,CEILING(($D289+$F289)/(1-T289/100-X289),1)&lt;='Komisyon Tarifeleri'!N289),CEILING(($D289+$F289)/(1-T289/100-X289),1),IF(AND((1-P289/100-X289)&gt;0,CEILING(MAX('Komisyon Tarifeleri'!M289,($D289+$F289)/(1-P289/100-X289)),1)&lt;='Komisyon Tarifeleri'!L289),CEILING(MAX('Komisyon Tarifeleri'!M289,($D289+$F289)/(1-P289/100-X289)),1),IF(AND((1-L289/100-X289)&gt;0,CEILING(MAX('Komisyon Tarifeleri'!K289,($D289+$F289)/(1-L289/100-X289)),1)&lt;='Komisyon Tarifeleri'!J289),CEILING(MAX('Komisyon Tarifeleri'!K289,($D289+$F289)/(1-L289/100-X289)),1),IF((1-H289/100-X289)&gt;0,CEILING(MAX('Komisyon Tarifeleri'!I289,($D289+$F289)/(1-H289/100-X289)),1),"İMKÂNSIZ")))))</f>
        <v/>
      </c>
      <c r="AF289" s="16">
        <f>IF($D289="","",IF(AND(Y289&lt;&gt;"",AC289&lt;&gt;"",AC289&gt;=W289),Z289,IF(Y289&lt;&gt;"",AD289,AE289)))</f>
        <v/>
      </c>
      <c r="AG289" s="16">
        <f>IF(OR(AF289="",AF289="İMKÂNSIZ"),"",AF289*(1-IF(AF289&gt;='Komisyon Tarifeleri'!I289,IF($AM$1=2,'Komisyon Tarifeleri'!U289,'Komisyon Tarifeleri'!P289),IF(AF289&gt;='Komisyon Tarifeleri'!K289,IF($AM$1=2,'Komisyon Tarifeleri'!V289,'Komisyon Tarifeleri'!Q289),IF(AF289&gt;='Komisyon Tarifeleri'!M289,IF($AM$1=2,'Komisyon Tarifeleri'!W289,'Komisyon Tarifeleri'!R289),IF($AM$1=2,'Komisyon Tarifeleri'!X289,'Komisyon Tarifeleri'!S289))))/100)-$D289-IF(AF289&lt;=199.99,Kargo!$E$2,IF(AF289&lt;=399.99,Kargo!$E$3,$F289)))</f>
        <v/>
      </c>
      <c r="AH289" s="17">
        <f>IF(AG289="","",AG289/AF289)</f>
        <v/>
      </c>
      <c r="AI289" s="18">
        <f>IF($D289="","",IF(Y289="","BUYBOX YOK → hedef kârla min fiyat",IF(AC289&gt;=W289,"✓ BUYBOX ALTINA GİR","BUYBOX ALTI KÂRSIZ → min kârlı fiyat")))</f>
        <v/>
      </c>
      <c r="AJ289" s="10">
        <f>IF($B289="","",IFERROR(VLOOKUP($B289,Maliyetler!$A:$G,6,FALSE),""))</f>
        <v/>
      </c>
      <c r="AK289">
        <f>IF($B289="","",IFERROR(VLOOKUP($B289,Maliyetler!$A:$G,7,FALSE),""))</f>
        <v/>
      </c>
      <c r="AO289" s="21">
        <f>IF($B289="","",IFERROR(VLOOKUP($B289&amp;"",'Plus Tarifeleri'!$C:$Q,11,FALSE),""))</f>
        <v/>
      </c>
      <c r="AP289" s="22">
        <f>IF(AO289="","",IFERROR(IF($AM$1=2,VLOOKUP($B289&amp;"",'Plus Tarifeleri'!$C:$Q,15,FALSE),VLOOKUP($B289&amp;"",'Plus Tarifeleri'!$C:$Q,13,FALSE)),""))</f>
        <v/>
      </c>
      <c r="AQ289" s="21">
        <f>IF(OR(AO289="",AP289="",$D289=""),"",AO289*(1-AP289/100)-$D289-IF(AO289&lt;=199.99,Kargo!$E$2,IF(AO289&lt;=399.99,Kargo!$E$3,$F289)))</f>
        <v/>
      </c>
      <c r="AR289" s="23">
        <f>IF(AQ289="","",AQ289/AO289)</f>
        <v/>
      </c>
      <c r="AS289" s="24">
        <f>IF(OR(AQ289="",AG289=""),"",AQ289-AG289)</f>
        <v/>
      </c>
    </row>
    <row r="290">
      <c r="A290">
        <f>IF('Komisyon Tarifeleri'!A290="","",'Komisyon Tarifeleri'!A290)</f>
        <v/>
      </c>
      <c r="B290">
        <f>IF('Komisyon Tarifeleri'!B290="","",'Komisyon Tarifeleri'!B290&amp;"")</f>
        <v/>
      </c>
      <c r="C290">
        <f>IF($B290="","",'Komisyon Tarifeleri'!F290)</f>
        <v/>
      </c>
      <c r="D290" s="10">
        <f>IF($B290="","",IFERROR(VLOOKUP($B290,Maliyetler!$A:$E,3,FALSE),""))</f>
        <v/>
      </c>
      <c r="E290">
        <f>IF($B290="","",IFERROR(VLOOKUP($B290,Maliyetler!$A:$E,4,FALSE),1))</f>
        <v/>
      </c>
      <c r="F290" s="10">
        <f>IF($B290="","",IFERROR(VLOOKUP(MIN(20,MAX(1,ROUND($E290,0))),Kargo!$A:$B,2,FALSE),99.46))</f>
        <v/>
      </c>
      <c r="G290" s="10">
        <f>IF($B290="","",IF(IF(N('Komisyon Tarifeleri'!AA290)&gt;='Komisyon Tarifeleri'!I290,'Komisyon Tarifeleri'!AA290,'Komisyon Tarifeleri'!I290)="","",IF(N('Komisyon Tarifeleri'!AA290)&gt;='Komisyon Tarifeleri'!I290,'Komisyon Tarifeleri'!AA290,'Komisyon Tarifeleri'!I290)))</f>
        <v/>
      </c>
      <c r="H290" s="11">
        <f>IF(G290="","",IF($AM$1=2,'Komisyon Tarifeleri'!U290,'Komisyon Tarifeleri'!P290))</f>
        <v/>
      </c>
      <c r="I290" s="10">
        <f>IF(OR(G290="",$D290=""),"",G290*(1-H290/100)-$D290-IF(G290&lt;=199.99,Kargo!$E$2,IF(G290&lt;=399.99,Kargo!$E$3,$F290)))</f>
        <v/>
      </c>
      <c r="J290" s="12">
        <f>IF(I290="","",I290/G290)</f>
        <v/>
      </c>
      <c r="K290" s="10">
        <f>IF($B290="","",IF('Komisyon Tarifeleri'!J290="","",'Komisyon Tarifeleri'!J290))</f>
        <v/>
      </c>
      <c r="L290" s="11">
        <f>IF(K290="","",IF($AM$1=2,'Komisyon Tarifeleri'!V290,'Komisyon Tarifeleri'!Q290))</f>
        <v/>
      </c>
      <c r="M290" s="10">
        <f>IF(OR(K290="",$D290=""),"",K290*(1-L290/100)-$D290-IF(K290&lt;=199.99,Kargo!$E$2,IF(K290&lt;=399.99,Kargo!$E$3,$F290)))</f>
        <v/>
      </c>
      <c r="N290" s="12">
        <f>IF(M290="","",M290/K290)</f>
        <v/>
      </c>
      <c r="O290" s="10">
        <f>IF($B290="","",IF('Komisyon Tarifeleri'!L290="","",'Komisyon Tarifeleri'!L290))</f>
        <v/>
      </c>
      <c r="P290" s="11">
        <f>IF(O290="","",IF($AM$1=2,'Komisyon Tarifeleri'!W290,'Komisyon Tarifeleri'!R290))</f>
        <v/>
      </c>
      <c r="Q290" s="10">
        <f>IF(OR(O290="",$D290=""),"",O290*(1-P290/100)-$D290-IF(O290&lt;=199.99,Kargo!$E$2,IF(O290&lt;=399.99,Kargo!$E$3,$F290)))</f>
        <v/>
      </c>
      <c r="R290" s="12">
        <f>IF(Q290="","",Q290/O290)</f>
        <v/>
      </c>
      <c r="S290" s="10">
        <f>IF($B290="","",IF('Komisyon Tarifeleri'!N290="","",'Komisyon Tarifeleri'!N290))</f>
        <v/>
      </c>
      <c r="T290" s="11">
        <f>IF(S290="","",IF($AM$1=2,'Komisyon Tarifeleri'!X290,'Komisyon Tarifeleri'!S290))</f>
        <v/>
      </c>
      <c r="U290" s="10">
        <f>IF(OR(S290="",$D290=""),"",S290*(1-T290/100)-$D290-IF(S290&lt;=199.99,Kargo!$E$2,IF(S290&lt;=399.99,Kargo!$E$3,$F290)))</f>
        <v/>
      </c>
      <c r="V290" s="12">
        <f>IF(U290="","",U290/S290)</f>
        <v/>
      </c>
      <c r="W290" s="12">
        <f>IF($B290="","",IFERROR(VLOOKUP($C290,Hedefler!$A:$C,2,FALSE),0.04))</f>
        <v/>
      </c>
      <c r="X290" s="12">
        <f>IF($B290="","",IFERROR(VLOOKUP($C290,Hedefler!$A:$C,3,FALSE),0.1))</f>
        <v/>
      </c>
      <c r="Y290" s="13">
        <f>IF($B290="","",IFERROR(VLOOKUP($B290,Maliyetler!$A:$E,5,FALSE),""))</f>
        <v/>
      </c>
      <c r="Z290" s="13">
        <f>IF(OR(Y290="",Y290=0),"",Y290-1)</f>
        <v/>
      </c>
      <c r="AA290" s="14">
        <f>IF(Z290="","",IF(Z290&gt;='Komisyon Tarifeleri'!I290,IF($AM$1=2,'Komisyon Tarifeleri'!U290,'Komisyon Tarifeleri'!P290),IF(Z290&gt;='Komisyon Tarifeleri'!K290,IF($AM$1=2,'Komisyon Tarifeleri'!V290,'Komisyon Tarifeleri'!Q290),IF(Z290&gt;='Komisyon Tarifeleri'!M290,IF($AM$1=2,'Komisyon Tarifeleri'!W290,'Komisyon Tarifeleri'!R290),IF($AM$1=2,'Komisyon Tarifeleri'!X290,'Komisyon Tarifeleri'!S290)))))</f>
        <v/>
      </c>
      <c r="AB290" s="13">
        <f>IF(OR(AA290="",$D290=""),"",Z290*(1-AA290/100)-$D290-IF(Z290&lt;=199.99,Kargo!$E$2,IF(Z290&lt;=399.99,Kargo!$E$3,$F290)))</f>
        <v/>
      </c>
      <c r="AC290" s="15">
        <f>IF(AB290="","",AB290/Z290)</f>
        <v/>
      </c>
      <c r="AD290" s="10">
        <f>IF(OR($D290="",$B290=""),"",IF(AND((1-T290/100-W290)&gt;0,CEILING(($D290+$F290)/(1-T290/100-W290),1)&lt;='Komisyon Tarifeleri'!N290),CEILING(($D290+$F290)/(1-T290/100-W290),1),IF(AND((1-P290/100-W290)&gt;0,CEILING(MAX('Komisyon Tarifeleri'!M290,($D290+$F290)/(1-P290/100-W290)),1)&lt;='Komisyon Tarifeleri'!L290),CEILING(MAX('Komisyon Tarifeleri'!M290,($D290+$F290)/(1-P290/100-W290)),1),IF(AND((1-L290/100-W290)&gt;0,CEILING(MAX('Komisyon Tarifeleri'!K290,($D290+$F290)/(1-L290/100-W290)),1)&lt;='Komisyon Tarifeleri'!J290),CEILING(MAX('Komisyon Tarifeleri'!K290,($D290+$F290)/(1-L290/100-W290)),1),IF((1-H290/100-W290)&gt;0,CEILING(MAX('Komisyon Tarifeleri'!I290,($D290+$F290)/(1-H290/100-W290)),1),"İMKÂNSIZ")))))</f>
        <v/>
      </c>
      <c r="AE290" s="10">
        <f>IF(OR($D290="",$B290=""),"",IF(AND((1-T290/100-X290)&gt;0,CEILING(($D290+$F290)/(1-T290/100-X290),1)&lt;='Komisyon Tarifeleri'!N290),CEILING(($D290+$F290)/(1-T290/100-X290),1),IF(AND((1-P290/100-X290)&gt;0,CEILING(MAX('Komisyon Tarifeleri'!M290,($D290+$F290)/(1-P290/100-X290)),1)&lt;='Komisyon Tarifeleri'!L290),CEILING(MAX('Komisyon Tarifeleri'!M290,($D290+$F290)/(1-P290/100-X290)),1),IF(AND((1-L290/100-X290)&gt;0,CEILING(MAX('Komisyon Tarifeleri'!K290,($D290+$F290)/(1-L290/100-X290)),1)&lt;='Komisyon Tarifeleri'!J290),CEILING(MAX('Komisyon Tarifeleri'!K290,($D290+$F290)/(1-L290/100-X290)),1),IF((1-H290/100-X290)&gt;0,CEILING(MAX('Komisyon Tarifeleri'!I290,($D290+$F290)/(1-H290/100-X290)),1),"İMKÂNSIZ")))))</f>
        <v/>
      </c>
      <c r="AF290" s="16">
        <f>IF($D290="","",IF(AND(Y290&lt;&gt;"",AC290&lt;&gt;"",AC290&gt;=W290),Z290,IF(Y290&lt;&gt;"",AD290,AE290)))</f>
        <v/>
      </c>
      <c r="AG290" s="16">
        <f>IF(OR(AF290="",AF290="İMKÂNSIZ"),"",AF290*(1-IF(AF290&gt;='Komisyon Tarifeleri'!I290,IF($AM$1=2,'Komisyon Tarifeleri'!U290,'Komisyon Tarifeleri'!P290),IF(AF290&gt;='Komisyon Tarifeleri'!K290,IF($AM$1=2,'Komisyon Tarifeleri'!V290,'Komisyon Tarifeleri'!Q290),IF(AF290&gt;='Komisyon Tarifeleri'!M290,IF($AM$1=2,'Komisyon Tarifeleri'!W290,'Komisyon Tarifeleri'!R290),IF($AM$1=2,'Komisyon Tarifeleri'!X290,'Komisyon Tarifeleri'!S290))))/100)-$D290-IF(AF290&lt;=199.99,Kargo!$E$2,IF(AF290&lt;=399.99,Kargo!$E$3,$F290)))</f>
        <v/>
      </c>
      <c r="AH290" s="17">
        <f>IF(AG290="","",AG290/AF290)</f>
        <v/>
      </c>
      <c r="AI290" s="18">
        <f>IF($D290="","",IF(Y290="","BUYBOX YOK → hedef kârla min fiyat",IF(AC290&gt;=W290,"✓ BUYBOX ALTINA GİR","BUYBOX ALTI KÂRSIZ → min kârlı fiyat")))</f>
        <v/>
      </c>
      <c r="AJ290" s="10">
        <f>IF($B290="","",IFERROR(VLOOKUP($B290,Maliyetler!$A:$G,6,FALSE),""))</f>
        <v/>
      </c>
      <c r="AK290">
        <f>IF($B290="","",IFERROR(VLOOKUP($B290,Maliyetler!$A:$G,7,FALSE),""))</f>
        <v/>
      </c>
      <c r="AO290" s="21">
        <f>IF($B290="","",IFERROR(VLOOKUP($B290&amp;"",'Plus Tarifeleri'!$C:$Q,11,FALSE),""))</f>
        <v/>
      </c>
      <c r="AP290" s="22">
        <f>IF(AO290="","",IFERROR(IF($AM$1=2,VLOOKUP($B290&amp;"",'Plus Tarifeleri'!$C:$Q,15,FALSE),VLOOKUP($B290&amp;"",'Plus Tarifeleri'!$C:$Q,13,FALSE)),""))</f>
        <v/>
      </c>
      <c r="AQ290" s="21">
        <f>IF(OR(AO290="",AP290="",$D290=""),"",AO290*(1-AP290/100)-$D290-IF(AO290&lt;=199.99,Kargo!$E$2,IF(AO290&lt;=399.99,Kargo!$E$3,$F290)))</f>
        <v/>
      </c>
      <c r="AR290" s="23">
        <f>IF(AQ290="","",AQ290/AO290)</f>
        <v/>
      </c>
      <c r="AS290" s="24">
        <f>IF(OR(AQ290="",AG290=""),"",AQ290-AG290)</f>
        <v/>
      </c>
    </row>
    <row r="291">
      <c r="A291">
        <f>IF('Komisyon Tarifeleri'!A291="","",'Komisyon Tarifeleri'!A291)</f>
        <v/>
      </c>
      <c r="B291">
        <f>IF('Komisyon Tarifeleri'!B291="","",'Komisyon Tarifeleri'!B291&amp;"")</f>
        <v/>
      </c>
      <c r="C291">
        <f>IF($B291="","",'Komisyon Tarifeleri'!F291)</f>
        <v/>
      </c>
      <c r="D291" s="10">
        <f>IF($B291="","",IFERROR(VLOOKUP($B291,Maliyetler!$A:$E,3,FALSE),""))</f>
        <v/>
      </c>
      <c r="E291">
        <f>IF($B291="","",IFERROR(VLOOKUP($B291,Maliyetler!$A:$E,4,FALSE),1))</f>
        <v/>
      </c>
      <c r="F291" s="10">
        <f>IF($B291="","",IFERROR(VLOOKUP(MIN(20,MAX(1,ROUND($E291,0))),Kargo!$A:$B,2,FALSE),99.46))</f>
        <v/>
      </c>
      <c r="G291" s="10">
        <f>IF($B291="","",IF(IF(N('Komisyon Tarifeleri'!AA291)&gt;='Komisyon Tarifeleri'!I291,'Komisyon Tarifeleri'!AA291,'Komisyon Tarifeleri'!I291)="","",IF(N('Komisyon Tarifeleri'!AA291)&gt;='Komisyon Tarifeleri'!I291,'Komisyon Tarifeleri'!AA291,'Komisyon Tarifeleri'!I291)))</f>
        <v/>
      </c>
      <c r="H291" s="11">
        <f>IF(G291="","",IF($AM$1=2,'Komisyon Tarifeleri'!U291,'Komisyon Tarifeleri'!P291))</f>
        <v/>
      </c>
      <c r="I291" s="10">
        <f>IF(OR(G291="",$D291=""),"",G291*(1-H291/100)-$D291-IF(G291&lt;=199.99,Kargo!$E$2,IF(G291&lt;=399.99,Kargo!$E$3,$F291)))</f>
        <v/>
      </c>
      <c r="J291" s="12">
        <f>IF(I291="","",I291/G291)</f>
        <v/>
      </c>
      <c r="K291" s="10">
        <f>IF($B291="","",IF('Komisyon Tarifeleri'!J291="","",'Komisyon Tarifeleri'!J291))</f>
        <v/>
      </c>
      <c r="L291" s="11">
        <f>IF(K291="","",IF($AM$1=2,'Komisyon Tarifeleri'!V291,'Komisyon Tarifeleri'!Q291))</f>
        <v/>
      </c>
      <c r="M291" s="10">
        <f>IF(OR(K291="",$D291=""),"",K291*(1-L291/100)-$D291-IF(K291&lt;=199.99,Kargo!$E$2,IF(K291&lt;=399.99,Kargo!$E$3,$F291)))</f>
        <v/>
      </c>
      <c r="N291" s="12">
        <f>IF(M291="","",M291/K291)</f>
        <v/>
      </c>
      <c r="O291" s="10">
        <f>IF($B291="","",IF('Komisyon Tarifeleri'!L291="","",'Komisyon Tarifeleri'!L291))</f>
        <v/>
      </c>
      <c r="P291" s="11">
        <f>IF(O291="","",IF($AM$1=2,'Komisyon Tarifeleri'!W291,'Komisyon Tarifeleri'!R291))</f>
        <v/>
      </c>
      <c r="Q291" s="10">
        <f>IF(OR(O291="",$D291=""),"",O291*(1-P291/100)-$D291-IF(O291&lt;=199.99,Kargo!$E$2,IF(O291&lt;=399.99,Kargo!$E$3,$F291)))</f>
        <v/>
      </c>
      <c r="R291" s="12">
        <f>IF(Q291="","",Q291/O291)</f>
        <v/>
      </c>
      <c r="S291" s="10">
        <f>IF($B291="","",IF('Komisyon Tarifeleri'!N291="","",'Komisyon Tarifeleri'!N291))</f>
        <v/>
      </c>
      <c r="T291" s="11">
        <f>IF(S291="","",IF($AM$1=2,'Komisyon Tarifeleri'!X291,'Komisyon Tarifeleri'!S291))</f>
        <v/>
      </c>
      <c r="U291" s="10">
        <f>IF(OR(S291="",$D291=""),"",S291*(1-T291/100)-$D291-IF(S291&lt;=199.99,Kargo!$E$2,IF(S291&lt;=399.99,Kargo!$E$3,$F291)))</f>
        <v/>
      </c>
      <c r="V291" s="12">
        <f>IF(U291="","",U291/S291)</f>
        <v/>
      </c>
      <c r="W291" s="12">
        <f>IF($B291="","",IFERROR(VLOOKUP($C291,Hedefler!$A:$C,2,FALSE),0.04))</f>
        <v/>
      </c>
      <c r="X291" s="12">
        <f>IF($B291="","",IFERROR(VLOOKUP($C291,Hedefler!$A:$C,3,FALSE),0.1))</f>
        <v/>
      </c>
      <c r="Y291" s="13">
        <f>IF($B291="","",IFERROR(VLOOKUP($B291,Maliyetler!$A:$E,5,FALSE),""))</f>
        <v/>
      </c>
      <c r="Z291" s="13">
        <f>IF(OR(Y291="",Y291=0),"",Y291-1)</f>
        <v/>
      </c>
      <c r="AA291" s="14">
        <f>IF(Z291="","",IF(Z291&gt;='Komisyon Tarifeleri'!I291,IF($AM$1=2,'Komisyon Tarifeleri'!U291,'Komisyon Tarifeleri'!P291),IF(Z291&gt;='Komisyon Tarifeleri'!K291,IF($AM$1=2,'Komisyon Tarifeleri'!V291,'Komisyon Tarifeleri'!Q291),IF(Z291&gt;='Komisyon Tarifeleri'!M291,IF($AM$1=2,'Komisyon Tarifeleri'!W291,'Komisyon Tarifeleri'!R291),IF($AM$1=2,'Komisyon Tarifeleri'!X291,'Komisyon Tarifeleri'!S291)))))</f>
        <v/>
      </c>
      <c r="AB291" s="13">
        <f>IF(OR(AA291="",$D291=""),"",Z291*(1-AA291/100)-$D291-IF(Z291&lt;=199.99,Kargo!$E$2,IF(Z291&lt;=399.99,Kargo!$E$3,$F291)))</f>
        <v/>
      </c>
      <c r="AC291" s="15">
        <f>IF(AB291="","",AB291/Z291)</f>
        <v/>
      </c>
      <c r="AD291" s="10">
        <f>IF(OR($D291="",$B291=""),"",IF(AND((1-T291/100-W291)&gt;0,CEILING(($D291+$F291)/(1-T291/100-W291),1)&lt;='Komisyon Tarifeleri'!N291),CEILING(($D291+$F291)/(1-T291/100-W291),1),IF(AND((1-P291/100-W291)&gt;0,CEILING(MAX('Komisyon Tarifeleri'!M291,($D291+$F291)/(1-P291/100-W291)),1)&lt;='Komisyon Tarifeleri'!L291),CEILING(MAX('Komisyon Tarifeleri'!M291,($D291+$F291)/(1-P291/100-W291)),1),IF(AND((1-L291/100-W291)&gt;0,CEILING(MAX('Komisyon Tarifeleri'!K291,($D291+$F291)/(1-L291/100-W291)),1)&lt;='Komisyon Tarifeleri'!J291),CEILING(MAX('Komisyon Tarifeleri'!K291,($D291+$F291)/(1-L291/100-W291)),1),IF((1-H291/100-W291)&gt;0,CEILING(MAX('Komisyon Tarifeleri'!I291,($D291+$F291)/(1-H291/100-W291)),1),"İMKÂNSIZ")))))</f>
        <v/>
      </c>
      <c r="AE291" s="10">
        <f>IF(OR($D291="",$B291=""),"",IF(AND((1-T291/100-X291)&gt;0,CEILING(($D291+$F291)/(1-T291/100-X291),1)&lt;='Komisyon Tarifeleri'!N291),CEILING(($D291+$F291)/(1-T291/100-X291),1),IF(AND((1-P291/100-X291)&gt;0,CEILING(MAX('Komisyon Tarifeleri'!M291,($D291+$F291)/(1-P291/100-X291)),1)&lt;='Komisyon Tarifeleri'!L291),CEILING(MAX('Komisyon Tarifeleri'!M291,($D291+$F291)/(1-P291/100-X291)),1),IF(AND((1-L291/100-X291)&gt;0,CEILING(MAX('Komisyon Tarifeleri'!K291,($D291+$F291)/(1-L291/100-X291)),1)&lt;='Komisyon Tarifeleri'!J291),CEILING(MAX('Komisyon Tarifeleri'!K291,($D291+$F291)/(1-L291/100-X291)),1),IF((1-H291/100-X291)&gt;0,CEILING(MAX('Komisyon Tarifeleri'!I291,($D291+$F291)/(1-H291/100-X291)),1),"İMKÂNSIZ")))))</f>
        <v/>
      </c>
      <c r="AF291" s="16">
        <f>IF($D291="","",IF(AND(Y291&lt;&gt;"",AC291&lt;&gt;"",AC291&gt;=W291),Z291,IF(Y291&lt;&gt;"",AD291,AE291)))</f>
        <v/>
      </c>
      <c r="AG291" s="16">
        <f>IF(OR(AF291="",AF291="İMKÂNSIZ"),"",AF291*(1-IF(AF291&gt;='Komisyon Tarifeleri'!I291,IF($AM$1=2,'Komisyon Tarifeleri'!U291,'Komisyon Tarifeleri'!P291),IF(AF291&gt;='Komisyon Tarifeleri'!K291,IF($AM$1=2,'Komisyon Tarifeleri'!V291,'Komisyon Tarifeleri'!Q291),IF(AF291&gt;='Komisyon Tarifeleri'!M291,IF($AM$1=2,'Komisyon Tarifeleri'!W291,'Komisyon Tarifeleri'!R291),IF($AM$1=2,'Komisyon Tarifeleri'!X291,'Komisyon Tarifeleri'!S291))))/100)-$D291-IF(AF291&lt;=199.99,Kargo!$E$2,IF(AF291&lt;=399.99,Kargo!$E$3,$F291)))</f>
        <v/>
      </c>
      <c r="AH291" s="17">
        <f>IF(AG291="","",AG291/AF291)</f>
        <v/>
      </c>
      <c r="AI291" s="18">
        <f>IF($D291="","",IF(Y291="","BUYBOX YOK → hedef kârla min fiyat",IF(AC291&gt;=W291,"✓ BUYBOX ALTINA GİR","BUYBOX ALTI KÂRSIZ → min kârlı fiyat")))</f>
        <v/>
      </c>
      <c r="AJ291" s="10">
        <f>IF($B291="","",IFERROR(VLOOKUP($B291,Maliyetler!$A:$G,6,FALSE),""))</f>
        <v/>
      </c>
      <c r="AK291">
        <f>IF($B291="","",IFERROR(VLOOKUP($B291,Maliyetler!$A:$G,7,FALSE),""))</f>
        <v/>
      </c>
      <c r="AO291" s="21">
        <f>IF($B291="","",IFERROR(VLOOKUP($B291&amp;"",'Plus Tarifeleri'!$C:$Q,11,FALSE),""))</f>
        <v/>
      </c>
      <c r="AP291" s="22">
        <f>IF(AO291="","",IFERROR(IF($AM$1=2,VLOOKUP($B291&amp;"",'Plus Tarifeleri'!$C:$Q,15,FALSE),VLOOKUP($B291&amp;"",'Plus Tarifeleri'!$C:$Q,13,FALSE)),""))</f>
        <v/>
      </c>
      <c r="AQ291" s="21">
        <f>IF(OR(AO291="",AP291="",$D291=""),"",AO291*(1-AP291/100)-$D291-IF(AO291&lt;=199.99,Kargo!$E$2,IF(AO291&lt;=399.99,Kargo!$E$3,$F291)))</f>
        <v/>
      </c>
      <c r="AR291" s="23">
        <f>IF(AQ291="","",AQ291/AO291)</f>
        <v/>
      </c>
      <c r="AS291" s="24">
        <f>IF(OR(AQ291="",AG291=""),"",AQ291-AG291)</f>
        <v/>
      </c>
    </row>
    <row r="292">
      <c r="A292">
        <f>IF('Komisyon Tarifeleri'!A292="","",'Komisyon Tarifeleri'!A292)</f>
        <v/>
      </c>
      <c r="B292">
        <f>IF('Komisyon Tarifeleri'!B292="","",'Komisyon Tarifeleri'!B292&amp;"")</f>
        <v/>
      </c>
      <c r="C292">
        <f>IF($B292="","",'Komisyon Tarifeleri'!F292)</f>
        <v/>
      </c>
      <c r="D292" s="10">
        <f>IF($B292="","",IFERROR(VLOOKUP($B292,Maliyetler!$A:$E,3,FALSE),""))</f>
        <v/>
      </c>
      <c r="E292">
        <f>IF($B292="","",IFERROR(VLOOKUP($B292,Maliyetler!$A:$E,4,FALSE),1))</f>
        <v/>
      </c>
      <c r="F292" s="10">
        <f>IF($B292="","",IFERROR(VLOOKUP(MIN(20,MAX(1,ROUND($E292,0))),Kargo!$A:$B,2,FALSE),99.46))</f>
        <v/>
      </c>
      <c r="G292" s="10">
        <f>IF($B292="","",IF(IF(N('Komisyon Tarifeleri'!AA292)&gt;='Komisyon Tarifeleri'!I292,'Komisyon Tarifeleri'!AA292,'Komisyon Tarifeleri'!I292)="","",IF(N('Komisyon Tarifeleri'!AA292)&gt;='Komisyon Tarifeleri'!I292,'Komisyon Tarifeleri'!AA292,'Komisyon Tarifeleri'!I292)))</f>
        <v/>
      </c>
      <c r="H292" s="11">
        <f>IF(G292="","",IF($AM$1=2,'Komisyon Tarifeleri'!U292,'Komisyon Tarifeleri'!P292))</f>
        <v/>
      </c>
      <c r="I292" s="10">
        <f>IF(OR(G292="",$D292=""),"",G292*(1-H292/100)-$D292-IF(G292&lt;=199.99,Kargo!$E$2,IF(G292&lt;=399.99,Kargo!$E$3,$F292)))</f>
        <v/>
      </c>
      <c r="J292" s="12">
        <f>IF(I292="","",I292/G292)</f>
        <v/>
      </c>
      <c r="K292" s="10">
        <f>IF($B292="","",IF('Komisyon Tarifeleri'!J292="","",'Komisyon Tarifeleri'!J292))</f>
        <v/>
      </c>
      <c r="L292" s="11">
        <f>IF(K292="","",IF($AM$1=2,'Komisyon Tarifeleri'!V292,'Komisyon Tarifeleri'!Q292))</f>
        <v/>
      </c>
      <c r="M292" s="10">
        <f>IF(OR(K292="",$D292=""),"",K292*(1-L292/100)-$D292-IF(K292&lt;=199.99,Kargo!$E$2,IF(K292&lt;=399.99,Kargo!$E$3,$F292)))</f>
        <v/>
      </c>
      <c r="N292" s="12">
        <f>IF(M292="","",M292/K292)</f>
        <v/>
      </c>
      <c r="O292" s="10">
        <f>IF($B292="","",IF('Komisyon Tarifeleri'!L292="","",'Komisyon Tarifeleri'!L292))</f>
        <v/>
      </c>
      <c r="P292" s="11">
        <f>IF(O292="","",IF($AM$1=2,'Komisyon Tarifeleri'!W292,'Komisyon Tarifeleri'!R292))</f>
        <v/>
      </c>
      <c r="Q292" s="10">
        <f>IF(OR(O292="",$D292=""),"",O292*(1-P292/100)-$D292-IF(O292&lt;=199.99,Kargo!$E$2,IF(O292&lt;=399.99,Kargo!$E$3,$F292)))</f>
        <v/>
      </c>
      <c r="R292" s="12">
        <f>IF(Q292="","",Q292/O292)</f>
        <v/>
      </c>
      <c r="S292" s="10">
        <f>IF($B292="","",IF('Komisyon Tarifeleri'!N292="","",'Komisyon Tarifeleri'!N292))</f>
        <v/>
      </c>
      <c r="T292" s="11">
        <f>IF(S292="","",IF($AM$1=2,'Komisyon Tarifeleri'!X292,'Komisyon Tarifeleri'!S292))</f>
        <v/>
      </c>
      <c r="U292" s="10">
        <f>IF(OR(S292="",$D292=""),"",S292*(1-T292/100)-$D292-IF(S292&lt;=199.99,Kargo!$E$2,IF(S292&lt;=399.99,Kargo!$E$3,$F292)))</f>
        <v/>
      </c>
      <c r="V292" s="12">
        <f>IF(U292="","",U292/S292)</f>
        <v/>
      </c>
      <c r="W292" s="12">
        <f>IF($B292="","",IFERROR(VLOOKUP($C292,Hedefler!$A:$C,2,FALSE),0.04))</f>
        <v/>
      </c>
      <c r="X292" s="12">
        <f>IF($B292="","",IFERROR(VLOOKUP($C292,Hedefler!$A:$C,3,FALSE),0.1))</f>
        <v/>
      </c>
      <c r="Y292" s="13">
        <f>IF($B292="","",IFERROR(VLOOKUP($B292,Maliyetler!$A:$E,5,FALSE),""))</f>
        <v/>
      </c>
      <c r="Z292" s="13">
        <f>IF(OR(Y292="",Y292=0),"",Y292-1)</f>
        <v/>
      </c>
      <c r="AA292" s="14">
        <f>IF(Z292="","",IF(Z292&gt;='Komisyon Tarifeleri'!I292,IF($AM$1=2,'Komisyon Tarifeleri'!U292,'Komisyon Tarifeleri'!P292),IF(Z292&gt;='Komisyon Tarifeleri'!K292,IF($AM$1=2,'Komisyon Tarifeleri'!V292,'Komisyon Tarifeleri'!Q292),IF(Z292&gt;='Komisyon Tarifeleri'!M292,IF($AM$1=2,'Komisyon Tarifeleri'!W292,'Komisyon Tarifeleri'!R292),IF($AM$1=2,'Komisyon Tarifeleri'!X292,'Komisyon Tarifeleri'!S292)))))</f>
        <v/>
      </c>
      <c r="AB292" s="13">
        <f>IF(OR(AA292="",$D292=""),"",Z292*(1-AA292/100)-$D292-IF(Z292&lt;=199.99,Kargo!$E$2,IF(Z292&lt;=399.99,Kargo!$E$3,$F292)))</f>
        <v/>
      </c>
      <c r="AC292" s="15">
        <f>IF(AB292="","",AB292/Z292)</f>
        <v/>
      </c>
      <c r="AD292" s="10">
        <f>IF(OR($D292="",$B292=""),"",IF(AND((1-T292/100-W292)&gt;0,CEILING(($D292+$F292)/(1-T292/100-W292),1)&lt;='Komisyon Tarifeleri'!N292),CEILING(($D292+$F292)/(1-T292/100-W292),1),IF(AND((1-P292/100-W292)&gt;0,CEILING(MAX('Komisyon Tarifeleri'!M292,($D292+$F292)/(1-P292/100-W292)),1)&lt;='Komisyon Tarifeleri'!L292),CEILING(MAX('Komisyon Tarifeleri'!M292,($D292+$F292)/(1-P292/100-W292)),1),IF(AND((1-L292/100-W292)&gt;0,CEILING(MAX('Komisyon Tarifeleri'!K292,($D292+$F292)/(1-L292/100-W292)),1)&lt;='Komisyon Tarifeleri'!J292),CEILING(MAX('Komisyon Tarifeleri'!K292,($D292+$F292)/(1-L292/100-W292)),1),IF((1-H292/100-W292)&gt;0,CEILING(MAX('Komisyon Tarifeleri'!I292,($D292+$F292)/(1-H292/100-W292)),1),"İMKÂNSIZ")))))</f>
        <v/>
      </c>
      <c r="AE292" s="10">
        <f>IF(OR($D292="",$B292=""),"",IF(AND((1-T292/100-X292)&gt;0,CEILING(($D292+$F292)/(1-T292/100-X292),1)&lt;='Komisyon Tarifeleri'!N292),CEILING(($D292+$F292)/(1-T292/100-X292),1),IF(AND((1-P292/100-X292)&gt;0,CEILING(MAX('Komisyon Tarifeleri'!M292,($D292+$F292)/(1-P292/100-X292)),1)&lt;='Komisyon Tarifeleri'!L292),CEILING(MAX('Komisyon Tarifeleri'!M292,($D292+$F292)/(1-P292/100-X292)),1),IF(AND((1-L292/100-X292)&gt;0,CEILING(MAX('Komisyon Tarifeleri'!K292,($D292+$F292)/(1-L292/100-X292)),1)&lt;='Komisyon Tarifeleri'!J292),CEILING(MAX('Komisyon Tarifeleri'!K292,($D292+$F292)/(1-L292/100-X292)),1),IF((1-H292/100-X292)&gt;0,CEILING(MAX('Komisyon Tarifeleri'!I292,($D292+$F292)/(1-H292/100-X292)),1),"İMKÂNSIZ")))))</f>
        <v/>
      </c>
      <c r="AF292" s="16">
        <f>IF($D292="","",IF(AND(Y292&lt;&gt;"",AC292&lt;&gt;"",AC292&gt;=W292),Z292,IF(Y292&lt;&gt;"",AD292,AE292)))</f>
        <v/>
      </c>
      <c r="AG292" s="16">
        <f>IF(OR(AF292="",AF292="İMKÂNSIZ"),"",AF292*(1-IF(AF292&gt;='Komisyon Tarifeleri'!I292,IF($AM$1=2,'Komisyon Tarifeleri'!U292,'Komisyon Tarifeleri'!P292),IF(AF292&gt;='Komisyon Tarifeleri'!K292,IF($AM$1=2,'Komisyon Tarifeleri'!V292,'Komisyon Tarifeleri'!Q292),IF(AF292&gt;='Komisyon Tarifeleri'!M292,IF($AM$1=2,'Komisyon Tarifeleri'!W292,'Komisyon Tarifeleri'!R292),IF($AM$1=2,'Komisyon Tarifeleri'!X292,'Komisyon Tarifeleri'!S292))))/100)-$D292-IF(AF292&lt;=199.99,Kargo!$E$2,IF(AF292&lt;=399.99,Kargo!$E$3,$F292)))</f>
        <v/>
      </c>
      <c r="AH292" s="17">
        <f>IF(AG292="","",AG292/AF292)</f>
        <v/>
      </c>
      <c r="AI292" s="18">
        <f>IF($D292="","",IF(Y292="","BUYBOX YOK → hedef kârla min fiyat",IF(AC292&gt;=W292,"✓ BUYBOX ALTINA GİR","BUYBOX ALTI KÂRSIZ → min kârlı fiyat")))</f>
        <v/>
      </c>
      <c r="AJ292" s="10">
        <f>IF($B292="","",IFERROR(VLOOKUP($B292,Maliyetler!$A:$G,6,FALSE),""))</f>
        <v/>
      </c>
      <c r="AK292">
        <f>IF($B292="","",IFERROR(VLOOKUP($B292,Maliyetler!$A:$G,7,FALSE),""))</f>
        <v/>
      </c>
      <c r="AO292" s="21">
        <f>IF($B292="","",IFERROR(VLOOKUP($B292&amp;"",'Plus Tarifeleri'!$C:$Q,11,FALSE),""))</f>
        <v/>
      </c>
      <c r="AP292" s="22">
        <f>IF(AO292="","",IFERROR(IF($AM$1=2,VLOOKUP($B292&amp;"",'Plus Tarifeleri'!$C:$Q,15,FALSE),VLOOKUP($B292&amp;"",'Plus Tarifeleri'!$C:$Q,13,FALSE)),""))</f>
        <v/>
      </c>
      <c r="AQ292" s="21">
        <f>IF(OR(AO292="",AP292="",$D292=""),"",AO292*(1-AP292/100)-$D292-IF(AO292&lt;=199.99,Kargo!$E$2,IF(AO292&lt;=399.99,Kargo!$E$3,$F292)))</f>
        <v/>
      </c>
      <c r="AR292" s="23">
        <f>IF(AQ292="","",AQ292/AO292)</f>
        <v/>
      </c>
      <c r="AS292" s="24">
        <f>IF(OR(AQ292="",AG292=""),"",AQ292-AG292)</f>
        <v/>
      </c>
    </row>
    <row r="293">
      <c r="A293">
        <f>IF('Komisyon Tarifeleri'!A293="","",'Komisyon Tarifeleri'!A293)</f>
        <v/>
      </c>
      <c r="B293">
        <f>IF('Komisyon Tarifeleri'!B293="","",'Komisyon Tarifeleri'!B293&amp;"")</f>
        <v/>
      </c>
      <c r="C293">
        <f>IF($B293="","",'Komisyon Tarifeleri'!F293)</f>
        <v/>
      </c>
      <c r="D293" s="10">
        <f>IF($B293="","",IFERROR(VLOOKUP($B293,Maliyetler!$A:$E,3,FALSE),""))</f>
        <v/>
      </c>
      <c r="E293">
        <f>IF($B293="","",IFERROR(VLOOKUP($B293,Maliyetler!$A:$E,4,FALSE),1))</f>
        <v/>
      </c>
      <c r="F293" s="10">
        <f>IF($B293="","",IFERROR(VLOOKUP(MIN(20,MAX(1,ROUND($E293,0))),Kargo!$A:$B,2,FALSE),99.46))</f>
        <v/>
      </c>
      <c r="G293" s="10">
        <f>IF($B293="","",IF(IF(N('Komisyon Tarifeleri'!AA293)&gt;='Komisyon Tarifeleri'!I293,'Komisyon Tarifeleri'!AA293,'Komisyon Tarifeleri'!I293)="","",IF(N('Komisyon Tarifeleri'!AA293)&gt;='Komisyon Tarifeleri'!I293,'Komisyon Tarifeleri'!AA293,'Komisyon Tarifeleri'!I293)))</f>
        <v/>
      </c>
      <c r="H293" s="11">
        <f>IF(G293="","",IF($AM$1=2,'Komisyon Tarifeleri'!U293,'Komisyon Tarifeleri'!P293))</f>
        <v/>
      </c>
      <c r="I293" s="10">
        <f>IF(OR(G293="",$D293=""),"",G293*(1-H293/100)-$D293-IF(G293&lt;=199.99,Kargo!$E$2,IF(G293&lt;=399.99,Kargo!$E$3,$F293)))</f>
        <v/>
      </c>
      <c r="J293" s="12">
        <f>IF(I293="","",I293/G293)</f>
        <v/>
      </c>
      <c r="K293" s="10">
        <f>IF($B293="","",IF('Komisyon Tarifeleri'!J293="","",'Komisyon Tarifeleri'!J293))</f>
        <v/>
      </c>
      <c r="L293" s="11">
        <f>IF(K293="","",IF($AM$1=2,'Komisyon Tarifeleri'!V293,'Komisyon Tarifeleri'!Q293))</f>
        <v/>
      </c>
      <c r="M293" s="10">
        <f>IF(OR(K293="",$D293=""),"",K293*(1-L293/100)-$D293-IF(K293&lt;=199.99,Kargo!$E$2,IF(K293&lt;=399.99,Kargo!$E$3,$F293)))</f>
        <v/>
      </c>
      <c r="N293" s="12">
        <f>IF(M293="","",M293/K293)</f>
        <v/>
      </c>
      <c r="O293" s="10">
        <f>IF($B293="","",IF('Komisyon Tarifeleri'!L293="","",'Komisyon Tarifeleri'!L293))</f>
        <v/>
      </c>
      <c r="P293" s="11">
        <f>IF(O293="","",IF($AM$1=2,'Komisyon Tarifeleri'!W293,'Komisyon Tarifeleri'!R293))</f>
        <v/>
      </c>
      <c r="Q293" s="10">
        <f>IF(OR(O293="",$D293=""),"",O293*(1-P293/100)-$D293-IF(O293&lt;=199.99,Kargo!$E$2,IF(O293&lt;=399.99,Kargo!$E$3,$F293)))</f>
        <v/>
      </c>
      <c r="R293" s="12">
        <f>IF(Q293="","",Q293/O293)</f>
        <v/>
      </c>
      <c r="S293" s="10">
        <f>IF($B293="","",IF('Komisyon Tarifeleri'!N293="","",'Komisyon Tarifeleri'!N293))</f>
        <v/>
      </c>
      <c r="T293" s="11">
        <f>IF(S293="","",IF($AM$1=2,'Komisyon Tarifeleri'!X293,'Komisyon Tarifeleri'!S293))</f>
        <v/>
      </c>
      <c r="U293" s="10">
        <f>IF(OR(S293="",$D293=""),"",S293*(1-T293/100)-$D293-IF(S293&lt;=199.99,Kargo!$E$2,IF(S293&lt;=399.99,Kargo!$E$3,$F293)))</f>
        <v/>
      </c>
      <c r="V293" s="12">
        <f>IF(U293="","",U293/S293)</f>
        <v/>
      </c>
      <c r="W293" s="12">
        <f>IF($B293="","",IFERROR(VLOOKUP($C293,Hedefler!$A:$C,2,FALSE),0.04))</f>
        <v/>
      </c>
      <c r="X293" s="12">
        <f>IF($B293="","",IFERROR(VLOOKUP($C293,Hedefler!$A:$C,3,FALSE),0.1))</f>
        <v/>
      </c>
      <c r="Y293" s="13">
        <f>IF($B293="","",IFERROR(VLOOKUP($B293,Maliyetler!$A:$E,5,FALSE),""))</f>
        <v/>
      </c>
      <c r="Z293" s="13">
        <f>IF(OR(Y293="",Y293=0),"",Y293-1)</f>
        <v/>
      </c>
      <c r="AA293" s="14">
        <f>IF(Z293="","",IF(Z293&gt;='Komisyon Tarifeleri'!I293,IF($AM$1=2,'Komisyon Tarifeleri'!U293,'Komisyon Tarifeleri'!P293),IF(Z293&gt;='Komisyon Tarifeleri'!K293,IF($AM$1=2,'Komisyon Tarifeleri'!V293,'Komisyon Tarifeleri'!Q293),IF(Z293&gt;='Komisyon Tarifeleri'!M293,IF($AM$1=2,'Komisyon Tarifeleri'!W293,'Komisyon Tarifeleri'!R293),IF($AM$1=2,'Komisyon Tarifeleri'!X293,'Komisyon Tarifeleri'!S293)))))</f>
        <v/>
      </c>
      <c r="AB293" s="13">
        <f>IF(OR(AA293="",$D293=""),"",Z293*(1-AA293/100)-$D293-IF(Z293&lt;=199.99,Kargo!$E$2,IF(Z293&lt;=399.99,Kargo!$E$3,$F293)))</f>
        <v/>
      </c>
      <c r="AC293" s="15">
        <f>IF(AB293="","",AB293/Z293)</f>
        <v/>
      </c>
      <c r="AD293" s="10">
        <f>IF(OR($D293="",$B293=""),"",IF(AND((1-T293/100-W293)&gt;0,CEILING(($D293+$F293)/(1-T293/100-W293),1)&lt;='Komisyon Tarifeleri'!N293),CEILING(($D293+$F293)/(1-T293/100-W293),1),IF(AND((1-P293/100-W293)&gt;0,CEILING(MAX('Komisyon Tarifeleri'!M293,($D293+$F293)/(1-P293/100-W293)),1)&lt;='Komisyon Tarifeleri'!L293),CEILING(MAX('Komisyon Tarifeleri'!M293,($D293+$F293)/(1-P293/100-W293)),1),IF(AND((1-L293/100-W293)&gt;0,CEILING(MAX('Komisyon Tarifeleri'!K293,($D293+$F293)/(1-L293/100-W293)),1)&lt;='Komisyon Tarifeleri'!J293),CEILING(MAX('Komisyon Tarifeleri'!K293,($D293+$F293)/(1-L293/100-W293)),1),IF((1-H293/100-W293)&gt;0,CEILING(MAX('Komisyon Tarifeleri'!I293,($D293+$F293)/(1-H293/100-W293)),1),"İMKÂNSIZ")))))</f>
        <v/>
      </c>
      <c r="AE293" s="10">
        <f>IF(OR($D293="",$B293=""),"",IF(AND((1-T293/100-X293)&gt;0,CEILING(($D293+$F293)/(1-T293/100-X293),1)&lt;='Komisyon Tarifeleri'!N293),CEILING(($D293+$F293)/(1-T293/100-X293),1),IF(AND((1-P293/100-X293)&gt;0,CEILING(MAX('Komisyon Tarifeleri'!M293,($D293+$F293)/(1-P293/100-X293)),1)&lt;='Komisyon Tarifeleri'!L293),CEILING(MAX('Komisyon Tarifeleri'!M293,($D293+$F293)/(1-P293/100-X293)),1),IF(AND((1-L293/100-X293)&gt;0,CEILING(MAX('Komisyon Tarifeleri'!K293,($D293+$F293)/(1-L293/100-X293)),1)&lt;='Komisyon Tarifeleri'!J293),CEILING(MAX('Komisyon Tarifeleri'!K293,($D293+$F293)/(1-L293/100-X293)),1),IF((1-H293/100-X293)&gt;0,CEILING(MAX('Komisyon Tarifeleri'!I293,($D293+$F293)/(1-H293/100-X293)),1),"İMKÂNSIZ")))))</f>
        <v/>
      </c>
      <c r="AF293" s="16">
        <f>IF($D293="","",IF(AND(Y293&lt;&gt;"",AC293&lt;&gt;"",AC293&gt;=W293),Z293,IF(Y293&lt;&gt;"",AD293,AE293)))</f>
        <v/>
      </c>
      <c r="AG293" s="16">
        <f>IF(OR(AF293="",AF293="İMKÂNSIZ"),"",AF293*(1-IF(AF293&gt;='Komisyon Tarifeleri'!I293,IF($AM$1=2,'Komisyon Tarifeleri'!U293,'Komisyon Tarifeleri'!P293),IF(AF293&gt;='Komisyon Tarifeleri'!K293,IF($AM$1=2,'Komisyon Tarifeleri'!V293,'Komisyon Tarifeleri'!Q293),IF(AF293&gt;='Komisyon Tarifeleri'!M293,IF($AM$1=2,'Komisyon Tarifeleri'!W293,'Komisyon Tarifeleri'!R293),IF($AM$1=2,'Komisyon Tarifeleri'!X293,'Komisyon Tarifeleri'!S293))))/100)-$D293-IF(AF293&lt;=199.99,Kargo!$E$2,IF(AF293&lt;=399.99,Kargo!$E$3,$F293)))</f>
        <v/>
      </c>
      <c r="AH293" s="17">
        <f>IF(AG293="","",AG293/AF293)</f>
        <v/>
      </c>
      <c r="AI293" s="18">
        <f>IF($D293="","",IF(Y293="","BUYBOX YOK → hedef kârla min fiyat",IF(AC293&gt;=W293,"✓ BUYBOX ALTINA GİR","BUYBOX ALTI KÂRSIZ → min kârlı fiyat")))</f>
        <v/>
      </c>
      <c r="AJ293" s="10">
        <f>IF($B293="","",IFERROR(VLOOKUP($B293,Maliyetler!$A:$G,6,FALSE),""))</f>
        <v/>
      </c>
      <c r="AK293">
        <f>IF($B293="","",IFERROR(VLOOKUP($B293,Maliyetler!$A:$G,7,FALSE),""))</f>
        <v/>
      </c>
      <c r="AO293" s="21">
        <f>IF($B293="","",IFERROR(VLOOKUP($B293&amp;"",'Plus Tarifeleri'!$C:$Q,11,FALSE),""))</f>
        <v/>
      </c>
      <c r="AP293" s="22">
        <f>IF(AO293="","",IFERROR(IF($AM$1=2,VLOOKUP($B293&amp;"",'Plus Tarifeleri'!$C:$Q,15,FALSE),VLOOKUP($B293&amp;"",'Plus Tarifeleri'!$C:$Q,13,FALSE)),""))</f>
        <v/>
      </c>
      <c r="AQ293" s="21">
        <f>IF(OR(AO293="",AP293="",$D293=""),"",AO293*(1-AP293/100)-$D293-IF(AO293&lt;=199.99,Kargo!$E$2,IF(AO293&lt;=399.99,Kargo!$E$3,$F293)))</f>
        <v/>
      </c>
      <c r="AR293" s="23">
        <f>IF(AQ293="","",AQ293/AO293)</f>
        <v/>
      </c>
      <c r="AS293" s="24">
        <f>IF(OR(AQ293="",AG293=""),"",AQ293-AG293)</f>
        <v/>
      </c>
    </row>
    <row r="294">
      <c r="A294">
        <f>IF('Komisyon Tarifeleri'!A294="","",'Komisyon Tarifeleri'!A294)</f>
        <v/>
      </c>
      <c r="B294">
        <f>IF('Komisyon Tarifeleri'!B294="","",'Komisyon Tarifeleri'!B294&amp;"")</f>
        <v/>
      </c>
      <c r="C294">
        <f>IF($B294="","",'Komisyon Tarifeleri'!F294)</f>
        <v/>
      </c>
      <c r="D294" s="10">
        <f>IF($B294="","",IFERROR(VLOOKUP($B294,Maliyetler!$A:$E,3,FALSE),""))</f>
        <v/>
      </c>
      <c r="E294">
        <f>IF($B294="","",IFERROR(VLOOKUP($B294,Maliyetler!$A:$E,4,FALSE),1))</f>
        <v/>
      </c>
      <c r="F294" s="10">
        <f>IF($B294="","",IFERROR(VLOOKUP(MIN(20,MAX(1,ROUND($E294,0))),Kargo!$A:$B,2,FALSE),99.46))</f>
        <v/>
      </c>
      <c r="G294" s="10">
        <f>IF($B294="","",IF(IF(N('Komisyon Tarifeleri'!AA294)&gt;='Komisyon Tarifeleri'!I294,'Komisyon Tarifeleri'!AA294,'Komisyon Tarifeleri'!I294)="","",IF(N('Komisyon Tarifeleri'!AA294)&gt;='Komisyon Tarifeleri'!I294,'Komisyon Tarifeleri'!AA294,'Komisyon Tarifeleri'!I294)))</f>
        <v/>
      </c>
      <c r="H294" s="11">
        <f>IF(G294="","",IF($AM$1=2,'Komisyon Tarifeleri'!U294,'Komisyon Tarifeleri'!P294))</f>
        <v/>
      </c>
      <c r="I294" s="10">
        <f>IF(OR(G294="",$D294=""),"",G294*(1-H294/100)-$D294-IF(G294&lt;=199.99,Kargo!$E$2,IF(G294&lt;=399.99,Kargo!$E$3,$F294)))</f>
        <v/>
      </c>
      <c r="J294" s="12">
        <f>IF(I294="","",I294/G294)</f>
        <v/>
      </c>
      <c r="K294" s="10">
        <f>IF($B294="","",IF('Komisyon Tarifeleri'!J294="","",'Komisyon Tarifeleri'!J294))</f>
        <v/>
      </c>
      <c r="L294" s="11">
        <f>IF(K294="","",IF($AM$1=2,'Komisyon Tarifeleri'!V294,'Komisyon Tarifeleri'!Q294))</f>
        <v/>
      </c>
      <c r="M294" s="10">
        <f>IF(OR(K294="",$D294=""),"",K294*(1-L294/100)-$D294-IF(K294&lt;=199.99,Kargo!$E$2,IF(K294&lt;=399.99,Kargo!$E$3,$F294)))</f>
        <v/>
      </c>
      <c r="N294" s="12">
        <f>IF(M294="","",M294/K294)</f>
        <v/>
      </c>
      <c r="O294" s="10">
        <f>IF($B294="","",IF('Komisyon Tarifeleri'!L294="","",'Komisyon Tarifeleri'!L294))</f>
        <v/>
      </c>
      <c r="P294" s="11">
        <f>IF(O294="","",IF($AM$1=2,'Komisyon Tarifeleri'!W294,'Komisyon Tarifeleri'!R294))</f>
        <v/>
      </c>
      <c r="Q294" s="10">
        <f>IF(OR(O294="",$D294=""),"",O294*(1-P294/100)-$D294-IF(O294&lt;=199.99,Kargo!$E$2,IF(O294&lt;=399.99,Kargo!$E$3,$F294)))</f>
        <v/>
      </c>
      <c r="R294" s="12">
        <f>IF(Q294="","",Q294/O294)</f>
        <v/>
      </c>
      <c r="S294" s="10">
        <f>IF($B294="","",IF('Komisyon Tarifeleri'!N294="","",'Komisyon Tarifeleri'!N294))</f>
        <v/>
      </c>
      <c r="T294" s="11">
        <f>IF(S294="","",IF($AM$1=2,'Komisyon Tarifeleri'!X294,'Komisyon Tarifeleri'!S294))</f>
        <v/>
      </c>
      <c r="U294" s="10">
        <f>IF(OR(S294="",$D294=""),"",S294*(1-T294/100)-$D294-IF(S294&lt;=199.99,Kargo!$E$2,IF(S294&lt;=399.99,Kargo!$E$3,$F294)))</f>
        <v/>
      </c>
      <c r="V294" s="12">
        <f>IF(U294="","",U294/S294)</f>
        <v/>
      </c>
      <c r="W294" s="12">
        <f>IF($B294="","",IFERROR(VLOOKUP($C294,Hedefler!$A:$C,2,FALSE),0.04))</f>
        <v/>
      </c>
      <c r="X294" s="12">
        <f>IF($B294="","",IFERROR(VLOOKUP($C294,Hedefler!$A:$C,3,FALSE),0.1))</f>
        <v/>
      </c>
      <c r="Y294" s="13">
        <f>IF($B294="","",IFERROR(VLOOKUP($B294,Maliyetler!$A:$E,5,FALSE),""))</f>
        <v/>
      </c>
      <c r="Z294" s="13">
        <f>IF(OR(Y294="",Y294=0),"",Y294-1)</f>
        <v/>
      </c>
      <c r="AA294" s="14">
        <f>IF(Z294="","",IF(Z294&gt;='Komisyon Tarifeleri'!I294,IF($AM$1=2,'Komisyon Tarifeleri'!U294,'Komisyon Tarifeleri'!P294),IF(Z294&gt;='Komisyon Tarifeleri'!K294,IF($AM$1=2,'Komisyon Tarifeleri'!V294,'Komisyon Tarifeleri'!Q294),IF(Z294&gt;='Komisyon Tarifeleri'!M294,IF($AM$1=2,'Komisyon Tarifeleri'!W294,'Komisyon Tarifeleri'!R294),IF($AM$1=2,'Komisyon Tarifeleri'!X294,'Komisyon Tarifeleri'!S294)))))</f>
        <v/>
      </c>
      <c r="AB294" s="13">
        <f>IF(OR(AA294="",$D294=""),"",Z294*(1-AA294/100)-$D294-IF(Z294&lt;=199.99,Kargo!$E$2,IF(Z294&lt;=399.99,Kargo!$E$3,$F294)))</f>
        <v/>
      </c>
      <c r="AC294" s="15">
        <f>IF(AB294="","",AB294/Z294)</f>
        <v/>
      </c>
      <c r="AD294" s="10">
        <f>IF(OR($D294="",$B294=""),"",IF(AND((1-T294/100-W294)&gt;0,CEILING(($D294+$F294)/(1-T294/100-W294),1)&lt;='Komisyon Tarifeleri'!N294),CEILING(($D294+$F294)/(1-T294/100-W294),1),IF(AND((1-P294/100-W294)&gt;0,CEILING(MAX('Komisyon Tarifeleri'!M294,($D294+$F294)/(1-P294/100-W294)),1)&lt;='Komisyon Tarifeleri'!L294),CEILING(MAX('Komisyon Tarifeleri'!M294,($D294+$F294)/(1-P294/100-W294)),1),IF(AND((1-L294/100-W294)&gt;0,CEILING(MAX('Komisyon Tarifeleri'!K294,($D294+$F294)/(1-L294/100-W294)),1)&lt;='Komisyon Tarifeleri'!J294),CEILING(MAX('Komisyon Tarifeleri'!K294,($D294+$F294)/(1-L294/100-W294)),1),IF((1-H294/100-W294)&gt;0,CEILING(MAX('Komisyon Tarifeleri'!I294,($D294+$F294)/(1-H294/100-W294)),1),"İMKÂNSIZ")))))</f>
        <v/>
      </c>
      <c r="AE294" s="10">
        <f>IF(OR($D294="",$B294=""),"",IF(AND((1-T294/100-X294)&gt;0,CEILING(($D294+$F294)/(1-T294/100-X294),1)&lt;='Komisyon Tarifeleri'!N294),CEILING(($D294+$F294)/(1-T294/100-X294),1),IF(AND((1-P294/100-X294)&gt;0,CEILING(MAX('Komisyon Tarifeleri'!M294,($D294+$F294)/(1-P294/100-X294)),1)&lt;='Komisyon Tarifeleri'!L294),CEILING(MAX('Komisyon Tarifeleri'!M294,($D294+$F294)/(1-P294/100-X294)),1),IF(AND((1-L294/100-X294)&gt;0,CEILING(MAX('Komisyon Tarifeleri'!K294,($D294+$F294)/(1-L294/100-X294)),1)&lt;='Komisyon Tarifeleri'!J294),CEILING(MAX('Komisyon Tarifeleri'!K294,($D294+$F294)/(1-L294/100-X294)),1),IF((1-H294/100-X294)&gt;0,CEILING(MAX('Komisyon Tarifeleri'!I294,($D294+$F294)/(1-H294/100-X294)),1),"İMKÂNSIZ")))))</f>
        <v/>
      </c>
      <c r="AF294" s="16">
        <f>IF($D294="","",IF(AND(Y294&lt;&gt;"",AC294&lt;&gt;"",AC294&gt;=W294),Z294,IF(Y294&lt;&gt;"",AD294,AE294)))</f>
        <v/>
      </c>
      <c r="AG294" s="16">
        <f>IF(OR(AF294="",AF294="İMKÂNSIZ"),"",AF294*(1-IF(AF294&gt;='Komisyon Tarifeleri'!I294,IF($AM$1=2,'Komisyon Tarifeleri'!U294,'Komisyon Tarifeleri'!P294),IF(AF294&gt;='Komisyon Tarifeleri'!K294,IF($AM$1=2,'Komisyon Tarifeleri'!V294,'Komisyon Tarifeleri'!Q294),IF(AF294&gt;='Komisyon Tarifeleri'!M294,IF($AM$1=2,'Komisyon Tarifeleri'!W294,'Komisyon Tarifeleri'!R294),IF($AM$1=2,'Komisyon Tarifeleri'!X294,'Komisyon Tarifeleri'!S294))))/100)-$D294-IF(AF294&lt;=199.99,Kargo!$E$2,IF(AF294&lt;=399.99,Kargo!$E$3,$F294)))</f>
        <v/>
      </c>
      <c r="AH294" s="17">
        <f>IF(AG294="","",AG294/AF294)</f>
        <v/>
      </c>
      <c r="AI294" s="18">
        <f>IF($D294="","",IF(Y294="","BUYBOX YOK → hedef kârla min fiyat",IF(AC294&gt;=W294,"✓ BUYBOX ALTINA GİR","BUYBOX ALTI KÂRSIZ → min kârlı fiyat")))</f>
        <v/>
      </c>
      <c r="AJ294" s="10">
        <f>IF($B294="","",IFERROR(VLOOKUP($B294,Maliyetler!$A:$G,6,FALSE),""))</f>
        <v/>
      </c>
      <c r="AK294">
        <f>IF($B294="","",IFERROR(VLOOKUP($B294,Maliyetler!$A:$G,7,FALSE),""))</f>
        <v/>
      </c>
      <c r="AO294" s="21">
        <f>IF($B294="","",IFERROR(VLOOKUP($B294&amp;"",'Plus Tarifeleri'!$C:$Q,11,FALSE),""))</f>
        <v/>
      </c>
      <c r="AP294" s="22">
        <f>IF(AO294="","",IFERROR(IF($AM$1=2,VLOOKUP($B294&amp;"",'Plus Tarifeleri'!$C:$Q,15,FALSE),VLOOKUP($B294&amp;"",'Plus Tarifeleri'!$C:$Q,13,FALSE)),""))</f>
        <v/>
      </c>
      <c r="AQ294" s="21">
        <f>IF(OR(AO294="",AP294="",$D294=""),"",AO294*(1-AP294/100)-$D294-IF(AO294&lt;=199.99,Kargo!$E$2,IF(AO294&lt;=399.99,Kargo!$E$3,$F294)))</f>
        <v/>
      </c>
      <c r="AR294" s="23">
        <f>IF(AQ294="","",AQ294/AO294)</f>
        <v/>
      </c>
      <c r="AS294" s="24">
        <f>IF(OR(AQ294="",AG294=""),"",AQ294-AG294)</f>
        <v/>
      </c>
    </row>
    <row r="295">
      <c r="A295">
        <f>IF('Komisyon Tarifeleri'!A295="","",'Komisyon Tarifeleri'!A295)</f>
        <v/>
      </c>
      <c r="B295">
        <f>IF('Komisyon Tarifeleri'!B295="","",'Komisyon Tarifeleri'!B295&amp;"")</f>
        <v/>
      </c>
      <c r="C295">
        <f>IF($B295="","",'Komisyon Tarifeleri'!F295)</f>
        <v/>
      </c>
      <c r="D295" s="10">
        <f>IF($B295="","",IFERROR(VLOOKUP($B295,Maliyetler!$A:$E,3,FALSE),""))</f>
        <v/>
      </c>
      <c r="E295">
        <f>IF($B295="","",IFERROR(VLOOKUP($B295,Maliyetler!$A:$E,4,FALSE),1))</f>
        <v/>
      </c>
      <c r="F295" s="10">
        <f>IF($B295="","",IFERROR(VLOOKUP(MIN(20,MAX(1,ROUND($E295,0))),Kargo!$A:$B,2,FALSE),99.46))</f>
        <v/>
      </c>
      <c r="G295" s="10">
        <f>IF($B295="","",IF(IF(N('Komisyon Tarifeleri'!AA295)&gt;='Komisyon Tarifeleri'!I295,'Komisyon Tarifeleri'!AA295,'Komisyon Tarifeleri'!I295)="","",IF(N('Komisyon Tarifeleri'!AA295)&gt;='Komisyon Tarifeleri'!I295,'Komisyon Tarifeleri'!AA295,'Komisyon Tarifeleri'!I295)))</f>
        <v/>
      </c>
      <c r="H295" s="11">
        <f>IF(G295="","",IF($AM$1=2,'Komisyon Tarifeleri'!U295,'Komisyon Tarifeleri'!P295))</f>
        <v/>
      </c>
      <c r="I295" s="10">
        <f>IF(OR(G295="",$D295=""),"",G295*(1-H295/100)-$D295-IF(G295&lt;=199.99,Kargo!$E$2,IF(G295&lt;=399.99,Kargo!$E$3,$F295)))</f>
        <v/>
      </c>
      <c r="J295" s="12">
        <f>IF(I295="","",I295/G295)</f>
        <v/>
      </c>
      <c r="K295" s="10">
        <f>IF($B295="","",IF('Komisyon Tarifeleri'!J295="","",'Komisyon Tarifeleri'!J295))</f>
        <v/>
      </c>
      <c r="L295" s="11">
        <f>IF(K295="","",IF($AM$1=2,'Komisyon Tarifeleri'!V295,'Komisyon Tarifeleri'!Q295))</f>
        <v/>
      </c>
      <c r="M295" s="10">
        <f>IF(OR(K295="",$D295=""),"",K295*(1-L295/100)-$D295-IF(K295&lt;=199.99,Kargo!$E$2,IF(K295&lt;=399.99,Kargo!$E$3,$F295)))</f>
        <v/>
      </c>
      <c r="N295" s="12">
        <f>IF(M295="","",M295/K295)</f>
        <v/>
      </c>
      <c r="O295" s="10">
        <f>IF($B295="","",IF('Komisyon Tarifeleri'!L295="","",'Komisyon Tarifeleri'!L295))</f>
        <v/>
      </c>
      <c r="P295" s="11">
        <f>IF(O295="","",IF($AM$1=2,'Komisyon Tarifeleri'!W295,'Komisyon Tarifeleri'!R295))</f>
        <v/>
      </c>
      <c r="Q295" s="10">
        <f>IF(OR(O295="",$D295=""),"",O295*(1-P295/100)-$D295-IF(O295&lt;=199.99,Kargo!$E$2,IF(O295&lt;=399.99,Kargo!$E$3,$F295)))</f>
        <v/>
      </c>
      <c r="R295" s="12">
        <f>IF(Q295="","",Q295/O295)</f>
        <v/>
      </c>
      <c r="S295" s="10">
        <f>IF($B295="","",IF('Komisyon Tarifeleri'!N295="","",'Komisyon Tarifeleri'!N295))</f>
        <v/>
      </c>
      <c r="T295" s="11">
        <f>IF(S295="","",IF($AM$1=2,'Komisyon Tarifeleri'!X295,'Komisyon Tarifeleri'!S295))</f>
        <v/>
      </c>
      <c r="U295" s="10">
        <f>IF(OR(S295="",$D295=""),"",S295*(1-T295/100)-$D295-IF(S295&lt;=199.99,Kargo!$E$2,IF(S295&lt;=399.99,Kargo!$E$3,$F295)))</f>
        <v/>
      </c>
      <c r="V295" s="12">
        <f>IF(U295="","",U295/S295)</f>
        <v/>
      </c>
      <c r="W295" s="12">
        <f>IF($B295="","",IFERROR(VLOOKUP($C295,Hedefler!$A:$C,2,FALSE),0.04))</f>
        <v/>
      </c>
      <c r="X295" s="12">
        <f>IF($B295="","",IFERROR(VLOOKUP($C295,Hedefler!$A:$C,3,FALSE),0.1))</f>
        <v/>
      </c>
      <c r="Y295" s="13">
        <f>IF($B295="","",IFERROR(VLOOKUP($B295,Maliyetler!$A:$E,5,FALSE),""))</f>
        <v/>
      </c>
      <c r="Z295" s="13">
        <f>IF(OR(Y295="",Y295=0),"",Y295-1)</f>
        <v/>
      </c>
      <c r="AA295" s="14">
        <f>IF(Z295="","",IF(Z295&gt;='Komisyon Tarifeleri'!I295,IF($AM$1=2,'Komisyon Tarifeleri'!U295,'Komisyon Tarifeleri'!P295),IF(Z295&gt;='Komisyon Tarifeleri'!K295,IF($AM$1=2,'Komisyon Tarifeleri'!V295,'Komisyon Tarifeleri'!Q295),IF(Z295&gt;='Komisyon Tarifeleri'!M295,IF($AM$1=2,'Komisyon Tarifeleri'!W295,'Komisyon Tarifeleri'!R295),IF($AM$1=2,'Komisyon Tarifeleri'!X295,'Komisyon Tarifeleri'!S295)))))</f>
        <v/>
      </c>
      <c r="AB295" s="13">
        <f>IF(OR(AA295="",$D295=""),"",Z295*(1-AA295/100)-$D295-IF(Z295&lt;=199.99,Kargo!$E$2,IF(Z295&lt;=399.99,Kargo!$E$3,$F295)))</f>
        <v/>
      </c>
      <c r="AC295" s="15">
        <f>IF(AB295="","",AB295/Z295)</f>
        <v/>
      </c>
      <c r="AD295" s="10">
        <f>IF(OR($D295="",$B295=""),"",IF(AND((1-T295/100-W295)&gt;0,CEILING(($D295+$F295)/(1-T295/100-W295),1)&lt;='Komisyon Tarifeleri'!N295),CEILING(($D295+$F295)/(1-T295/100-W295),1),IF(AND((1-P295/100-W295)&gt;0,CEILING(MAX('Komisyon Tarifeleri'!M295,($D295+$F295)/(1-P295/100-W295)),1)&lt;='Komisyon Tarifeleri'!L295),CEILING(MAX('Komisyon Tarifeleri'!M295,($D295+$F295)/(1-P295/100-W295)),1),IF(AND((1-L295/100-W295)&gt;0,CEILING(MAX('Komisyon Tarifeleri'!K295,($D295+$F295)/(1-L295/100-W295)),1)&lt;='Komisyon Tarifeleri'!J295),CEILING(MAX('Komisyon Tarifeleri'!K295,($D295+$F295)/(1-L295/100-W295)),1),IF((1-H295/100-W295)&gt;0,CEILING(MAX('Komisyon Tarifeleri'!I295,($D295+$F295)/(1-H295/100-W295)),1),"İMKÂNSIZ")))))</f>
        <v/>
      </c>
      <c r="AE295" s="10">
        <f>IF(OR($D295="",$B295=""),"",IF(AND((1-T295/100-X295)&gt;0,CEILING(($D295+$F295)/(1-T295/100-X295),1)&lt;='Komisyon Tarifeleri'!N295),CEILING(($D295+$F295)/(1-T295/100-X295),1),IF(AND((1-P295/100-X295)&gt;0,CEILING(MAX('Komisyon Tarifeleri'!M295,($D295+$F295)/(1-P295/100-X295)),1)&lt;='Komisyon Tarifeleri'!L295),CEILING(MAX('Komisyon Tarifeleri'!M295,($D295+$F295)/(1-P295/100-X295)),1),IF(AND((1-L295/100-X295)&gt;0,CEILING(MAX('Komisyon Tarifeleri'!K295,($D295+$F295)/(1-L295/100-X295)),1)&lt;='Komisyon Tarifeleri'!J295),CEILING(MAX('Komisyon Tarifeleri'!K295,($D295+$F295)/(1-L295/100-X295)),1),IF((1-H295/100-X295)&gt;0,CEILING(MAX('Komisyon Tarifeleri'!I295,($D295+$F295)/(1-H295/100-X295)),1),"İMKÂNSIZ")))))</f>
        <v/>
      </c>
      <c r="AF295" s="16">
        <f>IF($D295="","",IF(AND(Y295&lt;&gt;"",AC295&lt;&gt;"",AC295&gt;=W295),Z295,IF(Y295&lt;&gt;"",AD295,AE295)))</f>
        <v/>
      </c>
      <c r="AG295" s="16">
        <f>IF(OR(AF295="",AF295="İMKÂNSIZ"),"",AF295*(1-IF(AF295&gt;='Komisyon Tarifeleri'!I295,IF($AM$1=2,'Komisyon Tarifeleri'!U295,'Komisyon Tarifeleri'!P295),IF(AF295&gt;='Komisyon Tarifeleri'!K295,IF($AM$1=2,'Komisyon Tarifeleri'!V295,'Komisyon Tarifeleri'!Q295),IF(AF295&gt;='Komisyon Tarifeleri'!M295,IF($AM$1=2,'Komisyon Tarifeleri'!W295,'Komisyon Tarifeleri'!R295),IF($AM$1=2,'Komisyon Tarifeleri'!X295,'Komisyon Tarifeleri'!S295))))/100)-$D295-IF(AF295&lt;=199.99,Kargo!$E$2,IF(AF295&lt;=399.99,Kargo!$E$3,$F295)))</f>
        <v/>
      </c>
      <c r="AH295" s="17">
        <f>IF(AG295="","",AG295/AF295)</f>
        <v/>
      </c>
      <c r="AI295" s="18">
        <f>IF($D295="","",IF(Y295="","BUYBOX YOK → hedef kârla min fiyat",IF(AC295&gt;=W295,"✓ BUYBOX ALTINA GİR","BUYBOX ALTI KÂRSIZ → min kârlı fiyat")))</f>
        <v/>
      </c>
      <c r="AJ295" s="10">
        <f>IF($B295="","",IFERROR(VLOOKUP($B295,Maliyetler!$A:$G,6,FALSE),""))</f>
        <v/>
      </c>
      <c r="AK295">
        <f>IF($B295="","",IFERROR(VLOOKUP($B295,Maliyetler!$A:$G,7,FALSE),""))</f>
        <v/>
      </c>
      <c r="AO295" s="21">
        <f>IF($B295="","",IFERROR(VLOOKUP($B295&amp;"",'Plus Tarifeleri'!$C:$Q,11,FALSE),""))</f>
        <v/>
      </c>
      <c r="AP295" s="22">
        <f>IF(AO295="","",IFERROR(IF($AM$1=2,VLOOKUP($B295&amp;"",'Plus Tarifeleri'!$C:$Q,15,FALSE),VLOOKUP($B295&amp;"",'Plus Tarifeleri'!$C:$Q,13,FALSE)),""))</f>
        <v/>
      </c>
      <c r="AQ295" s="21">
        <f>IF(OR(AO295="",AP295="",$D295=""),"",AO295*(1-AP295/100)-$D295-IF(AO295&lt;=199.99,Kargo!$E$2,IF(AO295&lt;=399.99,Kargo!$E$3,$F295)))</f>
        <v/>
      </c>
      <c r="AR295" s="23">
        <f>IF(AQ295="","",AQ295/AO295)</f>
        <v/>
      </c>
      <c r="AS295" s="24">
        <f>IF(OR(AQ295="",AG295=""),"",AQ295-AG295)</f>
        <v/>
      </c>
    </row>
    <row r="296">
      <c r="A296">
        <f>IF('Komisyon Tarifeleri'!A296="","",'Komisyon Tarifeleri'!A296)</f>
        <v/>
      </c>
      <c r="B296">
        <f>IF('Komisyon Tarifeleri'!B296="","",'Komisyon Tarifeleri'!B296&amp;"")</f>
        <v/>
      </c>
      <c r="C296">
        <f>IF($B296="","",'Komisyon Tarifeleri'!F296)</f>
        <v/>
      </c>
      <c r="D296" s="10">
        <f>IF($B296="","",IFERROR(VLOOKUP($B296,Maliyetler!$A:$E,3,FALSE),""))</f>
        <v/>
      </c>
      <c r="E296">
        <f>IF($B296="","",IFERROR(VLOOKUP($B296,Maliyetler!$A:$E,4,FALSE),1))</f>
        <v/>
      </c>
      <c r="F296" s="10">
        <f>IF($B296="","",IFERROR(VLOOKUP(MIN(20,MAX(1,ROUND($E296,0))),Kargo!$A:$B,2,FALSE),99.46))</f>
        <v/>
      </c>
      <c r="G296" s="10">
        <f>IF($B296="","",IF(IF(N('Komisyon Tarifeleri'!AA296)&gt;='Komisyon Tarifeleri'!I296,'Komisyon Tarifeleri'!AA296,'Komisyon Tarifeleri'!I296)="","",IF(N('Komisyon Tarifeleri'!AA296)&gt;='Komisyon Tarifeleri'!I296,'Komisyon Tarifeleri'!AA296,'Komisyon Tarifeleri'!I296)))</f>
        <v/>
      </c>
      <c r="H296" s="11">
        <f>IF(G296="","",IF($AM$1=2,'Komisyon Tarifeleri'!U296,'Komisyon Tarifeleri'!P296))</f>
        <v/>
      </c>
      <c r="I296" s="10">
        <f>IF(OR(G296="",$D296=""),"",G296*(1-H296/100)-$D296-IF(G296&lt;=199.99,Kargo!$E$2,IF(G296&lt;=399.99,Kargo!$E$3,$F296)))</f>
        <v/>
      </c>
      <c r="J296" s="12">
        <f>IF(I296="","",I296/G296)</f>
        <v/>
      </c>
      <c r="K296" s="10">
        <f>IF($B296="","",IF('Komisyon Tarifeleri'!J296="","",'Komisyon Tarifeleri'!J296))</f>
        <v/>
      </c>
      <c r="L296" s="11">
        <f>IF(K296="","",IF($AM$1=2,'Komisyon Tarifeleri'!V296,'Komisyon Tarifeleri'!Q296))</f>
        <v/>
      </c>
      <c r="M296" s="10">
        <f>IF(OR(K296="",$D296=""),"",K296*(1-L296/100)-$D296-IF(K296&lt;=199.99,Kargo!$E$2,IF(K296&lt;=399.99,Kargo!$E$3,$F296)))</f>
        <v/>
      </c>
      <c r="N296" s="12">
        <f>IF(M296="","",M296/K296)</f>
        <v/>
      </c>
      <c r="O296" s="10">
        <f>IF($B296="","",IF('Komisyon Tarifeleri'!L296="","",'Komisyon Tarifeleri'!L296))</f>
        <v/>
      </c>
      <c r="P296" s="11">
        <f>IF(O296="","",IF($AM$1=2,'Komisyon Tarifeleri'!W296,'Komisyon Tarifeleri'!R296))</f>
        <v/>
      </c>
      <c r="Q296" s="10">
        <f>IF(OR(O296="",$D296=""),"",O296*(1-P296/100)-$D296-IF(O296&lt;=199.99,Kargo!$E$2,IF(O296&lt;=399.99,Kargo!$E$3,$F296)))</f>
        <v/>
      </c>
      <c r="R296" s="12">
        <f>IF(Q296="","",Q296/O296)</f>
        <v/>
      </c>
      <c r="S296" s="10">
        <f>IF($B296="","",IF('Komisyon Tarifeleri'!N296="","",'Komisyon Tarifeleri'!N296))</f>
        <v/>
      </c>
      <c r="T296" s="11">
        <f>IF(S296="","",IF($AM$1=2,'Komisyon Tarifeleri'!X296,'Komisyon Tarifeleri'!S296))</f>
        <v/>
      </c>
      <c r="U296" s="10">
        <f>IF(OR(S296="",$D296=""),"",S296*(1-T296/100)-$D296-IF(S296&lt;=199.99,Kargo!$E$2,IF(S296&lt;=399.99,Kargo!$E$3,$F296)))</f>
        <v/>
      </c>
      <c r="V296" s="12">
        <f>IF(U296="","",U296/S296)</f>
        <v/>
      </c>
      <c r="W296" s="12">
        <f>IF($B296="","",IFERROR(VLOOKUP($C296,Hedefler!$A:$C,2,FALSE),0.04))</f>
        <v/>
      </c>
      <c r="X296" s="12">
        <f>IF($B296="","",IFERROR(VLOOKUP($C296,Hedefler!$A:$C,3,FALSE),0.1))</f>
        <v/>
      </c>
      <c r="Y296" s="13">
        <f>IF($B296="","",IFERROR(VLOOKUP($B296,Maliyetler!$A:$E,5,FALSE),""))</f>
        <v/>
      </c>
      <c r="Z296" s="13">
        <f>IF(OR(Y296="",Y296=0),"",Y296-1)</f>
        <v/>
      </c>
      <c r="AA296" s="14">
        <f>IF(Z296="","",IF(Z296&gt;='Komisyon Tarifeleri'!I296,IF($AM$1=2,'Komisyon Tarifeleri'!U296,'Komisyon Tarifeleri'!P296),IF(Z296&gt;='Komisyon Tarifeleri'!K296,IF($AM$1=2,'Komisyon Tarifeleri'!V296,'Komisyon Tarifeleri'!Q296),IF(Z296&gt;='Komisyon Tarifeleri'!M296,IF($AM$1=2,'Komisyon Tarifeleri'!W296,'Komisyon Tarifeleri'!R296),IF($AM$1=2,'Komisyon Tarifeleri'!X296,'Komisyon Tarifeleri'!S296)))))</f>
        <v/>
      </c>
      <c r="AB296" s="13">
        <f>IF(OR(AA296="",$D296=""),"",Z296*(1-AA296/100)-$D296-IF(Z296&lt;=199.99,Kargo!$E$2,IF(Z296&lt;=399.99,Kargo!$E$3,$F296)))</f>
        <v/>
      </c>
      <c r="AC296" s="15">
        <f>IF(AB296="","",AB296/Z296)</f>
        <v/>
      </c>
      <c r="AD296" s="10">
        <f>IF(OR($D296="",$B296=""),"",IF(AND((1-T296/100-W296)&gt;0,CEILING(($D296+$F296)/(1-T296/100-W296),1)&lt;='Komisyon Tarifeleri'!N296),CEILING(($D296+$F296)/(1-T296/100-W296),1),IF(AND((1-P296/100-W296)&gt;0,CEILING(MAX('Komisyon Tarifeleri'!M296,($D296+$F296)/(1-P296/100-W296)),1)&lt;='Komisyon Tarifeleri'!L296),CEILING(MAX('Komisyon Tarifeleri'!M296,($D296+$F296)/(1-P296/100-W296)),1),IF(AND((1-L296/100-W296)&gt;0,CEILING(MAX('Komisyon Tarifeleri'!K296,($D296+$F296)/(1-L296/100-W296)),1)&lt;='Komisyon Tarifeleri'!J296),CEILING(MAX('Komisyon Tarifeleri'!K296,($D296+$F296)/(1-L296/100-W296)),1),IF((1-H296/100-W296)&gt;0,CEILING(MAX('Komisyon Tarifeleri'!I296,($D296+$F296)/(1-H296/100-W296)),1),"İMKÂNSIZ")))))</f>
        <v/>
      </c>
      <c r="AE296" s="10">
        <f>IF(OR($D296="",$B296=""),"",IF(AND((1-T296/100-X296)&gt;0,CEILING(($D296+$F296)/(1-T296/100-X296),1)&lt;='Komisyon Tarifeleri'!N296),CEILING(($D296+$F296)/(1-T296/100-X296),1),IF(AND((1-P296/100-X296)&gt;0,CEILING(MAX('Komisyon Tarifeleri'!M296,($D296+$F296)/(1-P296/100-X296)),1)&lt;='Komisyon Tarifeleri'!L296),CEILING(MAX('Komisyon Tarifeleri'!M296,($D296+$F296)/(1-P296/100-X296)),1),IF(AND((1-L296/100-X296)&gt;0,CEILING(MAX('Komisyon Tarifeleri'!K296,($D296+$F296)/(1-L296/100-X296)),1)&lt;='Komisyon Tarifeleri'!J296),CEILING(MAX('Komisyon Tarifeleri'!K296,($D296+$F296)/(1-L296/100-X296)),1),IF((1-H296/100-X296)&gt;0,CEILING(MAX('Komisyon Tarifeleri'!I296,($D296+$F296)/(1-H296/100-X296)),1),"İMKÂNSIZ")))))</f>
        <v/>
      </c>
      <c r="AF296" s="16">
        <f>IF($D296="","",IF(AND(Y296&lt;&gt;"",AC296&lt;&gt;"",AC296&gt;=W296),Z296,IF(Y296&lt;&gt;"",AD296,AE296)))</f>
        <v/>
      </c>
      <c r="AG296" s="16">
        <f>IF(OR(AF296="",AF296="İMKÂNSIZ"),"",AF296*(1-IF(AF296&gt;='Komisyon Tarifeleri'!I296,IF($AM$1=2,'Komisyon Tarifeleri'!U296,'Komisyon Tarifeleri'!P296),IF(AF296&gt;='Komisyon Tarifeleri'!K296,IF($AM$1=2,'Komisyon Tarifeleri'!V296,'Komisyon Tarifeleri'!Q296),IF(AF296&gt;='Komisyon Tarifeleri'!M296,IF($AM$1=2,'Komisyon Tarifeleri'!W296,'Komisyon Tarifeleri'!R296),IF($AM$1=2,'Komisyon Tarifeleri'!X296,'Komisyon Tarifeleri'!S296))))/100)-$D296-IF(AF296&lt;=199.99,Kargo!$E$2,IF(AF296&lt;=399.99,Kargo!$E$3,$F296)))</f>
        <v/>
      </c>
      <c r="AH296" s="17">
        <f>IF(AG296="","",AG296/AF296)</f>
        <v/>
      </c>
      <c r="AI296" s="18">
        <f>IF($D296="","",IF(Y296="","BUYBOX YOK → hedef kârla min fiyat",IF(AC296&gt;=W296,"✓ BUYBOX ALTINA GİR","BUYBOX ALTI KÂRSIZ → min kârlı fiyat")))</f>
        <v/>
      </c>
      <c r="AJ296" s="10">
        <f>IF($B296="","",IFERROR(VLOOKUP($B296,Maliyetler!$A:$G,6,FALSE),""))</f>
        <v/>
      </c>
      <c r="AK296">
        <f>IF($B296="","",IFERROR(VLOOKUP($B296,Maliyetler!$A:$G,7,FALSE),""))</f>
        <v/>
      </c>
      <c r="AO296" s="21">
        <f>IF($B296="","",IFERROR(VLOOKUP($B296&amp;"",'Plus Tarifeleri'!$C:$Q,11,FALSE),""))</f>
        <v/>
      </c>
      <c r="AP296" s="22">
        <f>IF(AO296="","",IFERROR(IF($AM$1=2,VLOOKUP($B296&amp;"",'Plus Tarifeleri'!$C:$Q,15,FALSE),VLOOKUP($B296&amp;"",'Plus Tarifeleri'!$C:$Q,13,FALSE)),""))</f>
        <v/>
      </c>
      <c r="AQ296" s="21">
        <f>IF(OR(AO296="",AP296="",$D296=""),"",AO296*(1-AP296/100)-$D296-IF(AO296&lt;=199.99,Kargo!$E$2,IF(AO296&lt;=399.99,Kargo!$E$3,$F296)))</f>
        <v/>
      </c>
      <c r="AR296" s="23">
        <f>IF(AQ296="","",AQ296/AO296)</f>
        <v/>
      </c>
      <c r="AS296" s="24">
        <f>IF(OR(AQ296="",AG296=""),"",AQ296-AG296)</f>
        <v/>
      </c>
    </row>
    <row r="297">
      <c r="A297">
        <f>IF('Komisyon Tarifeleri'!A297="","",'Komisyon Tarifeleri'!A297)</f>
        <v/>
      </c>
      <c r="B297">
        <f>IF('Komisyon Tarifeleri'!B297="","",'Komisyon Tarifeleri'!B297&amp;"")</f>
        <v/>
      </c>
      <c r="C297">
        <f>IF($B297="","",'Komisyon Tarifeleri'!F297)</f>
        <v/>
      </c>
      <c r="D297" s="10">
        <f>IF($B297="","",IFERROR(VLOOKUP($B297,Maliyetler!$A:$E,3,FALSE),""))</f>
        <v/>
      </c>
      <c r="E297">
        <f>IF($B297="","",IFERROR(VLOOKUP($B297,Maliyetler!$A:$E,4,FALSE),1))</f>
        <v/>
      </c>
      <c r="F297" s="10">
        <f>IF($B297="","",IFERROR(VLOOKUP(MIN(20,MAX(1,ROUND($E297,0))),Kargo!$A:$B,2,FALSE),99.46))</f>
        <v/>
      </c>
      <c r="G297" s="10">
        <f>IF($B297="","",IF(IF(N('Komisyon Tarifeleri'!AA297)&gt;='Komisyon Tarifeleri'!I297,'Komisyon Tarifeleri'!AA297,'Komisyon Tarifeleri'!I297)="","",IF(N('Komisyon Tarifeleri'!AA297)&gt;='Komisyon Tarifeleri'!I297,'Komisyon Tarifeleri'!AA297,'Komisyon Tarifeleri'!I297)))</f>
        <v/>
      </c>
      <c r="H297" s="11">
        <f>IF(G297="","",IF($AM$1=2,'Komisyon Tarifeleri'!U297,'Komisyon Tarifeleri'!P297))</f>
        <v/>
      </c>
      <c r="I297" s="10">
        <f>IF(OR(G297="",$D297=""),"",G297*(1-H297/100)-$D297-IF(G297&lt;=199.99,Kargo!$E$2,IF(G297&lt;=399.99,Kargo!$E$3,$F297)))</f>
        <v/>
      </c>
      <c r="J297" s="12">
        <f>IF(I297="","",I297/G297)</f>
        <v/>
      </c>
      <c r="K297" s="10">
        <f>IF($B297="","",IF('Komisyon Tarifeleri'!J297="","",'Komisyon Tarifeleri'!J297))</f>
        <v/>
      </c>
      <c r="L297" s="11">
        <f>IF(K297="","",IF($AM$1=2,'Komisyon Tarifeleri'!V297,'Komisyon Tarifeleri'!Q297))</f>
        <v/>
      </c>
      <c r="M297" s="10">
        <f>IF(OR(K297="",$D297=""),"",K297*(1-L297/100)-$D297-IF(K297&lt;=199.99,Kargo!$E$2,IF(K297&lt;=399.99,Kargo!$E$3,$F297)))</f>
        <v/>
      </c>
      <c r="N297" s="12">
        <f>IF(M297="","",M297/K297)</f>
        <v/>
      </c>
      <c r="O297" s="10">
        <f>IF($B297="","",IF('Komisyon Tarifeleri'!L297="","",'Komisyon Tarifeleri'!L297))</f>
        <v/>
      </c>
      <c r="P297" s="11">
        <f>IF(O297="","",IF($AM$1=2,'Komisyon Tarifeleri'!W297,'Komisyon Tarifeleri'!R297))</f>
        <v/>
      </c>
      <c r="Q297" s="10">
        <f>IF(OR(O297="",$D297=""),"",O297*(1-P297/100)-$D297-IF(O297&lt;=199.99,Kargo!$E$2,IF(O297&lt;=399.99,Kargo!$E$3,$F297)))</f>
        <v/>
      </c>
      <c r="R297" s="12">
        <f>IF(Q297="","",Q297/O297)</f>
        <v/>
      </c>
      <c r="S297" s="10">
        <f>IF($B297="","",IF('Komisyon Tarifeleri'!N297="","",'Komisyon Tarifeleri'!N297))</f>
        <v/>
      </c>
      <c r="T297" s="11">
        <f>IF(S297="","",IF($AM$1=2,'Komisyon Tarifeleri'!X297,'Komisyon Tarifeleri'!S297))</f>
        <v/>
      </c>
      <c r="U297" s="10">
        <f>IF(OR(S297="",$D297=""),"",S297*(1-T297/100)-$D297-IF(S297&lt;=199.99,Kargo!$E$2,IF(S297&lt;=399.99,Kargo!$E$3,$F297)))</f>
        <v/>
      </c>
      <c r="V297" s="12">
        <f>IF(U297="","",U297/S297)</f>
        <v/>
      </c>
      <c r="W297" s="12">
        <f>IF($B297="","",IFERROR(VLOOKUP($C297,Hedefler!$A:$C,2,FALSE),0.04))</f>
        <v/>
      </c>
      <c r="X297" s="12">
        <f>IF($B297="","",IFERROR(VLOOKUP($C297,Hedefler!$A:$C,3,FALSE),0.1))</f>
        <v/>
      </c>
      <c r="Y297" s="13">
        <f>IF($B297="","",IFERROR(VLOOKUP($B297,Maliyetler!$A:$E,5,FALSE),""))</f>
        <v/>
      </c>
      <c r="Z297" s="13">
        <f>IF(OR(Y297="",Y297=0),"",Y297-1)</f>
        <v/>
      </c>
      <c r="AA297" s="14">
        <f>IF(Z297="","",IF(Z297&gt;='Komisyon Tarifeleri'!I297,IF($AM$1=2,'Komisyon Tarifeleri'!U297,'Komisyon Tarifeleri'!P297),IF(Z297&gt;='Komisyon Tarifeleri'!K297,IF($AM$1=2,'Komisyon Tarifeleri'!V297,'Komisyon Tarifeleri'!Q297),IF(Z297&gt;='Komisyon Tarifeleri'!M297,IF($AM$1=2,'Komisyon Tarifeleri'!W297,'Komisyon Tarifeleri'!R297),IF($AM$1=2,'Komisyon Tarifeleri'!X297,'Komisyon Tarifeleri'!S297)))))</f>
        <v/>
      </c>
      <c r="AB297" s="13">
        <f>IF(OR(AA297="",$D297=""),"",Z297*(1-AA297/100)-$D297-IF(Z297&lt;=199.99,Kargo!$E$2,IF(Z297&lt;=399.99,Kargo!$E$3,$F297)))</f>
        <v/>
      </c>
      <c r="AC297" s="15">
        <f>IF(AB297="","",AB297/Z297)</f>
        <v/>
      </c>
      <c r="AD297" s="10">
        <f>IF(OR($D297="",$B297=""),"",IF(AND((1-T297/100-W297)&gt;0,CEILING(($D297+$F297)/(1-T297/100-W297),1)&lt;='Komisyon Tarifeleri'!N297),CEILING(($D297+$F297)/(1-T297/100-W297),1),IF(AND((1-P297/100-W297)&gt;0,CEILING(MAX('Komisyon Tarifeleri'!M297,($D297+$F297)/(1-P297/100-W297)),1)&lt;='Komisyon Tarifeleri'!L297),CEILING(MAX('Komisyon Tarifeleri'!M297,($D297+$F297)/(1-P297/100-W297)),1),IF(AND((1-L297/100-W297)&gt;0,CEILING(MAX('Komisyon Tarifeleri'!K297,($D297+$F297)/(1-L297/100-W297)),1)&lt;='Komisyon Tarifeleri'!J297),CEILING(MAX('Komisyon Tarifeleri'!K297,($D297+$F297)/(1-L297/100-W297)),1),IF((1-H297/100-W297)&gt;0,CEILING(MAX('Komisyon Tarifeleri'!I297,($D297+$F297)/(1-H297/100-W297)),1),"İMKÂNSIZ")))))</f>
        <v/>
      </c>
      <c r="AE297" s="10">
        <f>IF(OR($D297="",$B297=""),"",IF(AND((1-T297/100-X297)&gt;0,CEILING(($D297+$F297)/(1-T297/100-X297),1)&lt;='Komisyon Tarifeleri'!N297),CEILING(($D297+$F297)/(1-T297/100-X297),1),IF(AND((1-P297/100-X297)&gt;0,CEILING(MAX('Komisyon Tarifeleri'!M297,($D297+$F297)/(1-P297/100-X297)),1)&lt;='Komisyon Tarifeleri'!L297),CEILING(MAX('Komisyon Tarifeleri'!M297,($D297+$F297)/(1-P297/100-X297)),1),IF(AND((1-L297/100-X297)&gt;0,CEILING(MAX('Komisyon Tarifeleri'!K297,($D297+$F297)/(1-L297/100-X297)),1)&lt;='Komisyon Tarifeleri'!J297),CEILING(MAX('Komisyon Tarifeleri'!K297,($D297+$F297)/(1-L297/100-X297)),1),IF((1-H297/100-X297)&gt;0,CEILING(MAX('Komisyon Tarifeleri'!I297,($D297+$F297)/(1-H297/100-X297)),1),"İMKÂNSIZ")))))</f>
        <v/>
      </c>
      <c r="AF297" s="16">
        <f>IF($D297="","",IF(AND(Y297&lt;&gt;"",AC297&lt;&gt;"",AC297&gt;=W297),Z297,IF(Y297&lt;&gt;"",AD297,AE297)))</f>
        <v/>
      </c>
      <c r="AG297" s="16">
        <f>IF(OR(AF297="",AF297="İMKÂNSIZ"),"",AF297*(1-IF(AF297&gt;='Komisyon Tarifeleri'!I297,IF($AM$1=2,'Komisyon Tarifeleri'!U297,'Komisyon Tarifeleri'!P297),IF(AF297&gt;='Komisyon Tarifeleri'!K297,IF($AM$1=2,'Komisyon Tarifeleri'!V297,'Komisyon Tarifeleri'!Q297),IF(AF297&gt;='Komisyon Tarifeleri'!M297,IF($AM$1=2,'Komisyon Tarifeleri'!W297,'Komisyon Tarifeleri'!R297),IF($AM$1=2,'Komisyon Tarifeleri'!X297,'Komisyon Tarifeleri'!S297))))/100)-$D297-IF(AF297&lt;=199.99,Kargo!$E$2,IF(AF297&lt;=399.99,Kargo!$E$3,$F297)))</f>
        <v/>
      </c>
      <c r="AH297" s="17">
        <f>IF(AG297="","",AG297/AF297)</f>
        <v/>
      </c>
      <c r="AI297" s="18">
        <f>IF($D297="","",IF(Y297="","BUYBOX YOK → hedef kârla min fiyat",IF(AC297&gt;=W297,"✓ BUYBOX ALTINA GİR","BUYBOX ALTI KÂRSIZ → min kârlı fiyat")))</f>
        <v/>
      </c>
      <c r="AJ297" s="10">
        <f>IF($B297="","",IFERROR(VLOOKUP($B297,Maliyetler!$A:$G,6,FALSE),""))</f>
        <v/>
      </c>
      <c r="AK297">
        <f>IF($B297="","",IFERROR(VLOOKUP($B297,Maliyetler!$A:$G,7,FALSE),""))</f>
        <v/>
      </c>
      <c r="AO297" s="21">
        <f>IF($B297="","",IFERROR(VLOOKUP($B297&amp;"",'Plus Tarifeleri'!$C:$Q,11,FALSE),""))</f>
        <v/>
      </c>
      <c r="AP297" s="22">
        <f>IF(AO297="","",IFERROR(IF($AM$1=2,VLOOKUP($B297&amp;"",'Plus Tarifeleri'!$C:$Q,15,FALSE),VLOOKUP($B297&amp;"",'Plus Tarifeleri'!$C:$Q,13,FALSE)),""))</f>
        <v/>
      </c>
      <c r="AQ297" s="21">
        <f>IF(OR(AO297="",AP297="",$D297=""),"",AO297*(1-AP297/100)-$D297-IF(AO297&lt;=199.99,Kargo!$E$2,IF(AO297&lt;=399.99,Kargo!$E$3,$F297)))</f>
        <v/>
      </c>
      <c r="AR297" s="23">
        <f>IF(AQ297="","",AQ297/AO297)</f>
        <v/>
      </c>
      <c r="AS297" s="24">
        <f>IF(OR(AQ297="",AG297=""),"",AQ297-AG297)</f>
        <v/>
      </c>
    </row>
    <row r="298">
      <c r="A298">
        <f>IF('Komisyon Tarifeleri'!A298="","",'Komisyon Tarifeleri'!A298)</f>
        <v/>
      </c>
      <c r="B298">
        <f>IF('Komisyon Tarifeleri'!B298="","",'Komisyon Tarifeleri'!B298&amp;"")</f>
        <v/>
      </c>
      <c r="C298">
        <f>IF($B298="","",'Komisyon Tarifeleri'!F298)</f>
        <v/>
      </c>
      <c r="D298" s="10">
        <f>IF($B298="","",IFERROR(VLOOKUP($B298,Maliyetler!$A:$E,3,FALSE),""))</f>
        <v/>
      </c>
      <c r="E298">
        <f>IF($B298="","",IFERROR(VLOOKUP($B298,Maliyetler!$A:$E,4,FALSE),1))</f>
        <v/>
      </c>
      <c r="F298" s="10">
        <f>IF($B298="","",IFERROR(VLOOKUP(MIN(20,MAX(1,ROUND($E298,0))),Kargo!$A:$B,2,FALSE),99.46))</f>
        <v/>
      </c>
      <c r="G298" s="10">
        <f>IF($B298="","",IF(IF(N('Komisyon Tarifeleri'!AA298)&gt;='Komisyon Tarifeleri'!I298,'Komisyon Tarifeleri'!AA298,'Komisyon Tarifeleri'!I298)="","",IF(N('Komisyon Tarifeleri'!AA298)&gt;='Komisyon Tarifeleri'!I298,'Komisyon Tarifeleri'!AA298,'Komisyon Tarifeleri'!I298)))</f>
        <v/>
      </c>
      <c r="H298" s="11">
        <f>IF(G298="","",IF($AM$1=2,'Komisyon Tarifeleri'!U298,'Komisyon Tarifeleri'!P298))</f>
        <v/>
      </c>
      <c r="I298" s="10">
        <f>IF(OR(G298="",$D298=""),"",G298*(1-H298/100)-$D298-IF(G298&lt;=199.99,Kargo!$E$2,IF(G298&lt;=399.99,Kargo!$E$3,$F298)))</f>
        <v/>
      </c>
      <c r="J298" s="12">
        <f>IF(I298="","",I298/G298)</f>
        <v/>
      </c>
      <c r="K298" s="10">
        <f>IF($B298="","",IF('Komisyon Tarifeleri'!J298="","",'Komisyon Tarifeleri'!J298))</f>
        <v/>
      </c>
      <c r="L298" s="11">
        <f>IF(K298="","",IF($AM$1=2,'Komisyon Tarifeleri'!V298,'Komisyon Tarifeleri'!Q298))</f>
        <v/>
      </c>
      <c r="M298" s="10">
        <f>IF(OR(K298="",$D298=""),"",K298*(1-L298/100)-$D298-IF(K298&lt;=199.99,Kargo!$E$2,IF(K298&lt;=399.99,Kargo!$E$3,$F298)))</f>
        <v/>
      </c>
      <c r="N298" s="12">
        <f>IF(M298="","",M298/K298)</f>
        <v/>
      </c>
      <c r="O298" s="10">
        <f>IF($B298="","",IF('Komisyon Tarifeleri'!L298="","",'Komisyon Tarifeleri'!L298))</f>
        <v/>
      </c>
      <c r="P298" s="11">
        <f>IF(O298="","",IF($AM$1=2,'Komisyon Tarifeleri'!W298,'Komisyon Tarifeleri'!R298))</f>
        <v/>
      </c>
      <c r="Q298" s="10">
        <f>IF(OR(O298="",$D298=""),"",O298*(1-P298/100)-$D298-IF(O298&lt;=199.99,Kargo!$E$2,IF(O298&lt;=399.99,Kargo!$E$3,$F298)))</f>
        <v/>
      </c>
      <c r="R298" s="12">
        <f>IF(Q298="","",Q298/O298)</f>
        <v/>
      </c>
      <c r="S298" s="10">
        <f>IF($B298="","",IF('Komisyon Tarifeleri'!N298="","",'Komisyon Tarifeleri'!N298))</f>
        <v/>
      </c>
      <c r="T298" s="11">
        <f>IF(S298="","",IF($AM$1=2,'Komisyon Tarifeleri'!X298,'Komisyon Tarifeleri'!S298))</f>
        <v/>
      </c>
      <c r="U298" s="10">
        <f>IF(OR(S298="",$D298=""),"",S298*(1-T298/100)-$D298-IF(S298&lt;=199.99,Kargo!$E$2,IF(S298&lt;=399.99,Kargo!$E$3,$F298)))</f>
        <v/>
      </c>
      <c r="V298" s="12">
        <f>IF(U298="","",U298/S298)</f>
        <v/>
      </c>
      <c r="W298" s="12">
        <f>IF($B298="","",IFERROR(VLOOKUP($C298,Hedefler!$A:$C,2,FALSE),0.04))</f>
        <v/>
      </c>
      <c r="X298" s="12">
        <f>IF($B298="","",IFERROR(VLOOKUP($C298,Hedefler!$A:$C,3,FALSE),0.1))</f>
        <v/>
      </c>
      <c r="Y298" s="13">
        <f>IF($B298="","",IFERROR(VLOOKUP($B298,Maliyetler!$A:$E,5,FALSE),""))</f>
        <v/>
      </c>
      <c r="Z298" s="13">
        <f>IF(OR(Y298="",Y298=0),"",Y298-1)</f>
        <v/>
      </c>
      <c r="AA298" s="14">
        <f>IF(Z298="","",IF(Z298&gt;='Komisyon Tarifeleri'!I298,IF($AM$1=2,'Komisyon Tarifeleri'!U298,'Komisyon Tarifeleri'!P298),IF(Z298&gt;='Komisyon Tarifeleri'!K298,IF($AM$1=2,'Komisyon Tarifeleri'!V298,'Komisyon Tarifeleri'!Q298),IF(Z298&gt;='Komisyon Tarifeleri'!M298,IF($AM$1=2,'Komisyon Tarifeleri'!W298,'Komisyon Tarifeleri'!R298),IF($AM$1=2,'Komisyon Tarifeleri'!X298,'Komisyon Tarifeleri'!S298)))))</f>
        <v/>
      </c>
      <c r="AB298" s="13">
        <f>IF(OR(AA298="",$D298=""),"",Z298*(1-AA298/100)-$D298-IF(Z298&lt;=199.99,Kargo!$E$2,IF(Z298&lt;=399.99,Kargo!$E$3,$F298)))</f>
        <v/>
      </c>
      <c r="AC298" s="15">
        <f>IF(AB298="","",AB298/Z298)</f>
        <v/>
      </c>
      <c r="AD298" s="10">
        <f>IF(OR($D298="",$B298=""),"",IF(AND((1-T298/100-W298)&gt;0,CEILING(($D298+$F298)/(1-T298/100-W298),1)&lt;='Komisyon Tarifeleri'!N298),CEILING(($D298+$F298)/(1-T298/100-W298),1),IF(AND((1-P298/100-W298)&gt;0,CEILING(MAX('Komisyon Tarifeleri'!M298,($D298+$F298)/(1-P298/100-W298)),1)&lt;='Komisyon Tarifeleri'!L298),CEILING(MAX('Komisyon Tarifeleri'!M298,($D298+$F298)/(1-P298/100-W298)),1),IF(AND((1-L298/100-W298)&gt;0,CEILING(MAX('Komisyon Tarifeleri'!K298,($D298+$F298)/(1-L298/100-W298)),1)&lt;='Komisyon Tarifeleri'!J298),CEILING(MAX('Komisyon Tarifeleri'!K298,($D298+$F298)/(1-L298/100-W298)),1),IF((1-H298/100-W298)&gt;0,CEILING(MAX('Komisyon Tarifeleri'!I298,($D298+$F298)/(1-H298/100-W298)),1),"İMKÂNSIZ")))))</f>
        <v/>
      </c>
      <c r="AE298" s="10">
        <f>IF(OR($D298="",$B298=""),"",IF(AND((1-T298/100-X298)&gt;0,CEILING(($D298+$F298)/(1-T298/100-X298),1)&lt;='Komisyon Tarifeleri'!N298),CEILING(($D298+$F298)/(1-T298/100-X298),1),IF(AND((1-P298/100-X298)&gt;0,CEILING(MAX('Komisyon Tarifeleri'!M298,($D298+$F298)/(1-P298/100-X298)),1)&lt;='Komisyon Tarifeleri'!L298),CEILING(MAX('Komisyon Tarifeleri'!M298,($D298+$F298)/(1-P298/100-X298)),1),IF(AND((1-L298/100-X298)&gt;0,CEILING(MAX('Komisyon Tarifeleri'!K298,($D298+$F298)/(1-L298/100-X298)),1)&lt;='Komisyon Tarifeleri'!J298),CEILING(MAX('Komisyon Tarifeleri'!K298,($D298+$F298)/(1-L298/100-X298)),1),IF((1-H298/100-X298)&gt;0,CEILING(MAX('Komisyon Tarifeleri'!I298,($D298+$F298)/(1-H298/100-X298)),1),"İMKÂNSIZ")))))</f>
        <v/>
      </c>
      <c r="AF298" s="16">
        <f>IF($D298="","",IF(AND(Y298&lt;&gt;"",AC298&lt;&gt;"",AC298&gt;=W298),Z298,IF(Y298&lt;&gt;"",AD298,AE298)))</f>
        <v/>
      </c>
      <c r="AG298" s="16">
        <f>IF(OR(AF298="",AF298="İMKÂNSIZ"),"",AF298*(1-IF(AF298&gt;='Komisyon Tarifeleri'!I298,IF($AM$1=2,'Komisyon Tarifeleri'!U298,'Komisyon Tarifeleri'!P298),IF(AF298&gt;='Komisyon Tarifeleri'!K298,IF($AM$1=2,'Komisyon Tarifeleri'!V298,'Komisyon Tarifeleri'!Q298),IF(AF298&gt;='Komisyon Tarifeleri'!M298,IF($AM$1=2,'Komisyon Tarifeleri'!W298,'Komisyon Tarifeleri'!R298),IF($AM$1=2,'Komisyon Tarifeleri'!X298,'Komisyon Tarifeleri'!S298))))/100)-$D298-IF(AF298&lt;=199.99,Kargo!$E$2,IF(AF298&lt;=399.99,Kargo!$E$3,$F298)))</f>
        <v/>
      </c>
      <c r="AH298" s="17">
        <f>IF(AG298="","",AG298/AF298)</f>
        <v/>
      </c>
      <c r="AI298" s="18">
        <f>IF($D298="","",IF(Y298="","BUYBOX YOK → hedef kârla min fiyat",IF(AC298&gt;=W298,"✓ BUYBOX ALTINA GİR","BUYBOX ALTI KÂRSIZ → min kârlı fiyat")))</f>
        <v/>
      </c>
      <c r="AJ298" s="10">
        <f>IF($B298="","",IFERROR(VLOOKUP($B298,Maliyetler!$A:$G,6,FALSE),""))</f>
        <v/>
      </c>
      <c r="AK298">
        <f>IF($B298="","",IFERROR(VLOOKUP($B298,Maliyetler!$A:$G,7,FALSE),""))</f>
        <v/>
      </c>
      <c r="AO298" s="21">
        <f>IF($B298="","",IFERROR(VLOOKUP($B298&amp;"",'Plus Tarifeleri'!$C:$Q,11,FALSE),""))</f>
        <v/>
      </c>
      <c r="AP298" s="22">
        <f>IF(AO298="","",IFERROR(IF($AM$1=2,VLOOKUP($B298&amp;"",'Plus Tarifeleri'!$C:$Q,15,FALSE),VLOOKUP($B298&amp;"",'Plus Tarifeleri'!$C:$Q,13,FALSE)),""))</f>
        <v/>
      </c>
      <c r="AQ298" s="21">
        <f>IF(OR(AO298="",AP298="",$D298=""),"",AO298*(1-AP298/100)-$D298-IF(AO298&lt;=199.99,Kargo!$E$2,IF(AO298&lt;=399.99,Kargo!$E$3,$F298)))</f>
        <v/>
      </c>
      <c r="AR298" s="23">
        <f>IF(AQ298="","",AQ298/AO298)</f>
        <v/>
      </c>
      <c r="AS298" s="24">
        <f>IF(OR(AQ298="",AG298=""),"",AQ298-AG298)</f>
        <v/>
      </c>
    </row>
    <row r="299">
      <c r="A299">
        <f>IF('Komisyon Tarifeleri'!A299="","",'Komisyon Tarifeleri'!A299)</f>
        <v/>
      </c>
      <c r="B299">
        <f>IF('Komisyon Tarifeleri'!B299="","",'Komisyon Tarifeleri'!B299&amp;"")</f>
        <v/>
      </c>
      <c r="C299">
        <f>IF($B299="","",'Komisyon Tarifeleri'!F299)</f>
        <v/>
      </c>
      <c r="D299" s="10">
        <f>IF($B299="","",IFERROR(VLOOKUP($B299,Maliyetler!$A:$E,3,FALSE),""))</f>
        <v/>
      </c>
      <c r="E299">
        <f>IF($B299="","",IFERROR(VLOOKUP($B299,Maliyetler!$A:$E,4,FALSE),1))</f>
        <v/>
      </c>
      <c r="F299" s="10">
        <f>IF($B299="","",IFERROR(VLOOKUP(MIN(20,MAX(1,ROUND($E299,0))),Kargo!$A:$B,2,FALSE),99.46))</f>
        <v/>
      </c>
      <c r="G299" s="10">
        <f>IF($B299="","",IF(IF(N('Komisyon Tarifeleri'!AA299)&gt;='Komisyon Tarifeleri'!I299,'Komisyon Tarifeleri'!AA299,'Komisyon Tarifeleri'!I299)="","",IF(N('Komisyon Tarifeleri'!AA299)&gt;='Komisyon Tarifeleri'!I299,'Komisyon Tarifeleri'!AA299,'Komisyon Tarifeleri'!I299)))</f>
        <v/>
      </c>
      <c r="H299" s="11">
        <f>IF(G299="","",IF($AM$1=2,'Komisyon Tarifeleri'!U299,'Komisyon Tarifeleri'!P299))</f>
        <v/>
      </c>
      <c r="I299" s="10">
        <f>IF(OR(G299="",$D299=""),"",G299*(1-H299/100)-$D299-IF(G299&lt;=199.99,Kargo!$E$2,IF(G299&lt;=399.99,Kargo!$E$3,$F299)))</f>
        <v/>
      </c>
      <c r="J299" s="12">
        <f>IF(I299="","",I299/G299)</f>
        <v/>
      </c>
      <c r="K299" s="10">
        <f>IF($B299="","",IF('Komisyon Tarifeleri'!J299="","",'Komisyon Tarifeleri'!J299))</f>
        <v/>
      </c>
      <c r="L299" s="11">
        <f>IF(K299="","",IF($AM$1=2,'Komisyon Tarifeleri'!V299,'Komisyon Tarifeleri'!Q299))</f>
        <v/>
      </c>
      <c r="M299" s="10">
        <f>IF(OR(K299="",$D299=""),"",K299*(1-L299/100)-$D299-IF(K299&lt;=199.99,Kargo!$E$2,IF(K299&lt;=399.99,Kargo!$E$3,$F299)))</f>
        <v/>
      </c>
      <c r="N299" s="12">
        <f>IF(M299="","",M299/K299)</f>
        <v/>
      </c>
      <c r="O299" s="10">
        <f>IF($B299="","",IF('Komisyon Tarifeleri'!L299="","",'Komisyon Tarifeleri'!L299))</f>
        <v/>
      </c>
      <c r="P299" s="11">
        <f>IF(O299="","",IF($AM$1=2,'Komisyon Tarifeleri'!W299,'Komisyon Tarifeleri'!R299))</f>
        <v/>
      </c>
      <c r="Q299" s="10">
        <f>IF(OR(O299="",$D299=""),"",O299*(1-P299/100)-$D299-IF(O299&lt;=199.99,Kargo!$E$2,IF(O299&lt;=399.99,Kargo!$E$3,$F299)))</f>
        <v/>
      </c>
      <c r="R299" s="12">
        <f>IF(Q299="","",Q299/O299)</f>
        <v/>
      </c>
      <c r="S299" s="10">
        <f>IF($B299="","",IF('Komisyon Tarifeleri'!N299="","",'Komisyon Tarifeleri'!N299))</f>
        <v/>
      </c>
      <c r="T299" s="11">
        <f>IF(S299="","",IF($AM$1=2,'Komisyon Tarifeleri'!X299,'Komisyon Tarifeleri'!S299))</f>
        <v/>
      </c>
      <c r="U299" s="10">
        <f>IF(OR(S299="",$D299=""),"",S299*(1-T299/100)-$D299-IF(S299&lt;=199.99,Kargo!$E$2,IF(S299&lt;=399.99,Kargo!$E$3,$F299)))</f>
        <v/>
      </c>
      <c r="V299" s="12">
        <f>IF(U299="","",U299/S299)</f>
        <v/>
      </c>
      <c r="W299" s="12">
        <f>IF($B299="","",IFERROR(VLOOKUP($C299,Hedefler!$A:$C,2,FALSE),0.04))</f>
        <v/>
      </c>
      <c r="X299" s="12">
        <f>IF($B299="","",IFERROR(VLOOKUP($C299,Hedefler!$A:$C,3,FALSE),0.1))</f>
        <v/>
      </c>
      <c r="Y299" s="13">
        <f>IF($B299="","",IFERROR(VLOOKUP($B299,Maliyetler!$A:$E,5,FALSE),""))</f>
        <v/>
      </c>
      <c r="Z299" s="13">
        <f>IF(OR(Y299="",Y299=0),"",Y299-1)</f>
        <v/>
      </c>
      <c r="AA299" s="14">
        <f>IF(Z299="","",IF(Z299&gt;='Komisyon Tarifeleri'!I299,IF($AM$1=2,'Komisyon Tarifeleri'!U299,'Komisyon Tarifeleri'!P299),IF(Z299&gt;='Komisyon Tarifeleri'!K299,IF($AM$1=2,'Komisyon Tarifeleri'!V299,'Komisyon Tarifeleri'!Q299),IF(Z299&gt;='Komisyon Tarifeleri'!M299,IF($AM$1=2,'Komisyon Tarifeleri'!W299,'Komisyon Tarifeleri'!R299),IF($AM$1=2,'Komisyon Tarifeleri'!X299,'Komisyon Tarifeleri'!S299)))))</f>
        <v/>
      </c>
      <c r="AB299" s="13">
        <f>IF(OR(AA299="",$D299=""),"",Z299*(1-AA299/100)-$D299-IF(Z299&lt;=199.99,Kargo!$E$2,IF(Z299&lt;=399.99,Kargo!$E$3,$F299)))</f>
        <v/>
      </c>
      <c r="AC299" s="15">
        <f>IF(AB299="","",AB299/Z299)</f>
        <v/>
      </c>
      <c r="AD299" s="10">
        <f>IF(OR($D299="",$B299=""),"",IF(AND((1-T299/100-W299)&gt;0,CEILING(($D299+$F299)/(1-T299/100-W299),1)&lt;='Komisyon Tarifeleri'!N299),CEILING(($D299+$F299)/(1-T299/100-W299),1),IF(AND((1-P299/100-W299)&gt;0,CEILING(MAX('Komisyon Tarifeleri'!M299,($D299+$F299)/(1-P299/100-W299)),1)&lt;='Komisyon Tarifeleri'!L299),CEILING(MAX('Komisyon Tarifeleri'!M299,($D299+$F299)/(1-P299/100-W299)),1),IF(AND((1-L299/100-W299)&gt;0,CEILING(MAX('Komisyon Tarifeleri'!K299,($D299+$F299)/(1-L299/100-W299)),1)&lt;='Komisyon Tarifeleri'!J299),CEILING(MAX('Komisyon Tarifeleri'!K299,($D299+$F299)/(1-L299/100-W299)),1),IF((1-H299/100-W299)&gt;0,CEILING(MAX('Komisyon Tarifeleri'!I299,($D299+$F299)/(1-H299/100-W299)),1),"İMKÂNSIZ")))))</f>
        <v/>
      </c>
      <c r="AE299" s="10">
        <f>IF(OR($D299="",$B299=""),"",IF(AND((1-T299/100-X299)&gt;0,CEILING(($D299+$F299)/(1-T299/100-X299),1)&lt;='Komisyon Tarifeleri'!N299),CEILING(($D299+$F299)/(1-T299/100-X299),1),IF(AND((1-P299/100-X299)&gt;0,CEILING(MAX('Komisyon Tarifeleri'!M299,($D299+$F299)/(1-P299/100-X299)),1)&lt;='Komisyon Tarifeleri'!L299),CEILING(MAX('Komisyon Tarifeleri'!M299,($D299+$F299)/(1-P299/100-X299)),1),IF(AND((1-L299/100-X299)&gt;0,CEILING(MAX('Komisyon Tarifeleri'!K299,($D299+$F299)/(1-L299/100-X299)),1)&lt;='Komisyon Tarifeleri'!J299),CEILING(MAX('Komisyon Tarifeleri'!K299,($D299+$F299)/(1-L299/100-X299)),1),IF((1-H299/100-X299)&gt;0,CEILING(MAX('Komisyon Tarifeleri'!I299,($D299+$F299)/(1-H299/100-X299)),1),"İMKÂNSIZ")))))</f>
        <v/>
      </c>
      <c r="AF299" s="16">
        <f>IF($D299="","",IF(AND(Y299&lt;&gt;"",AC299&lt;&gt;"",AC299&gt;=W299),Z299,IF(Y299&lt;&gt;"",AD299,AE299)))</f>
        <v/>
      </c>
      <c r="AG299" s="16">
        <f>IF(OR(AF299="",AF299="İMKÂNSIZ"),"",AF299*(1-IF(AF299&gt;='Komisyon Tarifeleri'!I299,IF($AM$1=2,'Komisyon Tarifeleri'!U299,'Komisyon Tarifeleri'!P299),IF(AF299&gt;='Komisyon Tarifeleri'!K299,IF($AM$1=2,'Komisyon Tarifeleri'!V299,'Komisyon Tarifeleri'!Q299),IF(AF299&gt;='Komisyon Tarifeleri'!M299,IF($AM$1=2,'Komisyon Tarifeleri'!W299,'Komisyon Tarifeleri'!R299),IF($AM$1=2,'Komisyon Tarifeleri'!X299,'Komisyon Tarifeleri'!S299))))/100)-$D299-IF(AF299&lt;=199.99,Kargo!$E$2,IF(AF299&lt;=399.99,Kargo!$E$3,$F299)))</f>
        <v/>
      </c>
      <c r="AH299" s="17">
        <f>IF(AG299="","",AG299/AF299)</f>
        <v/>
      </c>
      <c r="AI299" s="18">
        <f>IF($D299="","",IF(Y299="","BUYBOX YOK → hedef kârla min fiyat",IF(AC299&gt;=W299,"✓ BUYBOX ALTINA GİR","BUYBOX ALTI KÂRSIZ → min kârlı fiyat")))</f>
        <v/>
      </c>
      <c r="AJ299" s="10">
        <f>IF($B299="","",IFERROR(VLOOKUP($B299,Maliyetler!$A:$G,6,FALSE),""))</f>
        <v/>
      </c>
      <c r="AK299">
        <f>IF($B299="","",IFERROR(VLOOKUP($B299,Maliyetler!$A:$G,7,FALSE),""))</f>
        <v/>
      </c>
      <c r="AO299" s="21">
        <f>IF($B299="","",IFERROR(VLOOKUP($B299&amp;"",'Plus Tarifeleri'!$C:$Q,11,FALSE),""))</f>
        <v/>
      </c>
      <c r="AP299" s="22">
        <f>IF(AO299="","",IFERROR(IF($AM$1=2,VLOOKUP($B299&amp;"",'Plus Tarifeleri'!$C:$Q,15,FALSE),VLOOKUP($B299&amp;"",'Plus Tarifeleri'!$C:$Q,13,FALSE)),""))</f>
        <v/>
      </c>
      <c r="AQ299" s="21">
        <f>IF(OR(AO299="",AP299="",$D299=""),"",AO299*(1-AP299/100)-$D299-IF(AO299&lt;=199.99,Kargo!$E$2,IF(AO299&lt;=399.99,Kargo!$E$3,$F299)))</f>
        <v/>
      </c>
      <c r="AR299" s="23">
        <f>IF(AQ299="","",AQ299/AO299)</f>
        <v/>
      </c>
      <c r="AS299" s="24">
        <f>IF(OR(AQ299="",AG299=""),"",AQ299-AG299)</f>
        <v/>
      </c>
    </row>
    <row r="300">
      <c r="A300">
        <f>IF('Komisyon Tarifeleri'!A300="","",'Komisyon Tarifeleri'!A300)</f>
        <v/>
      </c>
      <c r="B300">
        <f>IF('Komisyon Tarifeleri'!B300="","",'Komisyon Tarifeleri'!B300&amp;"")</f>
        <v/>
      </c>
      <c r="C300">
        <f>IF($B300="","",'Komisyon Tarifeleri'!F300)</f>
        <v/>
      </c>
      <c r="D300" s="10">
        <f>IF($B300="","",IFERROR(VLOOKUP($B300,Maliyetler!$A:$E,3,FALSE),""))</f>
        <v/>
      </c>
      <c r="E300">
        <f>IF($B300="","",IFERROR(VLOOKUP($B300,Maliyetler!$A:$E,4,FALSE),1))</f>
        <v/>
      </c>
      <c r="F300" s="10">
        <f>IF($B300="","",IFERROR(VLOOKUP(MIN(20,MAX(1,ROUND($E300,0))),Kargo!$A:$B,2,FALSE),99.46))</f>
        <v/>
      </c>
      <c r="G300" s="10">
        <f>IF($B300="","",IF(IF(N('Komisyon Tarifeleri'!AA300)&gt;='Komisyon Tarifeleri'!I300,'Komisyon Tarifeleri'!AA300,'Komisyon Tarifeleri'!I300)="","",IF(N('Komisyon Tarifeleri'!AA300)&gt;='Komisyon Tarifeleri'!I300,'Komisyon Tarifeleri'!AA300,'Komisyon Tarifeleri'!I300)))</f>
        <v/>
      </c>
      <c r="H300" s="11">
        <f>IF(G300="","",IF($AM$1=2,'Komisyon Tarifeleri'!U300,'Komisyon Tarifeleri'!P300))</f>
        <v/>
      </c>
      <c r="I300" s="10">
        <f>IF(OR(G300="",$D300=""),"",G300*(1-H300/100)-$D300-IF(G300&lt;=199.99,Kargo!$E$2,IF(G300&lt;=399.99,Kargo!$E$3,$F300)))</f>
        <v/>
      </c>
      <c r="J300" s="12">
        <f>IF(I300="","",I300/G300)</f>
        <v/>
      </c>
      <c r="K300" s="10">
        <f>IF($B300="","",IF('Komisyon Tarifeleri'!J300="","",'Komisyon Tarifeleri'!J300))</f>
        <v/>
      </c>
      <c r="L300" s="11">
        <f>IF(K300="","",IF($AM$1=2,'Komisyon Tarifeleri'!V300,'Komisyon Tarifeleri'!Q300))</f>
        <v/>
      </c>
      <c r="M300" s="10">
        <f>IF(OR(K300="",$D300=""),"",K300*(1-L300/100)-$D300-IF(K300&lt;=199.99,Kargo!$E$2,IF(K300&lt;=399.99,Kargo!$E$3,$F300)))</f>
        <v/>
      </c>
      <c r="N300" s="12">
        <f>IF(M300="","",M300/K300)</f>
        <v/>
      </c>
      <c r="O300" s="10">
        <f>IF($B300="","",IF('Komisyon Tarifeleri'!L300="","",'Komisyon Tarifeleri'!L300))</f>
        <v/>
      </c>
      <c r="P300" s="11">
        <f>IF(O300="","",IF($AM$1=2,'Komisyon Tarifeleri'!W300,'Komisyon Tarifeleri'!R300))</f>
        <v/>
      </c>
      <c r="Q300" s="10">
        <f>IF(OR(O300="",$D300=""),"",O300*(1-P300/100)-$D300-IF(O300&lt;=199.99,Kargo!$E$2,IF(O300&lt;=399.99,Kargo!$E$3,$F300)))</f>
        <v/>
      </c>
      <c r="R300" s="12">
        <f>IF(Q300="","",Q300/O300)</f>
        <v/>
      </c>
      <c r="S300" s="10">
        <f>IF($B300="","",IF('Komisyon Tarifeleri'!N300="","",'Komisyon Tarifeleri'!N300))</f>
        <v/>
      </c>
      <c r="T300" s="11">
        <f>IF(S300="","",IF($AM$1=2,'Komisyon Tarifeleri'!X300,'Komisyon Tarifeleri'!S300))</f>
        <v/>
      </c>
      <c r="U300" s="10">
        <f>IF(OR(S300="",$D300=""),"",S300*(1-T300/100)-$D300-IF(S300&lt;=199.99,Kargo!$E$2,IF(S300&lt;=399.99,Kargo!$E$3,$F300)))</f>
        <v/>
      </c>
      <c r="V300" s="12">
        <f>IF(U300="","",U300/S300)</f>
        <v/>
      </c>
      <c r="W300" s="12">
        <f>IF($B300="","",IFERROR(VLOOKUP($C300,Hedefler!$A:$C,2,FALSE),0.04))</f>
        <v/>
      </c>
      <c r="X300" s="12">
        <f>IF($B300="","",IFERROR(VLOOKUP($C300,Hedefler!$A:$C,3,FALSE),0.1))</f>
        <v/>
      </c>
      <c r="Y300" s="13">
        <f>IF($B300="","",IFERROR(VLOOKUP($B300,Maliyetler!$A:$E,5,FALSE),""))</f>
        <v/>
      </c>
      <c r="Z300" s="13">
        <f>IF(OR(Y300="",Y300=0),"",Y300-1)</f>
        <v/>
      </c>
      <c r="AA300" s="14">
        <f>IF(Z300="","",IF(Z300&gt;='Komisyon Tarifeleri'!I300,IF($AM$1=2,'Komisyon Tarifeleri'!U300,'Komisyon Tarifeleri'!P300),IF(Z300&gt;='Komisyon Tarifeleri'!K300,IF($AM$1=2,'Komisyon Tarifeleri'!V300,'Komisyon Tarifeleri'!Q300),IF(Z300&gt;='Komisyon Tarifeleri'!M300,IF($AM$1=2,'Komisyon Tarifeleri'!W300,'Komisyon Tarifeleri'!R300),IF($AM$1=2,'Komisyon Tarifeleri'!X300,'Komisyon Tarifeleri'!S300)))))</f>
        <v/>
      </c>
      <c r="AB300" s="13">
        <f>IF(OR(AA300="",$D300=""),"",Z300*(1-AA300/100)-$D300-IF(Z300&lt;=199.99,Kargo!$E$2,IF(Z300&lt;=399.99,Kargo!$E$3,$F300)))</f>
        <v/>
      </c>
      <c r="AC300" s="15">
        <f>IF(AB300="","",AB300/Z300)</f>
        <v/>
      </c>
      <c r="AD300" s="10">
        <f>IF(OR($D300="",$B300=""),"",IF(AND((1-T300/100-W300)&gt;0,CEILING(($D300+$F300)/(1-T300/100-W300),1)&lt;='Komisyon Tarifeleri'!N300),CEILING(($D300+$F300)/(1-T300/100-W300),1),IF(AND((1-P300/100-W300)&gt;0,CEILING(MAX('Komisyon Tarifeleri'!M300,($D300+$F300)/(1-P300/100-W300)),1)&lt;='Komisyon Tarifeleri'!L300),CEILING(MAX('Komisyon Tarifeleri'!M300,($D300+$F300)/(1-P300/100-W300)),1),IF(AND((1-L300/100-W300)&gt;0,CEILING(MAX('Komisyon Tarifeleri'!K300,($D300+$F300)/(1-L300/100-W300)),1)&lt;='Komisyon Tarifeleri'!J300),CEILING(MAX('Komisyon Tarifeleri'!K300,($D300+$F300)/(1-L300/100-W300)),1),IF((1-H300/100-W300)&gt;0,CEILING(MAX('Komisyon Tarifeleri'!I300,($D300+$F300)/(1-H300/100-W300)),1),"İMKÂNSIZ")))))</f>
        <v/>
      </c>
      <c r="AE300" s="10">
        <f>IF(OR($D300="",$B300=""),"",IF(AND((1-T300/100-X300)&gt;0,CEILING(($D300+$F300)/(1-T300/100-X300),1)&lt;='Komisyon Tarifeleri'!N300),CEILING(($D300+$F300)/(1-T300/100-X300),1),IF(AND((1-P300/100-X300)&gt;0,CEILING(MAX('Komisyon Tarifeleri'!M300,($D300+$F300)/(1-P300/100-X300)),1)&lt;='Komisyon Tarifeleri'!L300),CEILING(MAX('Komisyon Tarifeleri'!M300,($D300+$F300)/(1-P300/100-X300)),1),IF(AND((1-L300/100-X300)&gt;0,CEILING(MAX('Komisyon Tarifeleri'!K300,($D300+$F300)/(1-L300/100-X300)),1)&lt;='Komisyon Tarifeleri'!J300),CEILING(MAX('Komisyon Tarifeleri'!K300,($D300+$F300)/(1-L300/100-X300)),1),IF((1-H300/100-X300)&gt;0,CEILING(MAX('Komisyon Tarifeleri'!I300,($D300+$F300)/(1-H300/100-X300)),1),"İMKÂNSIZ")))))</f>
        <v/>
      </c>
      <c r="AF300" s="16">
        <f>IF($D300="","",IF(AND(Y300&lt;&gt;"",AC300&lt;&gt;"",AC300&gt;=W300),Z300,IF(Y300&lt;&gt;"",AD300,AE300)))</f>
        <v/>
      </c>
      <c r="AG300" s="16">
        <f>IF(OR(AF300="",AF300="İMKÂNSIZ"),"",AF300*(1-IF(AF300&gt;='Komisyon Tarifeleri'!I300,IF($AM$1=2,'Komisyon Tarifeleri'!U300,'Komisyon Tarifeleri'!P300),IF(AF300&gt;='Komisyon Tarifeleri'!K300,IF($AM$1=2,'Komisyon Tarifeleri'!V300,'Komisyon Tarifeleri'!Q300),IF(AF300&gt;='Komisyon Tarifeleri'!M300,IF($AM$1=2,'Komisyon Tarifeleri'!W300,'Komisyon Tarifeleri'!R300),IF($AM$1=2,'Komisyon Tarifeleri'!X300,'Komisyon Tarifeleri'!S300))))/100)-$D300-IF(AF300&lt;=199.99,Kargo!$E$2,IF(AF300&lt;=399.99,Kargo!$E$3,$F300)))</f>
        <v/>
      </c>
      <c r="AH300" s="17">
        <f>IF(AG300="","",AG300/AF300)</f>
        <v/>
      </c>
      <c r="AI300" s="18">
        <f>IF($D300="","",IF(Y300="","BUYBOX YOK → hedef kârla min fiyat",IF(AC300&gt;=W300,"✓ BUYBOX ALTINA GİR","BUYBOX ALTI KÂRSIZ → min kârlı fiyat")))</f>
        <v/>
      </c>
      <c r="AJ300" s="10">
        <f>IF($B300="","",IFERROR(VLOOKUP($B300,Maliyetler!$A:$G,6,FALSE),""))</f>
        <v/>
      </c>
      <c r="AK300">
        <f>IF($B300="","",IFERROR(VLOOKUP($B300,Maliyetler!$A:$G,7,FALSE),""))</f>
        <v/>
      </c>
      <c r="AO300" s="21">
        <f>IF($B300="","",IFERROR(VLOOKUP($B300&amp;"",'Plus Tarifeleri'!$C:$Q,11,FALSE),""))</f>
        <v/>
      </c>
      <c r="AP300" s="22">
        <f>IF(AO300="","",IFERROR(IF($AM$1=2,VLOOKUP($B300&amp;"",'Plus Tarifeleri'!$C:$Q,15,FALSE),VLOOKUP($B300&amp;"",'Plus Tarifeleri'!$C:$Q,13,FALSE)),""))</f>
        <v/>
      </c>
      <c r="AQ300" s="21">
        <f>IF(OR(AO300="",AP300="",$D300=""),"",AO300*(1-AP300/100)-$D300-IF(AO300&lt;=199.99,Kargo!$E$2,IF(AO300&lt;=399.99,Kargo!$E$3,$F300)))</f>
        <v/>
      </c>
      <c r="AR300" s="23">
        <f>IF(AQ300="","",AQ300/AO300)</f>
        <v/>
      </c>
      <c r="AS300" s="24">
        <f>IF(OR(AQ300="",AG300=""),"",AQ300-AG300)</f>
        <v/>
      </c>
    </row>
    <row r="301">
      <c r="A301">
        <f>IF('Komisyon Tarifeleri'!A301="","",'Komisyon Tarifeleri'!A301)</f>
        <v/>
      </c>
      <c r="B301">
        <f>IF('Komisyon Tarifeleri'!B301="","",'Komisyon Tarifeleri'!B301&amp;"")</f>
        <v/>
      </c>
      <c r="C301">
        <f>IF($B301="","",'Komisyon Tarifeleri'!F301)</f>
        <v/>
      </c>
      <c r="D301" s="10">
        <f>IF($B301="","",IFERROR(VLOOKUP($B301,Maliyetler!$A:$E,3,FALSE),""))</f>
        <v/>
      </c>
      <c r="E301">
        <f>IF($B301="","",IFERROR(VLOOKUP($B301,Maliyetler!$A:$E,4,FALSE),1))</f>
        <v/>
      </c>
      <c r="F301" s="10">
        <f>IF($B301="","",IFERROR(VLOOKUP(MIN(20,MAX(1,ROUND($E301,0))),Kargo!$A:$B,2,FALSE),99.46))</f>
        <v/>
      </c>
      <c r="G301" s="10">
        <f>IF($B301="","",IF(IF(N('Komisyon Tarifeleri'!AA301)&gt;='Komisyon Tarifeleri'!I301,'Komisyon Tarifeleri'!AA301,'Komisyon Tarifeleri'!I301)="","",IF(N('Komisyon Tarifeleri'!AA301)&gt;='Komisyon Tarifeleri'!I301,'Komisyon Tarifeleri'!AA301,'Komisyon Tarifeleri'!I301)))</f>
        <v/>
      </c>
      <c r="H301" s="11">
        <f>IF(G301="","",IF($AM$1=2,'Komisyon Tarifeleri'!U301,'Komisyon Tarifeleri'!P301))</f>
        <v/>
      </c>
      <c r="I301" s="10">
        <f>IF(OR(G301="",$D301=""),"",G301*(1-H301/100)-$D301-IF(G301&lt;=199.99,Kargo!$E$2,IF(G301&lt;=399.99,Kargo!$E$3,$F301)))</f>
        <v/>
      </c>
      <c r="J301" s="12">
        <f>IF(I301="","",I301/G301)</f>
        <v/>
      </c>
      <c r="K301" s="10">
        <f>IF($B301="","",IF('Komisyon Tarifeleri'!J301="","",'Komisyon Tarifeleri'!J301))</f>
        <v/>
      </c>
      <c r="L301" s="11">
        <f>IF(K301="","",IF($AM$1=2,'Komisyon Tarifeleri'!V301,'Komisyon Tarifeleri'!Q301))</f>
        <v/>
      </c>
      <c r="M301" s="10">
        <f>IF(OR(K301="",$D301=""),"",K301*(1-L301/100)-$D301-IF(K301&lt;=199.99,Kargo!$E$2,IF(K301&lt;=399.99,Kargo!$E$3,$F301)))</f>
        <v/>
      </c>
      <c r="N301" s="12">
        <f>IF(M301="","",M301/K301)</f>
        <v/>
      </c>
      <c r="O301" s="10">
        <f>IF($B301="","",IF('Komisyon Tarifeleri'!L301="","",'Komisyon Tarifeleri'!L301))</f>
        <v/>
      </c>
      <c r="P301" s="11">
        <f>IF(O301="","",IF($AM$1=2,'Komisyon Tarifeleri'!W301,'Komisyon Tarifeleri'!R301))</f>
        <v/>
      </c>
      <c r="Q301" s="10">
        <f>IF(OR(O301="",$D301=""),"",O301*(1-P301/100)-$D301-IF(O301&lt;=199.99,Kargo!$E$2,IF(O301&lt;=399.99,Kargo!$E$3,$F301)))</f>
        <v/>
      </c>
      <c r="R301" s="12">
        <f>IF(Q301="","",Q301/O301)</f>
        <v/>
      </c>
      <c r="S301" s="10">
        <f>IF($B301="","",IF('Komisyon Tarifeleri'!N301="","",'Komisyon Tarifeleri'!N301))</f>
        <v/>
      </c>
      <c r="T301" s="11">
        <f>IF(S301="","",IF($AM$1=2,'Komisyon Tarifeleri'!X301,'Komisyon Tarifeleri'!S301))</f>
        <v/>
      </c>
      <c r="U301" s="10">
        <f>IF(OR(S301="",$D301=""),"",S301*(1-T301/100)-$D301-IF(S301&lt;=199.99,Kargo!$E$2,IF(S301&lt;=399.99,Kargo!$E$3,$F301)))</f>
        <v/>
      </c>
      <c r="V301" s="12">
        <f>IF(U301="","",U301/S301)</f>
        <v/>
      </c>
      <c r="W301" s="12">
        <f>IF($B301="","",IFERROR(VLOOKUP($C301,Hedefler!$A:$C,2,FALSE),0.04))</f>
        <v/>
      </c>
      <c r="X301" s="12">
        <f>IF($B301="","",IFERROR(VLOOKUP($C301,Hedefler!$A:$C,3,FALSE),0.1))</f>
        <v/>
      </c>
      <c r="Y301" s="13">
        <f>IF($B301="","",IFERROR(VLOOKUP($B301,Maliyetler!$A:$E,5,FALSE),""))</f>
        <v/>
      </c>
      <c r="Z301" s="13">
        <f>IF(OR(Y301="",Y301=0),"",Y301-1)</f>
        <v/>
      </c>
      <c r="AA301" s="14">
        <f>IF(Z301="","",IF(Z301&gt;='Komisyon Tarifeleri'!I301,IF($AM$1=2,'Komisyon Tarifeleri'!U301,'Komisyon Tarifeleri'!P301),IF(Z301&gt;='Komisyon Tarifeleri'!K301,IF($AM$1=2,'Komisyon Tarifeleri'!V301,'Komisyon Tarifeleri'!Q301),IF(Z301&gt;='Komisyon Tarifeleri'!M301,IF($AM$1=2,'Komisyon Tarifeleri'!W301,'Komisyon Tarifeleri'!R301),IF($AM$1=2,'Komisyon Tarifeleri'!X301,'Komisyon Tarifeleri'!S301)))))</f>
        <v/>
      </c>
      <c r="AB301" s="13">
        <f>IF(OR(AA301="",$D301=""),"",Z301*(1-AA301/100)-$D301-IF(Z301&lt;=199.99,Kargo!$E$2,IF(Z301&lt;=399.99,Kargo!$E$3,$F301)))</f>
        <v/>
      </c>
      <c r="AC301" s="15">
        <f>IF(AB301="","",AB301/Z301)</f>
        <v/>
      </c>
      <c r="AD301" s="10">
        <f>IF(OR($D301="",$B301=""),"",IF(AND((1-T301/100-W301)&gt;0,CEILING(($D301+$F301)/(1-T301/100-W301),1)&lt;='Komisyon Tarifeleri'!N301),CEILING(($D301+$F301)/(1-T301/100-W301),1),IF(AND((1-P301/100-W301)&gt;0,CEILING(MAX('Komisyon Tarifeleri'!M301,($D301+$F301)/(1-P301/100-W301)),1)&lt;='Komisyon Tarifeleri'!L301),CEILING(MAX('Komisyon Tarifeleri'!M301,($D301+$F301)/(1-P301/100-W301)),1),IF(AND((1-L301/100-W301)&gt;0,CEILING(MAX('Komisyon Tarifeleri'!K301,($D301+$F301)/(1-L301/100-W301)),1)&lt;='Komisyon Tarifeleri'!J301),CEILING(MAX('Komisyon Tarifeleri'!K301,($D301+$F301)/(1-L301/100-W301)),1),IF((1-H301/100-W301)&gt;0,CEILING(MAX('Komisyon Tarifeleri'!I301,($D301+$F301)/(1-H301/100-W301)),1),"İMKÂNSIZ")))))</f>
        <v/>
      </c>
      <c r="AE301" s="10">
        <f>IF(OR($D301="",$B301=""),"",IF(AND((1-T301/100-X301)&gt;0,CEILING(($D301+$F301)/(1-T301/100-X301),1)&lt;='Komisyon Tarifeleri'!N301),CEILING(($D301+$F301)/(1-T301/100-X301),1),IF(AND((1-P301/100-X301)&gt;0,CEILING(MAX('Komisyon Tarifeleri'!M301,($D301+$F301)/(1-P301/100-X301)),1)&lt;='Komisyon Tarifeleri'!L301),CEILING(MAX('Komisyon Tarifeleri'!M301,($D301+$F301)/(1-P301/100-X301)),1),IF(AND((1-L301/100-X301)&gt;0,CEILING(MAX('Komisyon Tarifeleri'!K301,($D301+$F301)/(1-L301/100-X301)),1)&lt;='Komisyon Tarifeleri'!J301),CEILING(MAX('Komisyon Tarifeleri'!K301,($D301+$F301)/(1-L301/100-X301)),1),IF((1-H301/100-X301)&gt;0,CEILING(MAX('Komisyon Tarifeleri'!I301,($D301+$F301)/(1-H301/100-X301)),1),"İMKÂNSIZ")))))</f>
        <v/>
      </c>
      <c r="AF301" s="16">
        <f>IF($D301="","",IF(AND(Y301&lt;&gt;"",AC301&lt;&gt;"",AC301&gt;=W301),Z301,IF(Y301&lt;&gt;"",AD301,AE301)))</f>
        <v/>
      </c>
      <c r="AG301" s="16">
        <f>IF(OR(AF301="",AF301="İMKÂNSIZ"),"",AF301*(1-IF(AF301&gt;='Komisyon Tarifeleri'!I301,IF($AM$1=2,'Komisyon Tarifeleri'!U301,'Komisyon Tarifeleri'!P301),IF(AF301&gt;='Komisyon Tarifeleri'!K301,IF($AM$1=2,'Komisyon Tarifeleri'!V301,'Komisyon Tarifeleri'!Q301),IF(AF301&gt;='Komisyon Tarifeleri'!M301,IF($AM$1=2,'Komisyon Tarifeleri'!W301,'Komisyon Tarifeleri'!R301),IF($AM$1=2,'Komisyon Tarifeleri'!X301,'Komisyon Tarifeleri'!S301))))/100)-$D301-IF(AF301&lt;=199.99,Kargo!$E$2,IF(AF301&lt;=399.99,Kargo!$E$3,$F301)))</f>
        <v/>
      </c>
      <c r="AH301" s="17">
        <f>IF(AG301="","",AG301/AF301)</f>
        <v/>
      </c>
      <c r="AI301" s="18">
        <f>IF($D301="","",IF(Y301="","BUYBOX YOK → hedef kârla min fiyat",IF(AC301&gt;=W301,"✓ BUYBOX ALTINA GİR","BUYBOX ALTI KÂRSIZ → min kârlı fiyat")))</f>
        <v/>
      </c>
      <c r="AJ301" s="10">
        <f>IF($B301="","",IFERROR(VLOOKUP($B301,Maliyetler!$A:$G,6,FALSE),""))</f>
        <v/>
      </c>
      <c r="AK301">
        <f>IF($B301="","",IFERROR(VLOOKUP($B301,Maliyetler!$A:$G,7,FALSE),""))</f>
        <v/>
      </c>
      <c r="AO301" s="21">
        <f>IF($B301="","",IFERROR(VLOOKUP($B301&amp;"",'Plus Tarifeleri'!$C:$Q,11,FALSE),""))</f>
        <v/>
      </c>
      <c r="AP301" s="22">
        <f>IF(AO301="","",IFERROR(IF($AM$1=2,VLOOKUP($B301&amp;"",'Plus Tarifeleri'!$C:$Q,15,FALSE),VLOOKUP($B301&amp;"",'Plus Tarifeleri'!$C:$Q,13,FALSE)),""))</f>
        <v/>
      </c>
      <c r="AQ301" s="21">
        <f>IF(OR(AO301="",AP301="",$D301=""),"",AO301*(1-AP301/100)-$D301-IF(AO301&lt;=199.99,Kargo!$E$2,IF(AO301&lt;=399.99,Kargo!$E$3,$F301)))</f>
        <v/>
      </c>
      <c r="AR301" s="23">
        <f>IF(AQ301="","",AQ301/AO301)</f>
        <v/>
      </c>
      <c r="AS301" s="24">
        <f>IF(OR(AQ301="",AG301=""),"",AQ301-AG301)</f>
        <v/>
      </c>
    </row>
  </sheetData>
  <conditionalFormatting sqref="J2:J301">
    <cfRule type="colorScale" priority="1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N2:N301">
    <cfRule type="colorScale" priority="2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R2:R301">
    <cfRule type="colorScale" priority="3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V2:V301">
    <cfRule type="colorScale" priority="4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AC2:AC301">
    <cfRule type="colorScale" priority="5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AH2:AH301">
    <cfRule type="colorScale" priority="6">
      <colorScale>
        <cfvo type="num" val="0"/>
        <cfvo type="num" val="0.08"/>
        <cfvo type="num" val="0.2"/>
        <color rgb="FFF8696B"/>
        <color rgb="FFFFEB84"/>
        <color rgb="FF63BE7B"/>
      </colorScale>
    </cfRule>
  </conditionalFormatting>
  <conditionalFormatting sqref="AR2:AR301">
    <cfRule type="colorScale" priority="7">
      <colorScale>
        <cfvo type="num" val="0"/>
        <cfvo type="num" val="0.08"/>
        <cfvo type="num" val="0.2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Ürün İsmi</t>
        </is>
      </c>
      <c r="B1" s="19" t="inlineStr">
        <is>
          <t>Ürün Id</t>
        </is>
      </c>
      <c r="C1" s="19" t="inlineStr">
        <is>
          <t>Barkod</t>
        </is>
      </c>
      <c r="D1" s="19" t="inlineStr">
        <is>
          <t>Satıcı Stok Kodu</t>
        </is>
      </c>
      <c r="E1" s="19" t="inlineStr">
        <is>
          <t>Beden</t>
        </is>
      </c>
      <c r="F1" s="19" t="inlineStr">
        <is>
          <t>Model Kodu</t>
        </is>
      </c>
      <c r="G1" s="19" t="inlineStr">
        <is>
          <t>Kategori</t>
        </is>
      </c>
      <c r="H1" s="19" t="inlineStr">
        <is>
          <t>Marka</t>
        </is>
      </c>
      <c r="I1" s="19" t="inlineStr">
        <is>
          <t>Stok</t>
        </is>
      </c>
      <c r="J1" s="19" t="inlineStr">
        <is>
          <t>Güncel TSF</t>
        </is>
      </c>
      <c r="K1" s="19" t="inlineStr">
        <is>
          <t>Komisyona Esas Fiyat</t>
        </is>
      </c>
      <c r="L1" s="19" t="inlineStr">
        <is>
          <t>Güncel Komisyon</t>
        </is>
      </c>
      <c r="M1" s="19" t="inlineStr">
        <is>
          <t>Plus Fiyat Üst Limiti</t>
        </is>
      </c>
      <c r="N1" s="19" t="inlineStr">
        <is>
          <t>Tarih Aralığı (3 Gün)</t>
        </is>
      </c>
      <c r="O1" s="19" t="inlineStr">
        <is>
          <t>Plus Komisyon Teklifi</t>
        </is>
      </c>
      <c r="P1" s="19" t="inlineStr">
        <is>
          <t>Tarih Aralığı (4 Gün)</t>
        </is>
      </c>
      <c r="Q1" s="19" t="inlineStr">
        <is>
          <t>Plus Komisyon Teklifi</t>
        </is>
      </c>
      <c r="R1" s="19" t="inlineStr">
        <is>
          <t>Plus Komisyona Esas Fiyatı</t>
        </is>
      </c>
      <c r="S1" s="19" t="inlineStr">
        <is>
          <t>Plus Fiyat Seçimi</t>
        </is>
      </c>
      <c r="T1" s="19" t="inlineStr">
        <is>
          <t>Tarife Seçimi</t>
        </is>
      </c>
      <c r="U1" s="19" t="inlineStr">
        <is>
          <t>External Id</t>
        </is>
      </c>
      <c r="V1" s="19" t="inlineStr">
        <is>
          <t>Hesaplanan Komisyon (3 Gün)</t>
        </is>
      </c>
      <c r="W1" s="19" t="inlineStr">
        <is>
          <t>Hesaplanan Komisyon (4 Gün)</t>
        </is>
      </c>
      <c r="X1" s="19" t="inlineStr">
        <is>
          <t>İptal</t>
        </is>
      </c>
      <c r="Y1" s="19" t="inlineStr">
        <is>
          <t>Tarife Grubu</t>
        </is>
      </c>
      <c r="Z1" s="19" t="inlineStr">
        <is>
          <t>3 Gün Tarih Aralığı</t>
        </is>
      </c>
      <c r="AA1" s="19" t="inlineStr">
        <is>
          <t>4 Gün Tarih Aralığı</t>
        </is>
      </c>
      <c r="AB1" s="19" t="inlineStr">
        <is>
          <t>7 Gün Tarih Aralığı</t>
        </is>
      </c>
      <c r="AC1" s="19" t="inlineStr">
        <is>
          <t>External Id (3 Gün)</t>
        </is>
      </c>
      <c r="AD1" s="19" t="inlineStr">
        <is>
          <t>External Id (4 Gün)</t>
        </is>
      </c>
      <c r="AE1" s="19" t="inlineStr">
        <is>
          <t>External Id (7 Gün)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Pazaryeri Panel</dc:creator>
  <dcterms:created xmlns:dcterms="http://purl.org/dc/terms/" xmlns:xsi="http://www.w3.org/2001/XMLSchema-instance" xsi:type="dcterms:W3CDTF">2026-08-28T12:49:53Z</dcterms:created>
  <dcterms:modified xmlns:dcterms="http://purl.org/dc/terms/" xmlns:xsi="http://www.w3.org/2001/XMLSchema-instance" xsi:type="dcterms:W3CDTF">2026-09-01T16:27:22Z</dcterms:modified>
  <cp:lastModifiedBy>Pazaryeri Panel</cp:lastModifiedBy>
</cp:coreProperties>
</file>